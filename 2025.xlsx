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320" yWindow="1515" windowWidth="27315" windowHeight="10410"/>
  </bookViews>
  <sheets>
    <sheet name="2025" sheetId="1" r:id="rId1"/>
  </sheets>
  <externalReferences>
    <externalReference r:id="rId2"/>
  </externalReferences>
  <definedNames>
    <definedName name="_xlnm._FilterDatabase" localSheetId="0" hidden="1">'2025'!$2:$150</definedName>
  </definedNames>
  <calcPr calcId="125725"/>
</workbook>
</file>

<file path=xl/calcChain.xml><?xml version="1.0" encoding="utf-8"?>
<calcChain xmlns="http://schemas.openxmlformats.org/spreadsheetml/2006/main">
  <c r="AP150" i="1"/>
  <c r="AN150"/>
  <c r="AM150"/>
  <c r="AP149"/>
  <c r="AM149"/>
  <c r="AK149"/>
  <c r="AN149" s="1"/>
  <c r="AE149"/>
  <c r="AC149"/>
  <c r="AP148"/>
  <c r="AM148"/>
  <c r="AK148"/>
  <c r="AN148" s="1"/>
  <c r="AM147"/>
  <c r="AK147"/>
  <c r="AN147" s="1"/>
  <c r="AM146"/>
  <c r="AH146"/>
  <c r="AN146" s="1"/>
  <c r="AD146"/>
  <c r="AB146"/>
  <c r="AO145"/>
  <c r="AM145"/>
  <c r="AF145"/>
  <c r="AH145" s="1"/>
  <c r="Z145"/>
  <c r="AB145" s="1"/>
  <c r="U145"/>
  <c r="AM144"/>
  <c r="AJ144"/>
  <c r="AN144" s="1"/>
  <c r="AA144"/>
  <c r="AE144" s="1"/>
  <c r="AP143"/>
  <c r="AN143"/>
  <c r="AM143"/>
  <c r="Z143"/>
  <c r="AD143" s="1"/>
  <c r="AP142"/>
  <c r="AM142"/>
  <c r="AN142" s="1"/>
  <c r="AM140"/>
  <c r="AH140"/>
  <c r="AN140" s="1"/>
  <c r="AD140"/>
  <c r="AB140"/>
  <c r="AO139"/>
  <c r="AM139"/>
  <c r="AG139"/>
  <c r="AI139" s="1"/>
  <c r="AM138"/>
  <c r="AI138"/>
  <c r="AH138"/>
  <c r="AD138"/>
  <c r="AB138"/>
  <c r="AM137"/>
  <c r="AK137"/>
  <c r="AJ137"/>
  <c r="AE137"/>
  <c r="AC137"/>
  <c r="V137"/>
  <c r="AM136"/>
  <c r="AJ136"/>
  <c r="AN136" s="1"/>
  <c r="AE136"/>
  <c r="AC136"/>
  <c r="AM134"/>
  <c r="AH134"/>
  <c r="AP134" s="1"/>
  <c r="AD134"/>
  <c r="AB134"/>
  <c r="AH133"/>
  <c r="AE133"/>
  <c r="AP132"/>
  <c r="AA132"/>
  <c r="AC132" s="1"/>
  <c r="AM131"/>
  <c r="AH131"/>
  <c r="AP131" s="1"/>
  <c r="AB131"/>
  <c r="Z131"/>
  <c r="AD131" s="1"/>
  <c r="AM130"/>
  <c r="AH130"/>
  <c r="AP130" s="1"/>
  <c r="AF130"/>
  <c r="Z130"/>
  <c r="AD130" s="1"/>
  <c r="AN129"/>
  <c r="AM129"/>
  <c r="AK129"/>
  <c r="AG129"/>
  <c r="AM128"/>
  <c r="AK128"/>
  <c r="AN128" s="1"/>
  <c r="AM127"/>
  <c r="AH127"/>
  <c r="AP127" s="1"/>
  <c r="Z127"/>
  <c r="AB127" s="1"/>
  <c r="AN126"/>
  <c r="AM126"/>
  <c r="AH126"/>
  <c r="AP126" s="1"/>
  <c r="AF126"/>
  <c r="Z126"/>
  <c r="AD126" s="1"/>
  <c r="AN125"/>
  <c r="AM125"/>
  <c r="AM124"/>
  <c r="AI124"/>
  <c r="AN124" s="1"/>
  <c r="AM123"/>
  <c r="AK123"/>
  <c r="AN123" s="1"/>
  <c r="AM122"/>
  <c r="AJ122"/>
  <c r="AH122"/>
  <c r="AE122"/>
  <c r="AD122"/>
  <c r="AC122"/>
  <c r="AB122"/>
  <c r="AP121"/>
  <c r="AN121"/>
  <c r="AM121"/>
  <c r="AN120"/>
  <c r="AM120"/>
  <c r="AO119"/>
  <c r="AM119"/>
  <c r="AJ119"/>
  <c r="AP119" s="1"/>
  <c r="AA119"/>
  <c r="AC119" s="1"/>
  <c r="AM118"/>
  <c r="AH118"/>
  <c r="AN118" s="1"/>
  <c r="Z118"/>
  <c r="AB118" s="1"/>
  <c r="U118"/>
  <c r="AP117"/>
  <c r="AN117"/>
  <c r="AM117"/>
  <c r="AP116"/>
  <c r="AM116"/>
  <c r="AH116"/>
  <c r="AN116" s="1"/>
  <c r="AD116"/>
  <c r="AB116"/>
  <c r="AP115"/>
  <c r="AM115"/>
  <c r="AN115" s="1"/>
  <c r="AP114"/>
  <c r="AF114"/>
  <c r="AN114" s="1"/>
  <c r="AE114"/>
  <c r="AM113"/>
  <c r="AH113"/>
  <c r="AN113" s="1"/>
  <c r="AD113"/>
  <c r="AB113"/>
  <c r="AM112"/>
  <c r="AF112"/>
  <c r="AH112" s="1"/>
  <c r="Z112"/>
  <c r="AB112" s="1"/>
  <c r="AM111"/>
  <c r="AJ111"/>
  <c r="AN111" s="1"/>
  <c r="AA111"/>
  <c r="AE111" s="1"/>
  <c r="AN110"/>
  <c r="AM109"/>
  <c r="AJ109"/>
  <c r="AN109" s="1"/>
  <c r="AA109"/>
  <c r="AC109" s="1"/>
  <c r="AJ108"/>
  <c r="AN108" s="1"/>
  <c r="AE108"/>
  <c r="AC108"/>
  <c r="AO107"/>
  <c r="AM107"/>
  <c r="AH107"/>
  <c r="AN107" s="1"/>
  <c r="Z107"/>
  <c r="AB107" s="1"/>
  <c r="AP106"/>
  <c r="AM106"/>
  <c r="AF106"/>
  <c r="AN106" s="1"/>
  <c r="Z106"/>
  <c r="AD106" s="1"/>
  <c r="U106"/>
  <c r="AM105"/>
  <c r="AH105"/>
  <c r="AP105" s="1"/>
  <c r="Z105"/>
  <c r="AD105" s="1"/>
  <c r="U105"/>
  <c r="AN104"/>
  <c r="AM104"/>
  <c r="AD104"/>
  <c r="AB104"/>
  <c r="AP103"/>
  <c r="AM103"/>
  <c r="AN103" s="1"/>
  <c r="AD103"/>
  <c r="AB103"/>
  <c r="AN102"/>
  <c r="AM102"/>
  <c r="AE102"/>
  <c r="AC102"/>
  <c r="AJ101"/>
  <c r="AM101" s="1"/>
  <c r="AE101"/>
  <c r="AC101"/>
  <c r="AO100"/>
  <c r="AM100"/>
  <c r="AK100"/>
  <c r="AN100" s="1"/>
  <c r="AD100"/>
  <c r="AB100"/>
  <c r="AM99"/>
  <c r="AH99"/>
  <c r="AP99" s="1"/>
  <c r="AD99"/>
  <c r="AB99"/>
  <c r="AF98"/>
  <c r="AN98" s="1"/>
  <c r="Z98"/>
  <c r="AD98" s="1"/>
  <c r="U98"/>
  <c r="AM97"/>
  <c r="AI97"/>
  <c r="AH97" s="1"/>
  <c r="AD97"/>
  <c r="AB97"/>
  <c r="U97"/>
  <c r="AI96"/>
  <c r="AG96"/>
  <c r="AM95"/>
  <c r="AI95"/>
  <c r="AH95"/>
  <c r="AN95" s="1"/>
  <c r="AD95"/>
  <c r="AB95"/>
  <c r="AP94"/>
  <c r="AM94"/>
  <c r="AH94"/>
  <c r="AF94"/>
  <c r="AB94"/>
  <c r="Z94"/>
  <c r="AD94" s="1"/>
  <c r="AO93"/>
  <c r="AM93"/>
  <c r="AH93"/>
  <c r="AN93" s="1"/>
  <c r="Z93"/>
  <c r="AD93" s="1"/>
  <c r="AM92"/>
  <c r="AH92"/>
  <c r="AN92" s="1"/>
  <c r="Z92"/>
  <c r="AB92" s="1"/>
  <c r="AM91"/>
  <c r="AH91"/>
  <c r="AN91" s="1"/>
  <c r="AD91"/>
  <c r="AB91"/>
  <c r="AM90"/>
  <c r="AH90"/>
  <c r="AN90" s="1"/>
  <c r="AD90"/>
  <c r="AB90"/>
  <c r="AN89"/>
  <c r="AM89"/>
  <c r="AD89"/>
  <c r="AB89"/>
  <c r="AP88"/>
  <c r="AM88"/>
  <c r="AF88"/>
  <c r="AN88" s="1"/>
  <c r="Z88"/>
  <c r="AB88" s="1"/>
  <c r="AM87"/>
  <c r="AI87"/>
  <c r="AN87" s="1"/>
  <c r="AM86"/>
  <c r="AK86"/>
  <c r="AE86"/>
  <c r="AC86"/>
  <c r="V86"/>
  <c r="AP85"/>
  <c r="AM85"/>
  <c r="AH85"/>
  <c r="AN85" s="1"/>
  <c r="Z85"/>
  <c r="AD85" s="1"/>
  <c r="AM84"/>
  <c r="AH84"/>
  <c r="AN84" s="1"/>
  <c r="Z84"/>
  <c r="AD84" s="1"/>
  <c r="AM83"/>
  <c r="AI83"/>
  <c r="AP83" s="1"/>
  <c r="AF83"/>
  <c r="AD83"/>
  <c r="AB83"/>
  <c r="U83"/>
  <c r="AM82"/>
  <c r="AH82"/>
  <c r="AN82" s="1"/>
  <c r="AM81"/>
  <c r="AH81"/>
  <c r="AP81" s="1"/>
  <c r="AD81"/>
  <c r="AB81"/>
  <c r="AO80"/>
  <c r="AM80"/>
  <c r="AJ80"/>
  <c r="AN80" s="1"/>
  <c r="AD80"/>
  <c r="AB80"/>
  <c r="AM79"/>
  <c r="AJ79"/>
  <c r="AN79" s="1"/>
  <c r="AC79"/>
  <c r="AA79"/>
  <c r="AE79" s="1"/>
  <c r="AM78"/>
  <c r="AJ78"/>
  <c r="AN78" s="1"/>
  <c r="AE78"/>
  <c r="AC78"/>
  <c r="AO77"/>
  <c r="AM77"/>
  <c r="AJ77"/>
  <c r="AP77" s="1"/>
  <c r="AE77"/>
  <c r="AC77"/>
  <c r="AM76"/>
  <c r="AH76"/>
  <c r="AN76" s="1"/>
  <c r="AO75"/>
  <c r="AM75"/>
  <c r="AD75"/>
  <c r="AB75"/>
  <c r="AO74"/>
  <c r="AM74"/>
  <c r="AH74"/>
  <c r="AP74" s="1"/>
  <c r="AF74"/>
  <c r="AD74"/>
  <c r="AB74"/>
  <c r="AM73"/>
  <c r="AK73"/>
  <c r="AP73" s="1"/>
  <c r="AP72"/>
  <c r="AO72"/>
  <c r="AM72"/>
  <c r="AK72"/>
  <c r="AN72" s="1"/>
  <c r="AP70"/>
  <c r="AM70"/>
  <c r="AH70"/>
  <c r="AF70"/>
  <c r="AA70"/>
  <c r="AE70" s="1"/>
  <c r="Z70"/>
  <c r="AB70" s="1"/>
  <c r="AM68"/>
  <c r="AK68"/>
  <c r="AG68"/>
  <c r="AK67"/>
  <c r="AI67"/>
  <c r="AG67"/>
  <c r="AP66"/>
  <c r="AG66"/>
  <c r="AN66" s="1"/>
  <c r="AX65"/>
  <c r="AP65"/>
  <c r="AM65"/>
  <c r="AJ65"/>
  <c r="AN65" s="1"/>
  <c r="AE65"/>
  <c r="AC65"/>
  <c r="AM64"/>
  <c r="AJ64"/>
  <c r="AN64" s="1"/>
  <c r="AE64"/>
  <c r="AC64"/>
  <c r="AM63"/>
  <c r="AH63"/>
  <c r="AN63" s="1"/>
  <c r="AD63"/>
  <c r="AM62"/>
  <c r="AH62"/>
  <c r="AN62" s="1"/>
  <c r="AD62"/>
  <c r="AP61"/>
  <c r="AM61"/>
  <c r="AI61"/>
  <c r="AH61"/>
  <c r="AJ60"/>
  <c r="AP60" s="1"/>
  <c r="AA60"/>
  <c r="AE60" s="1"/>
  <c r="AO59"/>
  <c r="AM59"/>
  <c r="AH59"/>
  <c r="AP59" s="1"/>
  <c r="AD59"/>
  <c r="AB59"/>
  <c r="AP58"/>
  <c r="AM58"/>
  <c r="AF58"/>
  <c r="AN58" s="1"/>
  <c r="Z58"/>
  <c r="AB58" s="1"/>
  <c r="U58"/>
  <c r="AP57"/>
  <c r="AM57"/>
  <c r="AF57"/>
  <c r="AN57" s="1"/>
  <c r="Z57"/>
  <c r="AD57" s="1"/>
  <c r="AM56"/>
  <c r="AH56"/>
  <c r="AF56"/>
  <c r="Z56"/>
  <c r="AB56" s="1"/>
  <c r="AN55"/>
  <c r="AM55"/>
  <c r="AM54"/>
  <c r="AJ54"/>
  <c r="AP54" s="1"/>
  <c r="AE54"/>
  <c r="AC54"/>
  <c r="AM53"/>
  <c r="AI53"/>
  <c r="AN53" s="1"/>
  <c r="AM52"/>
  <c r="AH52"/>
  <c r="AN52" s="1"/>
  <c r="AD52"/>
  <c r="AB52"/>
  <c r="AM51"/>
  <c r="AH51"/>
  <c r="AN51" s="1"/>
  <c r="AD51"/>
  <c r="AB51"/>
  <c r="AH50"/>
  <c r="AP50" s="1"/>
  <c r="AD50"/>
  <c r="Z50"/>
  <c r="AB50" s="1"/>
  <c r="AM49"/>
  <c r="AH49"/>
  <c r="AN49" s="1"/>
  <c r="AD49"/>
  <c r="AB49"/>
  <c r="AP48"/>
  <c r="AM48"/>
  <c r="AF48"/>
  <c r="AN48" s="1"/>
  <c r="AM47"/>
  <c r="AH47"/>
  <c r="AN47" s="1"/>
  <c r="Z47"/>
  <c r="AD47" s="1"/>
  <c r="AP46"/>
  <c r="AN46"/>
  <c r="AF46"/>
  <c r="Z46"/>
  <c r="AD46" s="1"/>
  <c r="AM45"/>
  <c r="AH45"/>
  <c r="AP45" s="1"/>
  <c r="AF45"/>
  <c r="Z45"/>
  <c r="AB45" s="1"/>
  <c r="U45"/>
  <c r="AF44"/>
  <c r="AN44" s="1"/>
  <c r="AP43"/>
  <c r="AM43"/>
  <c r="AH43"/>
  <c r="AN43" s="1"/>
  <c r="AD43"/>
  <c r="AB43"/>
  <c r="AO42"/>
  <c r="AM42"/>
  <c r="AH42"/>
  <c r="AN42" s="1"/>
  <c r="Z42"/>
  <c r="AB42" s="1"/>
  <c r="AO41"/>
  <c r="AM41"/>
  <c r="AH41"/>
  <c r="AN41" s="1"/>
  <c r="AD41"/>
  <c r="AB41"/>
  <c r="AM40"/>
  <c r="AI40"/>
  <c r="AN40" s="1"/>
  <c r="AM39"/>
  <c r="AH39"/>
  <c r="AP39" s="1"/>
  <c r="Z39"/>
  <c r="AD39" s="1"/>
  <c r="AM38"/>
  <c r="AH38"/>
  <c r="AN38" s="1"/>
  <c r="AD38"/>
  <c r="AB38"/>
  <c r="AH37"/>
  <c r="AP37" s="1"/>
  <c r="AD37"/>
  <c r="AP36"/>
  <c r="AO36"/>
  <c r="AM36"/>
  <c r="AN36" s="1"/>
  <c r="AD36"/>
  <c r="AB36"/>
  <c r="AP35"/>
  <c r="AO35"/>
  <c r="AM35"/>
  <c r="AJ35"/>
  <c r="AN35" s="1"/>
  <c r="AE35"/>
  <c r="AC35"/>
  <c r="AN34"/>
  <c r="AM34"/>
  <c r="AJ34"/>
  <c r="AP34" s="1"/>
  <c r="AA34"/>
  <c r="AC34" s="1"/>
  <c r="AM33"/>
  <c r="AJ33"/>
  <c r="AE33"/>
  <c r="AC33"/>
  <c r="AP32"/>
  <c r="AM32"/>
  <c r="AJ32"/>
  <c r="AN32" s="1"/>
  <c r="Z32"/>
  <c r="AD32" s="1"/>
  <c r="AM31"/>
  <c r="AH31"/>
  <c r="AP31" s="1"/>
  <c r="AF31"/>
  <c r="Z31"/>
  <c r="AD31" s="1"/>
  <c r="U31"/>
  <c r="AM30"/>
  <c r="AJ30"/>
  <c r="AN30" s="1"/>
  <c r="AE30"/>
  <c r="AC30"/>
  <c r="AM29"/>
  <c r="AJ29"/>
  <c r="AN29" s="1"/>
  <c r="AE29"/>
  <c r="AC29"/>
  <c r="AM28"/>
  <c r="AF28"/>
  <c r="AN28" s="1"/>
  <c r="AD28"/>
  <c r="AB28"/>
  <c r="AH27"/>
  <c r="AN27" s="1"/>
  <c r="Z27"/>
  <c r="AD27" s="1"/>
  <c r="U27"/>
  <c r="AM26"/>
  <c r="AH26"/>
  <c r="AP26" s="1"/>
  <c r="AD26"/>
  <c r="AB26"/>
  <c r="AH25"/>
  <c r="AP25" s="1"/>
  <c r="AF25"/>
  <c r="AH24"/>
  <c r="AP24" s="1"/>
  <c r="Z24"/>
  <c r="AD24" s="1"/>
  <c r="AM23"/>
  <c r="AH23"/>
  <c r="AP23" s="1"/>
  <c r="AF23"/>
  <c r="Z23"/>
  <c r="AB23" s="1"/>
  <c r="AM22"/>
  <c r="AK22"/>
  <c r="AP22" s="1"/>
  <c r="AP21"/>
  <c r="AM21"/>
  <c r="AF21"/>
  <c r="AN21" s="1"/>
  <c r="Z21"/>
  <c r="AB21" s="1"/>
  <c r="AM20"/>
  <c r="AH20"/>
  <c r="AN20" s="1"/>
  <c r="AB20"/>
  <c r="Z20"/>
  <c r="AD20" s="1"/>
  <c r="AM19"/>
  <c r="AF19"/>
  <c r="AH19" s="1"/>
  <c r="AN19" s="1"/>
  <c r="AM18"/>
  <c r="AF18"/>
  <c r="AN18" s="1"/>
  <c r="AO17"/>
  <c r="AM17"/>
  <c r="AH17"/>
  <c r="AP17" s="1"/>
  <c r="AF17"/>
  <c r="AE17"/>
  <c r="AB17"/>
  <c r="Z17"/>
  <c r="AD17" s="1"/>
  <c r="AM16"/>
  <c r="AH16"/>
  <c r="AN16" s="1"/>
  <c r="AD16"/>
  <c r="AB16"/>
  <c r="AP15"/>
  <c r="AM15"/>
  <c r="AH15"/>
  <c r="AF15"/>
  <c r="Z15"/>
  <c r="AB15" s="1"/>
  <c r="AP14"/>
  <c r="AH14"/>
  <c r="AN14" s="1"/>
  <c r="Z14"/>
  <c r="AB14" s="1"/>
  <c r="AP13"/>
  <c r="AN13"/>
  <c r="AM13"/>
  <c r="AM12"/>
  <c r="AH12"/>
  <c r="AN12" s="1"/>
  <c r="Z12"/>
  <c r="AB12" s="1"/>
  <c r="AP11"/>
  <c r="AN11"/>
  <c r="AM11"/>
  <c r="AM10"/>
  <c r="AJ10"/>
  <c r="AN10" s="1"/>
  <c r="AE10"/>
  <c r="AC10"/>
  <c r="AP9"/>
  <c r="AN9"/>
  <c r="AM9"/>
  <c r="AM8"/>
  <c r="AH8"/>
  <c r="AN8" s="1"/>
  <c r="Z8"/>
  <c r="AD8" s="1"/>
  <c r="AO6"/>
  <c r="AM6"/>
  <c r="AH6"/>
  <c r="AN6" s="1"/>
  <c r="Z6"/>
  <c r="AD6" s="1"/>
  <c r="AM5"/>
  <c r="AH5"/>
  <c r="AP5" s="1"/>
  <c r="AF5"/>
  <c r="Z5"/>
  <c r="AB5" s="1"/>
  <c r="AQ4"/>
  <c r="AM4"/>
  <c r="AN4" s="1"/>
  <c r="AM3"/>
  <c r="AH3"/>
  <c r="AP3" s="1"/>
  <c r="AD3"/>
  <c r="AB3"/>
  <c r="AM2"/>
  <c r="AF2"/>
  <c r="AN2" s="1"/>
  <c r="AD2"/>
  <c r="AB2"/>
  <c r="AB85" l="1"/>
  <c r="AP20"/>
  <c r="AD145"/>
  <c r="AN83"/>
  <c r="AD92"/>
  <c r="AP64"/>
  <c r="AB105"/>
  <c r="AN122"/>
  <c r="AP95"/>
  <c r="AP118"/>
  <c r="AC144"/>
  <c r="AN5"/>
  <c r="AN25"/>
  <c r="AN3"/>
  <c r="AP38"/>
  <c r="AN105"/>
  <c r="AP53"/>
  <c r="AP62"/>
  <c r="AP87"/>
  <c r="AD56"/>
  <c r="AD118"/>
  <c r="AP128"/>
  <c r="AN45"/>
  <c r="AB84"/>
  <c r="AN15"/>
  <c r="AN99"/>
  <c r="AD15"/>
  <c r="AP109"/>
  <c r="AB8"/>
  <c r="AP101"/>
  <c r="AP41"/>
  <c r="AD70"/>
  <c r="AD14"/>
  <c r="AB24"/>
  <c r="AN59"/>
  <c r="AB6"/>
  <c r="AD112"/>
  <c r="AN23"/>
  <c r="AN31"/>
  <c r="AN61"/>
  <c r="AN81"/>
  <c r="AB106"/>
  <c r="AN17"/>
  <c r="AN24"/>
  <c r="AN54"/>
  <c r="AC60"/>
  <c r="AC70"/>
  <c r="AD42"/>
  <c r="AP47"/>
  <c r="AD88"/>
  <c r="AP92"/>
  <c r="AB32"/>
  <c r="AE34"/>
  <c r="AN56"/>
  <c r="AP79"/>
  <c r="AN94"/>
  <c r="AN74"/>
  <c r="AN138"/>
  <c r="AN145"/>
  <c r="AP145"/>
  <c r="AD21"/>
  <c r="AN22"/>
  <c r="AD58"/>
  <c r="AN70"/>
  <c r="AN101"/>
  <c r="AN131"/>
  <c r="AD12"/>
  <c r="AN26"/>
  <c r="AB31"/>
  <c r="AN73"/>
  <c r="AN134"/>
  <c r="AH75"/>
  <c r="AN75" s="1"/>
  <c r="AN96"/>
  <c r="AY65"/>
  <c r="AP137"/>
  <c r="AD107"/>
  <c r="AN112"/>
  <c r="AP10"/>
  <c r="AP42"/>
  <c r="AP49"/>
  <c r="AP63"/>
  <c r="AP84"/>
  <c r="AP93"/>
  <c r="AB98"/>
  <c r="AE109"/>
  <c r="AN139"/>
  <c r="AP27"/>
  <c r="AD45"/>
  <c r="AP51"/>
  <c r="AP80"/>
  <c r="AE119"/>
  <c r="AP138"/>
  <c r="AP144"/>
  <c r="AP6"/>
  <c r="AB57"/>
  <c r="AN68"/>
  <c r="AP76"/>
  <c r="AP108"/>
  <c r="AN130"/>
  <c r="AD5"/>
  <c r="AD23"/>
  <c r="AP29"/>
  <c r="AN33"/>
  <c r="AP78"/>
  <c r="AP82"/>
  <c r="AP111"/>
  <c r="AP113"/>
  <c r="AD127"/>
  <c r="AE132"/>
  <c r="AP140"/>
  <c r="AB27"/>
  <c r="AB130"/>
  <c r="AN97"/>
  <c r="AP97"/>
  <c r="AP30"/>
  <c r="AN37"/>
  <c r="AN39"/>
  <c r="AN60"/>
  <c r="AN77"/>
  <c r="AB93"/>
  <c r="AC111"/>
  <c r="AN119"/>
  <c r="AN127"/>
  <c r="AN137"/>
  <c r="AB143"/>
  <c r="AJ86"/>
  <c r="AP100"/>
  <c r="AP8"/>
  <c r="AP52"/>
  <c r="AP75" l="1"/>
  <c r="AN86"/>
  <c r="AP86"/>
</calcChain>
</file>

<file path=xl/sharedStrings.xml><?xml version="1.0" encoding="utf-8"?>
<sst xmlns="http://schemas.openxmlformats.org/spreadsheetml/2006/main" count="1526" uniqueCount="799">
  <si>
    <t>LEGAJO</t>
  </si>
  <si>
    <t>EXPEDIENTE</t>
  </si>
  <si>
    <t>INGRESO</t>
  </si>
  <si>
    <t>CONDICION del trámite</t>
  </si>
  <si>
    <t>Plano de Mensura</t>
  </si>
  <si>
    <t>Partida Provincial</t>
  </si>
  <si>
    <t>Partida Municipal</t>
  </si>
  <si>
    <t>Concesión</t>
  </si>
  <si>
    <t>Ex-Quinta</t>
  </si>
  <si>
    <t>Manzana</t>
  </si>
  <si>
    <t>Parcela</t>
  </si>
  <si>
    <t>Zonificación</t>
  </si>
  <si>
    <t>Ubicación</t>
  </si>
  <si>
    <t>Propietario</t>
  </si>
  <si>
    <t>Nombre del Establecimiento y/o empresa</t>
  </si>
  <si>
    <t>Proyecto</t>
  </si>
  <si>
    <t>Dirección de obra</t>
  </si>
  <si>
    <t>Estructura</t>
  </si>
  <si>
    <t>Constructor</t>
  </si>
  <si>
    <t>RELEVAMIENTO o existente</t>
  </si>
  <si>
    <t>A CONTRUIR / OBRA NUEVA</t>
  </si>
  <si>
    <t>AMPLIACION de obra existente</t>
  </si>
  <si>
    <t>PROYECTADO (no iniciado)</t>
  </si>
  <si>
    <t>Terreno</t>
  </si>
  <si>
    <t>F. O. S.</t>
  </si>
  <si>
    <t>F. O. T.</t>
  </si>
  <si>
    <t>CATEGORIA</t>
  </si>
  <si>
    <t>Monto de la Inversión (estimado y/o declarado)</t>
  </si>
  <si>
    <t>Derechos de edificación</t>
  </si>
  <si>
    <t>Observaciones</t>
  </si>
  <si>
    <t>AVANCE DE OBRA</t>
  </si>
  <si>
    <t>ENERO</t>
  </si>
  <si>
    <t>RELEVAMIENTO</t>
  </si>
  <si>
    <t>Urbana</t>
  </si>
  <si>
    <t>Calle Ibirá Pita s/Nº - Los Bretes</t>
  </si>
  <si>
    <t>LEDESMA Juan Facundo</t>
  </si>
  <si>
    <t>ZARAGOZA Víctor Andrés</t>
  </si>
  <si>
    <t>Vivienda unifamiliar</t>
  </si>
  <si>
    <t>ING. CIVIL</t>
  </si>
  <si>
    <t>relevamiento de piscina, vivienda existente con planos, BAJO ORD 27/10, art 1, punto 2, inc 2, Infraccion CE art 5, 27, 37</t>
  </si>
  <si>
    <t>mail, 569292</t>
  </si>
  <si>
    <t>Periurbana</t>
  </si>
  <si>
    <t>Seraohin Degeneve s/Nº</t>
  </si>
  <si>
    <t>DIAZ Luis Alberto</t>
  </si>
  <si>
    <t>PACCOT Javier Humberto y BLANC Maximiliano G.</t>
  </si>
  <si>
    <t>ARQ.</t>
  </si>
  <si>
    <t>relevamiento de vivienda unifamiliar y piscina, en PA tres dormitorios y baño, balcon, en PB un dormitorio, lavadero, cocina comedor estar, semicubierto, parrilla, piscina, BAJO ORD 27/10, art 1, punto 2, inc 2 y 3, Infraccion ORD 130/22, art 21, CE art 5, 27, 37, 223, 232, 233</t>
  </si>
  <si>
    <t>mail, 568966</t>
  </si>
  <si>
    <t>A CONSTRUIR</t>
  </si>
  <si>
    <t>Calle Privada s/Nº - Los Bretes</t>
  </si>
  <si>
    <t>ZAPATA MOLAS Priscila</t>
  </si>
  <si>
    <t>POVEDANO Rodrigo</t>
  </si>
  <si>
    <t>LEZCANO Luís</t>
  </si>
  <si>
    <t>Piscina - Quincho</t>
  </si>
  <si>
    <t>piscina y quincho a construir, BAJO ORD 27/10, art 1, punto 2, inc 2, Infraccion CE art 5, 27, 37</t>
  </si>
  <si>
    <t>16/1/25, terminado</t>
  </si>
  <si>
    <t>mail, 569336</t>
  </si>
  <si>
    <t>Centro</t>
  </si>
  <si>
    <t>E. Gouchón Nº 252, 529 (antes 513)</t>
  </si>
  <si>
    <t>CHOQUE CONDORI Susana</t>
  </si>
  <si>
    <t>PERNO RENZI María José</t>
  </si>
  <si>
    <t>Vivienda multifamiliar + Local comercial</t>
  </si>
  <si>
    <t>relevamiento de ampliación realizada sin permiso, 3º piso, vivienda unifamiliar accesible a través de la viienda de la planta inferior, cuenta con un dormitorio, baño, cocina comedor estar, ademas se ejecuto jacuzzi en terraza, BAJO ORD 27/10, art 1, punto 2, inc 2, Infraccion CE art 10, 27, 37, 176, 179, 223 226, 232, 233 del CE, ORD 53/07</t>
  </si>
  <si>
    <t>terminada, 13/01/25</t>
  </si>
  <si>
    <t>Tucumán Nº  1092 y 1096</t>
  </si>
  <si>
    <t>CAIRE Gustavo Germán, Luís Marcelo y Juan Pablo</t>
  </si>
  <si>
    <t>CAIRE Gustavo Germán</t>
  </si>
  <si>
    <t>Vivienda multifamiliar</t>
  </si>
  <si>
    <t>relevamiento de tres unidades de vivienda, una cabaña de un dormitorio, cocina comedor y baño en la esquina, una vivienda tradicional de un dormitorio, baño, cocina comedor, cochera semicubierta y otra vivienda de dos dormitorios, baño cocina comedor, dos cocheras semicubiertas separadas, BAJO ORD 27/10, art 1, punto 2,.inc 2, Infraccion CE art 5, 27, 37, 144, 151, 176, 178, 201</t>
  </si>
  <si>
    <t>Bvard Gaillard esq. Lavalle</t>
  </si>
  <si>
    <t>LUNA Carlos Miguel</t>
  </si>
  <si>
    <t>PONTELA José</t>
  </si>
  <si>
    <t>Moviviemnto de suelo, pluviales</t>
  </si>
  <si>
    <t>movimiento de suelos, terraplenamiento, nivelación, ejecución de pluviales e impèrmeabilización de medianeras, tres denuncia de vecino por infiltraciones a su propiedad, desplazan la tieera de rrelleno lejos de la medianera y ejecutan un pluvial hacia Gaillard</t>
  </si>
  <si>
    <t>14/10/24, no comenzada</t>
  </si>
  <si>
    <t>PeriUrbana</t>
  </si>
  <si>
    <t>Calle Pública s/Nº</t>
  </si>
  <si>
    <t>schefski Viviana Erika y BONI Jorge Ruben</t>
  </si>
  <si>
    <t>CABRAL Fernando Antonio</t>
  </si>
  <si>
    <t>relevamiento de una vivienda de dos dormitorios, baño, cocina comedor estar, galeria semicubierta / cochera lateral, un monoambiente y depósito al fondo, piscina , BAJO ORD 27/1, art 1, punto 2, inc 2 y 3, Infraccion Ord 130/22, art 21, CE art 5, 27, 37, 178, 236</t>
  </si>
  <si>
    <t>g</t>
  </si>
  <si>
    <t>Cabo Pereyra N° 155 y 157 esq Gouchón</t>
  </si>
  <si>
    <t>VIOLLAZ Fabián Lucas Martín y FAN RODRIGUEZ Marcela</t>
  </si>
  <si>
    <t>MORARD Manuel A.</t>
  </si>
  <si>
    <t>no identificado</t>
  </si>
  <si>
    <t>Local comercial</t>
  </si>
  <si>
    <t>ING. CONST.</t>
  </si>
  <si>
    <t>dos locales comerciales a construir, cada uno con un baño de un inodoro y un kitchinette</t>
  </si>
  <si>
    <t>2/12/24, baldío</t>
  </si>
  <si>
    <t>n</t>
  </si>
  <si>
    <t>Rocamora Nº 1177 e/Piamonte y Penon</t>
  </si>
  <si>
    <t>BORTAGARAY Patricio Antonio</t>
  </si>
  <si>
    <t>REVISAR Nº DE FINCA</t>
  </si>
  <si>
    <t>GOMEZ Erika</t>
  </si>
  <si>
    <t>AGUARA CONSTRUCCIONES SA</t>
  </si>
  <si>
    <t>vivienda unifamiliar a cosntruir, dos dormitorios, baño, cocina comedor desayunador estar, cochera descubierta</t>
  </si>
  <si>
    <t>02-12-2024, baldío</t>
  </si>
  <si>
    <t>mail, 567818</t>
  </si>
  <si>
    <t>AMPLIACION</t>
  </si>
  <si>
    <t>San Martín Nº 859</t>
  </si>
  <si>
    <t>SILVA Paola Edith</t>
  </si>
  <si>
    <t>NOLASCO Joaquina</t>
  </si>
  <si>
    <t>FILLIPPELLI Eduardo</t>
  </si>
  <si>
    <t>demolicion interior de construcción, refacciones varias, pasa de vivienda y galpon a restaurante, BAJO ORD 27/10, art 1, punto 1, inc 9, punto 2 inc 2 y 3, Infraccion art 5, 27, 37, 144, 179, 187 del CE, Ord 130/22, art 20, Ord 130/22, art 16</t>
  </si>
  <si>
    <t>28/11/24, demolicion terminada, obra gruesa terminada</t>
  </si>
  <si>
    <t xml:space="preserve"> </t>
  </si>
  <si>
    <t>Paso de los Andes s/Nº esq. Salsipuedes</t>
  </si>
  <si>
    <t>LARRIGAU Germán Ariel</t>
  </si>
  <si>
    <t>MANUCCI José Manuel</t>
  </si>
  <si>
    <t>relevamiento de dos unidades de vivienda , cada una con dos dormitorios, cocina comedor estar, baño, lavadero al fondo semicubierto, cochera lateral semicubierta, BAJO ORD 27/10, art 1, punto 2, inc 2 y 3, Infraccion Ord 130/22, art 20, CE art 5, 27, 37, ORD 130/22, art 20</t>
  </si>
  <si>
    <t>URBANA</t>
  </si>
  <si>
    <t>9 de Julio N° 309</t>
  </si>
  <si>
    <t>SANDOVAL Nadia Alejandra</t>
  </si>
  <si>
    <t>VALLARINO Guillermo Daniel y MARIN Jorge Fabricio</t>
  </si>
  <si>
    <t>RAMOS Omar Ricardo</t>
  </si>
  <si>
    <t>Quincho</t>
  </si>
  <si>
    <t>quincho a construir, lavadero, baño, cocina comedor desayunador, cochera cubierta doble al frente ( es vivienda) BAJO ORD 27/10, art 1, punto 1, inc 9, Infraccion Ord 130/22, art 20, CE art 5, 27 y 37</t>
  </si>
  <si>
    <t>mail, 568881</t>
  </si>
  <si>
    <t>Chacras</t>
  </si>
  <si>
    <t>SARTORELLI Carlos Gabriel</t>
  </si>
  <si>
    <t>CASAS Ileana Lihue</t>
  </si>
  <si>
    <t>relevamiento vivienda unifamiliar, cabaña y piscina, vivienda dos dormitorios, uno con baño y "vestidor", baño, cocina comedor estar, galeria semicubierta perimetral, cochera semicubierta lateral, cabaña tipo alpina, baño, cocina comedor, entrepiso, piescina, BAJO ORD 27/1, art 1, punto 2, inc 2 y 3, Infraccion CE art 5, 27, 37, 176, 178, 181, 182, 202, 227, ORd 130/22, art 24</t>
  </si>
  <si>
    <t>Bernard Nº 434</t>
  </si>
  <si>
    <t>VIVAS Carlos Daniel</t>
  </si>
  <si>
    <t>BERTOLDI Fabian A</t>
  </si>
  <si>
    <t>relevamiento de ampliaciones realizadas en deptos con antecedentes, incorpora piscina, BAJO ORD 27/10, art 1, punto 2, ic 2 y 3, Infraccion CE art 5, 27, 37, 141, 151, 179, Ord 56/07, art 3, Ord 53/07, Ord 130/22, art 20</t>
  </si>
  <si>
    <t>Periurnana</t>
  </si>
  <si>
    <t>Madres y Abuelas de Plaza de Mayo s/Nº</t>
  </si>
  <si>
    <t>LUCIONI Carlos Alberto y  ROLON Marìa Claudia</t>
  </si>
  <si>
    <t>PENON Luciano Daniel</t>
  </si>
  <si>
    <t>relevamiento de ampliaciones realizadas, construccion con planos antcedentes, , vivienda existente de dos dormitorios, baño, cocina comedor y pequeño semicubiertos con parrilla al frente, relevado un deposito con baño y una pérgola, BAJO ORD 27/10, art 1, punto 2, inc 2, ÇInfraccion CE art 5, 27, 37, 176 y 247</t>
  </si>
  <si>
    <t>Calle Pùblica s/Nº</t>
  </si>
  <si>
    <t>CARRERAS Marìa Florencia y PICCA Petrona Teresa</t>
  </si>
  <si>
    <t>RELIQUIDAR</t>
  </si>
  <si>
    <t>GUTIERREZ Fernando Marcelo</t>
  </si>
  <si>
    <t>PICAPALO</t>
  </si>
  <si>
    <t>dos unidades de vivienda cabañas "Picapalo" a relevar, dos dormitorios, baño con ducha, cocina comedor, galerìa semicubierta en acceso, no se ve estacionamiento, Bajo Ord 27/0, art 1, punto 2, inc 2, Infraccion Ord 53/07, Infraccion art 5, 27, 37, 178, 179, 182, 201, 202, Ord 56/07, art 3 del CE</t>
  </si>
  <si>
    <t>mail, 566629</t>
  </si>
  <si>
    <t>Calle Chaiñar esq Madres y Abuelas de P. de Mayo</t>
  </si>
  <si>
    <t>ARROYO Arnaldo Adrián</t>
  </si>
  <si>
    <t>GRAZIANI Jorge Agustín Alexis</t>
  </si>
  <si>
    <t>tres unidades de vivienda EXISTENTES, una en PA monoambiente, en PB una de un dormitorio, baño, cocina, comedor estar, pileta, cochera descubierta, otra de tres dormitorios en PB y uno en suite en PA con vestidor baño y gimnasio, abajo Hall, living comedor, cocina, quincho, baño, oficina, BAJO ORD 27/10, art 1, punto 2, inc 2, Infraccion art 5, 27, 37, 144, 179, 223, 233 del CE, Ord 130/22, art 21, Anexo V, Zona Periurbana</t>
  </si>
  <si>
    <t>15/11/24, terminado</t>
  </si>
  <si>
    <t>Madres y Abuelas de P de Mayo</t>
  </si>
  <si>
    <t>RELEVAMIENTO DE QUINCHO EJECUTADO EN EL VERTICE INTERIOR DEL LOTE</t>
  </si>
  <si>
    <t>MAIL, 568633</t>
  </si>
  <si>
    <t>Florentina Gómez Miranda esq Mitre Nº 1257</t>
  </si>
  <si>
    <t>GAUTO Miguel Angel</t>
  </si>
  <si>
    <t>relevamiento de cinco unidades de vivienda, dos en la esquina, de una de un dormitorio, cocina comedor, baño, otra de tres dormitorios, dos mas sector EM, dos en PB una de un dormitorio y otra de dos dormitorio, cocina comedor, baño, otra en PA de dos dormitorios, cocina comedor, baño, terraza, sin  cocheras, BAJO ORD 27/10, art 1, punto 2, inc 1, 2 y 3, Infraccion CE art 5, 27, 37, 130, 144, 151, 179, 181, 182, 201, 202, 236, 246, Ord 130/22, art 20, ORD 53/07</t>
  </si>
  <si>
    <t>mail, 568697</t>
  </si>
  <si>
    <t>Milsten esq Espinillo - Loteo Blanc</t>
  </si>
  <si>
    <t>MIRANDA Graciela</t>
  </si>
  <si>
    <t>PALACIOS María Silvina</t>
  </si>
  <si>
    <t>relevamiento de tres unidades de vivienda, un monoambiente, pegado a una vivienda de dos dormitorios en PA, baño, cocina comedor estar en PB, al frente dos unidades de un dormitorio en PA, cocina comedor y baño en PB, BAJO ORD 27/10, art 1, punto 2, inc 2 y 3 Infraccion ORd 130/22, art 21, Ord 53/07, CE art 5, 27, 37, 141, 144, 176, 178, 179, 181, 182, 202, 223, 233</t>
  </si>
  <si>
    <t>FEBRERO</t>
  </si>
  <si>
    <t>mail, 562427</t>
  </si>
  <si>
    <t xml:space="preserve">Juan José Paso Nº </t>
  </si>
  <si>
    <t>MALLIET Laureano Ruben</t>
  </si>
  <si>
    <t>GRANE Carolina</t>
  </si>
  <si>
    <t>VERON David Omar</t>
  </si>
  <si>
    <t>vivienda unifamiliar a demoler, dos locales comerciales a consrtuir, BAJO ORD 27/10, art 1, punt 1, inc 9, Infraccion art 5, 27, 38 del CE</t>
  </si>
  <si>
    <t>demolicion concluida, 13/05/24</t>
  </si>
  <si>
    <t>mail, 570292</t>
  </si>
  <si>
    <t>Chacabuco Nº 346 esq Maipú Nº 193</t>
  </si>
  <si>
    <t>CABRERA Alfredo Antonio y otra</t>
  </si>
  <si>
    <t>relevamiento de dos unidades de vivineda, una de un dormitorio, cocina comedor, estar, patio, lavadero ext, otra PB cocina, comedor estar, cochera, PA dos dormitorios, uno con vestidor y terraza, terraza con parrillla, BAJO ORD 27/10, art 1, punto 2, inc 2 y 3, Infraccion Ord 2/25, anexo 1, art 23, CE art 5, 27, 37, 179, 181, 182, , Ord 53/07</t>
  </si>
  <si>
    <t>Tucumán Nº 1175</t>
  </si>
  <si>
    <t>VILLANUEVA Sonia Marìa</t>
  </si>
  <si>
    <t>MANUCCI José M</t>
  </si>
  <si>
    <t>relevamieto de tres unidades de vivienda, tres monoambientes, con baño, semicubierto con parrilla, vivienda de un dormitorio, con cocina, comedor estar, baño, cocheras descubiertas, BAJO ORD 27/10, art 1, punto 2, inc 2, Infracccion art 5, 27, 37, 144, 151, 178, 179, 181, 182, 201, 202, 226, 247, 256 DEL CE, ORd 53/07</t>
  </si>
  <si>
    <t>mail, 569905</t>
  </si>
  <si>
    <t>Combatientes de Malvinas Nº 130</t>
  </si>
  <si>
    <t>MARTINEZ Ruben Mario y SCALESE Elisabet</t>
  </si>
  <si>
    <t>MOYANO Marìa Laura</t>
  </si>
  <si>
    <t>relevamiento de ampliaciones ejecutadas en grupo de dos viviendas, piscina y semicubiertoa a declarar, BAJO ORD 27/10, art 1, punto 2, inc 2 y 3, Infraccion CE art 5, 27, 37, 144, 151, 176, 178, 179, 181, 182, 202, 214, 223, 227, 233, 236, Ord 56/07, art 3, inc 1, sub inc A, 3; Ord 53/07, Ord 02/25, Anexo 1, art 23</t>
  </si>
  <si>
    <t xml:space="preserve">  5/1/25</t>
  </si>
  <si>
    <t>mail, 569752</t>
  </si>
  <si>
    <t>Calle Lapacho Nº 95</t>
  </si>
  <si>
    <t>PORTALE Leandro Ariel y MALCENIDO Laura Andrea</t>
  </si>
  <si>
    <t>BENITEZ Enrique</t>
  </si>
  <si>
    <t>M.M.O.</t>
  </si>
  <si>
    <t>relevamiento de ampliación realizada en vivienda IAPV (ombu), BAJO ORD 27/10, art 1, punto 2, inc 2 y 3, Infraccion CE art 5, 27, 37, 141, 178, 201, 202, 223, 233, Ord 130/22, art 20</t>
  </si>
  <si>
    <t>MAIL, 541760</t>
  </si>
  <si>
    <t>Salta Nº 239</t>
  </si>
  <si>
    <t>BOUVET Adan Ramón</t>
  </si>
  <si>
    <t xml:space="preserve">relevamiento de 5 unidades de vivienda, un monoambiente en PA, 3 de dos dormitorios en PB y una de un dormitorio, con cocina comedor, baño, la del fondo con quincho con parrilla, cerró tapó el canal Salta sin permiso, BAJO ORD 27/10, art 1, punto 2, inc 2 y 3, Infraccion ORd 02/25, Anexo 1, art 23, Infraccion CE art 5, 27, 37, 178, 179, 181, 182, 201, 202, 214, 223, 226, 233, Ord 53/07, </t>
  </si>
  <si>
    <t>Zona de Amortiguación Ambiental II</t>
  </si>
  <si>
    <t>Ruta Nac Nº 14, km…</t>
  </si>
  <si>
    <t>VERNAZ Marcelo Daniel</t>
  </si>
  <si>
    <t>JACQUET Ariel Norberto</t>
  </si>
  <si>
    <t>Vivienda unifamiliar + Depósitos</t>
  </si>
  <si>
    <t>relevamiento de galpones, depósitos, cada uno con pequeña oficina, uno de ellos con sanitario, vivienda ubicada en un lateral del lote, deshabitada y en mal estado, tiene 4 dormitorios, cada uno con baño, dos sectores de depísoto, dos toiletes, otro deposito de acceso exterior, galeria semicubierta, cocina y dormitorio, paso lavadero, deposito fondo, BAJO ORD 27/10, art 1, punto 2, inc 2 y 3, Infraccion ORD 2/25, art 34, CE art 5, 27, 37, 178, 179, 187, 201, 236, 262, 264, 282</t>
  </si>
  <si>
    <t xml:space="preserve">Alberdi s/Nª </t>
  </si>
  <si>
    <t>GABIOUD Griselda Raquel</t>
  </si>
  <si>
    <t>AGUARA CONSTRUCTORA SA</t>
  </si>
  <si>
    <t>vivienda unifamiliar a construir, dos dormitorios, baño completo compartimentado, cocina comedor desayunador estar, galeria semicubierta expansión con parrilla, y cochera semicubierta lateral</t>
  </si>
  <si>
    <t>6/1/25, baldio</t>
  </si>
  <si>
    <t>mail, 568979</t>
  </si>
  <si>
    <t>Creppy Nº 79</t>
  </si>
  <si>
    <t>NUÑEZ  Lucía Nair</t>
  </si>
  <si>
    <t>FORBES Carlos A.</t>
  </si>
  <si>
    <t>vivienda unifamiliar a construir, tres dormitorios, un dormitorio en suite con vestidor, baño completo, cocina desayunador comedor estar, galeria semicubierta expansión con parrilla, y cochera semicubierta lateral, baño de servicio exterior</t>
  </si>
  <si>
    <t>9/1/2025, baldío, demolición terminada</t>
  </si>
  <si>
    <t>mail, 569187</t>
  </si>
  <si>
    <t>Paso de los Andes s/Nº 2182</t>
  </si>
  <si>
    <t>RAMIREZ Gerónimo</t>
  </si>
  <si>
    <t>TRABICHET Romina</t>
  </si>
  <si>
    <t>vivienda unifamiliar existente al frente del lote, un dormitorio, cocina comedor, baño, dos unidades de viv relevadas al fondo, cabañas monoambientes, baño, BAJO ORD 27/10, art 1, punto 2, inc 2 y 3, INFRACCION ORD 2/25, Anexo 1, art 23, Ord 53/07, CE art 5, 27, 37, 141, 144,151, 176, 178, 181, 182, 198, 202, 214, 223, 226, 232, 233, 247</t>
  </si>
  <si>
    <t>mail, 569958</t>
  </si>
  <si>
    <t>CAMPOSTRINI María Eugenia</t>
  </si>
  <si>
    <t>SALDAÑA Guadalupe</t>
  </si>
  <si>
    <t>RUIZ DIAZ Marcelo J</t>
  </si>
  <si>
    <t>vivienda unifamiliar a contruir, con piscina, en PB dormitorio ppal en suite, con vestidor y baño, hall de acceso, toilete, comedor estar cocina desayunador, despensa y lavadero, galeria semicubierta con parrilla, y toilete ext, semicubierto al frente para dos autos, en PA dos dormitorios</t>
  </si>
  <si>
    <t>5/2/25, baldio</t>
  </si>
  <si>
    <t>mail, 568412</t>
  </si>
  <si>
    <t>Noailles Nº 546</t>
  </si>
  <si>
    <t>CAGIGAS Jose Maria</t>
  </si>
  <si>
    <t>AMERICAN BUILDING S.A.U.</t>
  </si>
  <si>
    <t>PERNO Rubén Alberto</t>
  </si>
  <si>
    <t>Viviemda multifamiliar</t>
  </si>
  <si>
    <t>ING. CONST</t>
  </si>
  <si>
    <t>edificio de deptos, 12 unidades a construir, cada una con un dormitorio, baño, cocina comedor estar, balcon, cochera semicubierta en PB, se anexa al edificio ya visado y se unifican lotes</t>
  </si>
  <si>
    <t>Bvard Gûemes Nº 168</t>
  </si>
  <si>
    <t>LENTINO Rosa Josefina</t>
  </si>
  <si>
    <t>18 departamentos EN CONSTRUCCION CON PLANO YA VISADO 22/05/24, 4 de dos dormitorios, baño, cocina comedor estar, el resto de un dormitorio, cocina comedor estar, cocheras descubiertas y semicubiertas en PB, BAJO ORD 27/10, art 1, punto 1, inc 9, punto 2 inc 2 y 3, CE art 5, 27, 37, ORD 02/25, ANEXO 1, Art 23</t>
  </si>
  <si>
    <t>19/12/24 , iniciada, fundaciones e instalaciones</t>
  </si>
  <si>
    <t>MARZO</t>
  </si>
  <si>
    <t>Calle Juan C Pozzi s/Nº</t>
  </si>
  <si>
    <t>STURTZ Alejandra Patricia</t>
  </si>
  <si>
    <t>BESSON Valeria Soledad</t>
  </si>
  <si>
    <t>LEZCANO Carlos</t>
  </si>
  <si>
    <t>vivienda unifamiliar a construir, un dormitorio en suite con baño completo y vestidor, baño de servicio, hall de acceso, estar, cocina desayunador comedor, galeria semicubierta con sector parrrilla, semicubierto de acceso, acceso de servicio, lavadero cubierto</t>
  </si>
  <si>
    <t>23/1/25, no comenzada</t>
  </si>
  <si>
    <t>SERRA Susana Alicia</t>
  </si>
  <si>
    <t>DE LA FUENTE Natalia</t>
  </si>
  <si>
    <t>relevamiento de vivienda unifamiliar de bloques de Hormigón, un dormitorio, cocina comedor estar, baño, deposito, espacio de cochera descubierta, vereda a cosntruir, BAJO ORD 27/10, art 1, punto 2, inc 2, Infraccion CE art 5, 27, 37, 144, 151</t>
  </si>
  <si>
    <t>MAIL, 570863</t>
  </si>
  <si>
    <t>Moreno Nº 835 esq Bvard Gonzalez</t>
  </si>
  <si>
    <t>VELLAND Raúl Oscar</t>
  </si>
  <si>
    <t>COT Davis Enrique</t>
  </si>
  <si>
    <t>relevamiento de vivienda unifamiliar, MONOAMBIENTE, COCINA COMEDOR DORMITORIO, BAÑO, SEMICUBIERTO LATERAL, bajo ord 27/10, ART 1, PUNTO 2, INC 2, Infracion ce ART 5, 27, 37, 144, 151 ,202, 223, 232, 233</t>
  </si>
  <si>
    <t>Bvard Gonzalez Nº 640</t>
  </si>
  <si>
    <t>REBOSSIO Eric Alejandro</t>
  </si>
  <si>
    <t>MARIN Jorge Fabricio</t>
  </si>
  <si>
    <t>relevamiento de vivienda unifamiliar, en PB cocona comedor estar, baño, cochera cubierta, deposito lavadero, en PA dos dormitorios, estar intimo, deposito, pequeño balcon al frente, BAJO ORD 27/10, art 1, punto 2, inc 1 y 2, Infraccion CE art 5, 27, 37, 144, 151, 181, 182, 201, 202, 236 (Ç pozo en la vereda)</t>
  </si>
  <si>
    <t>mail, 570383</t>
  </si>
  <si>
    <t>Santa Crúz Nº 510, 514</t>
  </si>
  <si>
    <t>RECALDE Horacio José</t>
  </si>
  <si>
    <t>relevamiento de cinco unidades de viviendados monoambientes, dos unidades de un dormitorio, una de dos dormitorios, todas con un solo baño, cocina comedor, cocheras en retiro solo para 3 unidades, BAJO ORD 27/10, art 1, punto 2, inc 2 y 3, Infraccion Ord 02/25, anexo 1, art 23, Ord 53/07, Ord 56/07, art 3, CE art 5, 27, 37, 144, 151, 178, 179, 181, 182, 202, 223, 226, 233, 247</t>
  </si>
  <si>
    <t>mail, 570639</t>
  </si>
  <si>
    <t>M. Moreno Nº  240, e/ Laprida y Alem</t>
  </si>
  <si>
    <t>MASE Andres Javier y YANINA Maria Victoria</t>
  </si>
  <si>
    <t>SOTO Lorena Paola</t>
  </si>
  <si>
    <t xml:space="preserve">modificaciones en vivienda unifamiliar se convierte en restaurante, llocal comercial en la esquina, existnete con planos viejos, se releva parte de servicios y deposito, BAJO ORD 27/10, art 1, punto 2, inc 2 , Infraccion Ord 2/25, anexo 1, art 23, CE art 5, 27, 37, 130, 144, 151, 179, 191, 230, 232, </t>
  </si>
  <si>
    <t>5/3/25, terminado</t>
  </si>
  <si>
    <t>Tucumán Nº 1184</t>
  </si>
  <si>
    <t>DULCCE Carlos Emilio</t>
  </si>
  <si>
    <t>MARTIN Melisa Paola</t>
  </si>
  <si>
    <t>vivienda unifamiliar relevada, un dormitorio en PA, cocina comedor, baño y cochera semicubierta en PB, BAJO ORD 27/10, art 1, punto 2, inc 2, Infraccion CE art 5, 27, 37, 141, 144, 151, 194, 201, 202, 223, 233</t>
  </si>
  <si>
    <t>Paso de los Andes Nº 175</t>
  </si>
  <si>
    <t>SUGASTI Juan Guillermo</t>
  </si>
  <si>
    <t>LEMA Carolina Isabel</t>
  </si>
  <si>
    <t>relevamiento de una unidad monoambiente, con office y baño, otra unidad de un dormitorio, baño, cocina comedor y patio, BAJO ORD 27/10, art 1, punto 2, inc 2 y 3, Infraccion Ord 2/25, (retiro), Ord 53/07(cocheras), CE art 5, 27, 37, 176, 178, 179, 202, 247</t>
  </si>
  <si>
    <t>mail, 570355</t>
  </si>
  <si>
    <t>rELEVAMIENTO</t>
  </si>
  <si>
    <t>PORCILE Anahí</t>
  </si>
  <si>
    <t xml:space="preserve">relevamiento de salon de usos multiples en ejecucipn , dos grupos sanitrios hombre mujeres, cada uno con dos inodoros, dos bahcas compartidas, vivenda existente con planos </t>
  </si>
  <si>
    <t>19-02-2025, temrinado</t>
  </si>
  <si>
    <t>CONFORME</t>
  </si>
  <si>
    <t>Núcleo Urbano Ampliado</t>
  </si>
  <si>
    <t>Calle Pública s/N°</t>
  </si>
  <si>
    <t>VALLEJOS Claudio Alberto</t>
  </si>
  <si>
    <t>plano conforme a obra de vivienda unifamiliar, PB estar comedor cocina, dormitorio, baño, sector bacha, lavadero, galeria semicubierta, cochera semicubierta, PA dos dormitorios y baño, BAJO ORD 27/10, art 1, punto 2, inc 2, Infraccion CE art 141, 144, 151, 181, 182, 202</t>
  </si>
  <si>
    <t>mail, 570736</t>
  </si>
  <si>
    <t>Chacabuco Nº 774</t>
  </si>
  <si>
    <t>CASTAGNOLI Sonia J</t>
  </si>
  <si>
    <t>MOYANO María Laura</t>
  </si>
  <si>
    <t>relevamiento , antigua vivienda convertida en dos minideptos de un dormitorio, baño, cocina comedor, vivienda de madera de PB y PA constrida en el fondo del lote, dos dormitorios , baño, cocina comedor estar, piscina, cochera semicubierta para un vehiculo, BAJO ORD 27/10, art 1, punto 2, inc 2 y 3, Infraccion CE art 5, 27, 37, 144, 151, 176, 178, 179, 181, 182, 198, 201, 202, 223, 233, 247, ORD 56/07, art 3, inc 1, sub inc 1, ORD 53/07, ORD 02/25, Anexo 1, art 23</t>
  </si>
  <si>
    <t>mail, 568967</t>
  </si>
  <si>
    <t>Calle Pública esq Ruta Nº 135</t>
  </si>
  <si>
    <t>RUIZ DIAZ Juliana</t>
  </si>
  <si>
    <t>MAHER Luciana</t>
  </si>
  <si>
    <t>relevamiento de seis unidades de vivienda de alquiler, cada una con un dormitorio, baño, cocina comedor, cochera descubierta, pequeño semicubierto; piscina,  , BAJO ORD 27/10, art 1, punto 2, inc 2 y 3, Infraccion Ord 02/25, Anexo 1, art 24, INFRACCION  CE art 5, 27, 37, 144, 151, 178, 179, 202, ORD 53/07</t>
  </si>
  <si>
    <t>mail, 570657</t>
  </si>
  <si>
    <t>Sarmiento Nº  684</t>
  </si>
  <si>
    <t>MARZIANO Juan Pablo</t>
  </si>
  <si>
    <t>DURAN Jorge Gregorio</t>
  </si>
  <si>
    <t>GRAZIANI Jorge Agustin Alexis</t>
  </si>
  <si>
    <t>Cabañas</t>
  </si>
  <si>
    <t>relevamiento de dos cabañas, sólo dormitorios con baño,, bajo ord 27/10, ART 1, PUNTO 2, INC 2 Y 3, INFRACCION CE art 5, 27, 37, 144, 151, 176, 178, 181, 182, 198, 201, 202, 214, ORD 2/25, Anexo 1, art 23</t>
  </si>
  <si>
    <t>Calle Pùblica s/Nº - Los Bretes</t>
  </si>
  <si>
    <t>PIANETTI, Oscar Damiàn</t>
  </si>
  <si>
    <t>SERRANO María Laura y VIOLLAZ Carolina</t>
  </si>
  <si>
    <t>VIOLLAZ Josè Alberto</t>
  </si>
  <si>
    <t>vivienda existente con plano de 2022, piscina a cosntruir</t>
  </si>
  <si>
    <t>13/03/25, no comenzado</t>
  </si>
  <si>
    <t>AMARILLO Martin Alberto y CALLERO Patricia Cecilia</t>
  </si>
  <si>
    <t>relevamiento de vivienda unifamiliar, dos dormitorios, uno mas pasado por "escritorio", cocina barra desayunador comedor estar, baño, cochera semicubierta lateral, galeria fondo con parrilla, piscina con sector cabina deposito, BAJO ORD 27/10, art 1, punto 2, inc 2 y 3, INFRACCION ORD 2/25, Anexo 1, art 23, CE art 5, 27, 37, 144, 151, 176, 179, 181, 182, 201, 202, 223, 233, 236, ORD 53/07</t>
  </si>
  <si>
    <t>ABRIL</t>
  </si>
  <si>
    <t>QUINTAS</t>
  </si>
  <si>
    <t>Ruta Nº 135, KM 4,5</t>
  </si>
  <si>
    <t>CAGLIERI Norma Rita</t>
  </si>
  <si>
    <t>Vivienda unifamiliar + Quincho SUM</t>
  </si>
  <si>
    <t>M.M.O</t>
  </si>
  <si>
    <t xml:space="preserve">relevamiento de un depto de dos dormitorios, uno en PA con pequeño estar intimo, otro en PB cocina comedor y baño, adosado a un quincho con baños hombre y mujer mas baño discapacitados, dos dormitorios amplios en PA, quiere habilitar como hosteria, BAJO ORD 27/10, art 1, punto 2, inc 2, Infraccion Ord 56/07, art 4, Ord 53/07, CE art 5, 27, 37, 176, 179, 226 </t>
  </si>
  <si>
    <t>mail, 571125</t>
  </si>
  <si>
    <t>Calle Karai Yamandú S/Nº</t>
  </si>
  <si>
    <t>KÜHN Juan Ignacio y PARDO Brenda Mariel</t>
  </si>
  <si>
    <t>relevamiento de una vivienda, tres dormitorios, uno con vestidor, baño, paso, hall ingreso, estar comedor cocina desayunador, galeria lateral y fondo, con cochera y parrilla, BAJO ORD 27/10, art 1, punto 2, inc 2 y 3, Infraccion Ord 2/25, Anexo 1, art 24, CE art 5, 27, 37, 141, 144, 151, 178, 181, 182, 202</t>
  </si>
  <si>
    <t>mail, 571193</t>
  </si>
  <si>
    <t>Juana Uzurduy s/Nº</t>
  </si>
  <si>
    <t>LEGASPI Manuel Antonio</t>
  </si>
  <si>
    <t>relevamiento de vivienda unifamiliar de un dormitorio, baño, cocina comedor estar, lavadero cubierto, semicubierto cochera lateral, semicubierto frente acceso, BAJO ORD 27/10, art 1, punto 2, inc 2, Infraccion CE art 5, 27, 37, 144, 151, 179, 202</t>
  </si>
  <si>
    <t>mail, 571200</t>
  </si>
  <si>
    <t>Larpida Nº 51, esq Avda Urquiza</t>
  </si>
  <si>
    <t>FERREYRA María Estela</t>
  </si>
  <si>
    <t>Local Comercial</t>
  </si>
  <si>
    <t>relevamiento de local comercial, un solo baño, BAJO ORD 27/10, art 1, punto 2, inc 1 y 2, Infraccion Ord 29/10, art 1, Ord 130/22, art 19, CE art 5, 27, 37, 130,  176, 179, 202, 230</t>
  </si>
  <si>
    <t>Las Perdices s/Nº</t>
  </si>
  <si>
    <t>ECHEGARAY Hector Pablo</t>
  </si>
  <si>
    <t>MARONE Leandro E.</t>
  </si>
  <si>
    <t>vivienda unifamiliar a construir, dos dormitorios, baño, cocian comedor estar, lavadero descubierto, cochera descubierta</t>
  </si>
  <si>
    <t>mail, 571515</t>
  </si>
  <si>
    <t>12 de Abril Nº 450</t>
  </si>
  <si>
    <t>MORALES Yolanda Griselda</t>
  </si>
  <si>
    <t>relevamiento de modificaciones realizadas en local comercial, BAJO ORD 27/10, art 1, punto 2, inc 2 y 3, Infraccion ORD 130/22, art 19, CE art 5, 27, 37, , 179, ,,,</t>
  </si>
  <si>
    <t>mail, 571751</t>
  </si>
  <si>
    <t>3 DE Febrero Nº 122</t>
  </si>
  <si>
    <t>CARDENAL Carolina Anali</t>
  </si>
  <si>
    <t>SOLIS Carlos Gustavo</t>
  </si>
  <si>
    <t>2+1</t>
  </si>
  <si>
    <t>relevamiento de quincho y pileta ejecutados al fondo, siete unidades de vivienda,2 tipo monoambiente, con una division precaria en el interior, una en PA de dos dormitorios, baño, cocina comedor estar, cocheras al frente</t>
  </si>
  <si>
    <t>2+2</t>
  </si>
  <si>
    <t>4 tipo monoambiente, con una division precaria en el interior, dos en PB y dos iguales en PA, estos dos lotes funcionan juntos como complejo, BAJO ORD 27/10, art 1, punto 2 y 3, Infraccion Ord 02/25, Anexo 1, art 23, Ord 53/07, CE Art 5, 27, 37, 141, 144, 151, 178, 179, 202, 223, 226, 232, 233, 247</t>
  </si>
  <si>
    <t>mail, 571750</t>
  </si>
  <si>
    <t>Mitre Nº 228</t>
  </si>
  <si>
    <t>LOPEZ Héctor Osvaldo</t>
  </si>
  <si>
    <t>relevamiento de tres viviendas, dos en PB y una en PA, cada una de dos dormitorios, cocina comedor estar, baño, la de PA con terraza de acceso, una sola cochera</t>
  </si>
  <si>
    <t>mail, 571399</t>
  </si>
  <si>
    <t>Calle ·Echague s/Nº - Colonia Hughes</t>
  </si>
  <si>
    <t>LANZAROTTI Ana Candelaria</t>
  </si>
  <si>
    <t>VOEFFRAY Nora Rosana</t>
  </si>
  <si>
    <t>relevamiento de vivieda unifamiliar de dos dormitorios, baño, cocina, comedor estar, cochera semicubierta lateral, semicubierto al frente, BAJO ORD 27/10, art 1, punto 2, inc 2, Infraccion CE art 5, 27, 37, 176, 178, 181, 182, ORD 02/25, Anexo 01, Art 24</t>
  </si>
  <si>
    <t xml:space="preserve">Noailles Nº </t>
  </si>
  <si>
    <t>DEYMONNAZ Oscar</t>
  </si>
  <si>
    <t>FIDEICOMISO ASIA I</t>
  </si>
  <si>
    <t>JACQUET Roberto</t>
  </si>
  <si>
    <t>vivienda prexistente demolida, ver lotes, edificiao de departamentos, 19 unidades, dos y tres dormitorios, terraza con quincho, cocheras semicubiertas</t>
  </si>
  <si>
    <t>11/3/25, NO COMENZADA</t>
  </si>
  <si>
    <t>mail, 571201</t>
  </si>
  <si>
    <t>Avda. Urquiza Nº 212</t>
  </si>
  <si>
    <t>ANTUNEZ Marceal Noemí</t>
  </si>
  <si>
    <t>relevamiento local comercial, restaurante parrilla, y vivienda unifamiliar de dos dormitorios, baño, cocina comedor, planta alta sin termimnar solo terraza, BAJO ORD 27/10, art 1, punto 2, inc 2 y 3, Infraccion Ord 62/21, Decreto 229/22, CE art 5, 27, 37, 179, 202, 226, 230, 227, 247</t>
  </si>
  <si>
    <t>Primeros Colonos s/Nº, e/ Ara San Juan y Alcoba</t>
  </si>
  <si>
    <t>PEREZ Patricia Graciela y CUELLO Sergio Alberto</t>
  </si>
  <si>
    <t>Cabaña</t>
  </si>
  <si>
    <t>cabaña, monoambiente, baño, acceso semicubierto, BAJO ORD 27/10, art 1, punto 2, inc 2, Infraccion CE art 5, 27, 37, 176, 181, 182</t>
  </si>
  <si>
    <t xml:space="preserve">vivienda unifamiliar, tres dormitorios, baño, cocina comedor, estar comedor ppal, dos baños, </t>
  </si>
  <si>
    <t>Salsipuedes s/Nº</t>
  </si>
  <si>
    <t>BERON Eduardo Horacio</t>
  </si>
  <si>
    <t>MANUCCI José María</t>
  </si>
  <si>
    <t>vivienda unifamiliar a construir, dos dormitorios, baño, cocina comedor, pequeño semicubierto de acceso</t>
  </si>
  <si>
    <t>20/3/25, no comenzado</t>
  </si>
  <si>
    <t>mail, 571922</t>
  </si>
  <si>
    <t>Noailles Nº  158 esq Artigas</t>
  </si>
  <si>
    <t>FREI Federico Humberto</t>
  </si>
  <si>
    <t>ACUÑA Raúl Enrique</t>
  </si>
  <si>
    <t>BOGADO BENITEZ Eric Wilfrido</t>
  </si>
  <si>
    <t>vivienda unifamiliar a construir, en PA tres dormitorios, uno con vestidor y balcón, baño completo compartimentado, lavadero con balcon, en PB dormitorio ppal en suite con baño y vestidor, cocina desayunador comedor estar, galeria pergola, cochera cubierta para dos vehiculos con sector de servicio y deposito, parrilla exterior, BAJO ORD 27/10, art 1, punto 1, inc 9, I nfraccion CE art 5, 27, 37</t>
  </si>
  <si>
    <t>16/5/24, demolicion no comenzada</t>
  </si>
  <si>
    <t>Bvard Gaillard Nº 567</t>
  </si>
  <si>
    <t>BIDAL Hugo Abel</t>
  </si>
  <si>
    <t>TOTORICA Jorge</t>
  </si>
  <si>
    <t>Galpón / Depósito</t>
  </si>
  <si>
    <t>ampliacióin en galpón, depósito, refacciones, se aprobo división del antiguo galpon en dos "lotes" por HCD, y ase reformaran las existentecias para independizar el lugar , cambio de techos, etc, BAJO ORD 27/10, art 1, punto 2, inc 2, Infraccion Ord 29/10, art 1</t>
  </si>
  <si>
    <t>21/1/25, no comenzada</t>
  </si>
  <si>
    <t>mail, 571862</t>
  </si>
  <si>
    <t xml:space="preserve">Ruta Nac. Nº 14, km </t>
  </si>
  <si>
    <t>ECHEVARRIA Jorge A (apoderado)</t>
  </si>
  <si>
    <t>FADEL S.A.</t>
  </si>
  <si>
    <t>FRANCOU Pablo A</t>
  </si>
  <si>
    <t>BREM Lucas</t>
  </si>
  <si>
    <t>Estacion de servicios</t>
  </si>
  <si>
    <t>ampliacion de estacion de servicio Axion, servicios, BAJO ord 27/10, art 1, punto 2, inc 2, Punto 1, inc 9, Infraccion CE art 5, 27, 37, 179</t>
  </si>
  <si>
    <t>10/4/25 , terminado</t>
  </si>
  <si>
    <t>mail, 569271</t>
  </si>
  <si>
    <t>Calle 12 de Abril Nº 229</t>
  </si>
  <si>
    <t>ROUDE Alfredo Luis</t>
  </si>
  <si>
    <t>ESPIGA VILLAND Joaquin</t>
  </si>
  <si>
    <t>Clínica del Ojo</t>
  </si>
  <si>
    <t>Amplaición de la clínica del Oja, salas de cirugía, quirófano, consultorios, sala de espera, grupo sanitario, emergencias, etc, BAJO ORD 27/10, art 1,m punto 1, inc 9, Infraccion CE art 5, 27, 37,</t>
  </si>
  <si>
    <t xml:space="preserve">21/1/25, no iniciada, 28/3/25, demolicion de galeria, ejecucion de losa </t>
  </si>
  <si>
    <t>Cabo Pereyra Nº 376</t>
  </si>
  <si>
    <t>VAZQUEZ Juan Manuel</t>
  </si>
  <si>
    <t>Cancha Fùtbol 5</t>
  </si>
  <si>
    <t>cancha de futbol 5, los servicios se encuentran en el lote lindero, BAJO ORD 27/10, art 1, punto 2, inc 2, Infraccion CE art 5, 27, 37, 144, 202, 230, Ord 67/2014, art 3, inc b y d, art 4 y 5</t>
  </si>
  <si>
    <t>mail, 571945</t>
  </si>
  <si>
    <t>Ruta N° 135</t>
  </si>
  <si>
    <t>MARTINEZ Héctor Arnaldo y PONZO Esmeralda Beatriz</t>
  </si>
  <si>
    <t>MARTINEZ Jose L.</t>
  </si>
  <si>
    <t>conforme a obra de vivienda con ampliaciones y qiuncho, viviendas bungalows de dos dormitorios, baño, cocina comedor, cocheras descubiertas, BAJO ORD 27/10, art 1, punto 2, inc 2, punto 1, inc 9,  Infraccion CE art 10, 27,37 del CE</t>
  </si>
  <si>
    <t>14/4/25, terminada</t>
  </si>
  <si>
    <t>DEMOLICION</t>
  </si>
  <si>
    <t>San Martín Nº 757</t>
  </si>
  <si>
    <t>ALFIERI Silvina María Lourdes</t>
  </si>
  <si>
    <t>demolición de vivienda unifamiliar existente, 139,00 m2 cub y 2,00 m2 semicub</t>
  </si>
  <si>
    <t>9 de Julio Nº 35</t>
  </si>
  <si>
    <t>MINATTA Marcelo Humberto Mario</t>
  </si>
  <si>
    <t>demolicion de vivienda existente ( sin permiso y con ACTAS), a construir local comercial, BAJO ORD 27/10, art 1, punto 1, inc 9, Infraccion DE art 5, 27, 37</t>
  </si>
  <si>
    <t>12/11/24, demolicion concluida</t>
  </si>
  <si>
    <t>Residencial Sur</t>
  </si>
  <si>
    <t>Vergniaud Nº e/ Avda Paysandù y Rocamora</t>
  </si>
  <si>
    <t>VILLAGRA Clara Lidia</t>
  </si>
  <si>
    <t xml:space="preserve">CRETTON Manuel </t>
  </si>
  <si>
    <t>Galpòn - Depòsito - Oficina</t>
  </si>
  <si>
    <t>galpòn depòsito a construir, con oficina, no declara uso o destino, BAJO ORD 27/10, art 1, punto 1 inc 9, punto 2, inc 2 y 3, Infraccion Ord 53/07, Ord 02/25, Anexo 1, artt 23, CE art 5, 27, 37, 144, 151, 179, 187, 202, 227, y 232</t>
  </si>
  <si>
    <t>inspeccion 14/1/21, lote baldìo - Terminado 24/6/24</t>
  </si>
  <si>
    <t>MAYO</t>
  </si>
  <si>
    <t>Madre Isabel Fernández Nº 251 esq Tucumán</t>
  </si>
  <si>
    <t>DURE NOLLA Eladia Lorena</t>
  </si>
  <si>
    <t>relevamiento de quincho, con sector cocina y parrilla, deposito, vivienda existente con antecedente, BAJO ORD 27/10, art 1, punto 2, inc 2 y 3, Infraccion Ord 02/25, Anexo 1, art 23, CE art 5, 27, 37, 144, 151, 178, 181, 202, ORD 02/25, Anexo 1, art 23, ACTA 1151</t>
  </si>
  <si>
    <t>José Brovatti Nº</t>
  </si>
  <si>
    <t>GIANI Gastón Leandro</t>
  </si>
  <si>
    <t>relevamiento de vivienda unifamiliar de tres dormitorios, uno en suite con baño y vestidor, estar , comedor cocina, baño con antebaño, galeria perimetral semicubierta, quincho con lavadero y baño, deposito</t>
  </si>
  <si>
    <t>parte de la galeria perimetral se encuentra en este lote, y una pergola de madera</t>
  </si>
  <si>
    <t>Noailles Nº 1096 esq Rebord</t>
  </si>
  <si>
    <t>MALAGRIDA Leandro Nicolas</t>
  </si>
  <si>
    <t>SCHONFELD Evelyn Janet</t>
  </si>
  <si>
    <t>MALAGRIDA Gastón</t>
  </si>
  <si>
    <t>vivienda unifamiliar a construir, tres dormitorios, uno en suite con vestidor y baño, acceso semicubierto, estar cocina desayunador comedor, baño, cochera cubierta, galeria</t>
  </si>
  <si>
    <t>6/9/24, baldio</t>
  </si>
  <si>
    <t>mail, 572813</t>
  </si>
  <si>
    <t>Sourigues Nº 486</t>
  </si>
  <si>
    <t>BOUVET Vanesa Victoria</t>
  </si>
  <si>
    <t>ROSSIER Betiana Carolina</t>
  </si>
  <si>
    <t>vivienda unifamiliar a construir, tres dormitorios, uno en suite con vestidor y baño, baño completo, cocina comedor estar, hall acceso cubierto, deposito, lavadero, cochera semicubierta, quincho separado al fondo con baño, parrilla y amplia cocina</t>
  </si>
  <si>
    <t>14/5/25, no comenzada</t>
  </si>
  <si>
    <t>L. N. Alem N° 234, 238 y 244 (antes 240)</t>
  </si>
  <si>
    <t>tres unidades de vivienda a consruir, dos de tres dormitorios cada una, cocina comedor, baño, otra de dos dormitorios, cocina comedor, baño, cocheras al frente en el retiro descubiertas, BAJO ORD 27/10, art 1, punto 2, inc 2 y 3, Infraccion art 5, 27, 37, 179 del CE, Infraccion ORD 53/07, ORd 02/25, Anexo 1, art 23</t>
  </si>
  <si>
    <t>mail, 572790</t>
  </si>
  <si>
    <t>Piamonte Nº 332, 334</t>
  </si>
  <si>
    <t>ORCELLET Angelina</t>
  </si>
  <si>
    <t>TORRAN Eduardo</t>
  </si>
  <si>
    <t>Vivienda unifamiliar + Local comercial</t>
  </si>
  <si>
    <t>vivienda unifamiliar, cuatro dormitorios, cocina comedor barra desayunador, un dormitorio en suite con vestidor y baño, lavadero cubierto, baño compartimentado, galeria semicubierta con parrilla, local comercial al frente con baño</t>
  </si>
  <si>
    <t>13/5/25, BALDIO</t>
  </si>
  <si>
    <t>mail, 572719</t>
  </si>
  <si>
    <t>Sarmiento Nº 06</t>
  </si>
  <si>
    <t>BONNIN Claudia Daniela</t>
  </si>
  <si>
    <t>DRAY Daniel</t>
  </si>
  <si>
    <t>relevamiento casona antigua, refacciones y remodelaciones, reparaciones, dos dormitorios, estar, cocina comedor, despensa, baño, escritorio, en subsuelo dos salones, baños varones y mujeres, pergola, PASA A SER RESTAURANTE ( SE MUDA Brown 38), BAJO ORD 27/10, art 1, Punto 2, inc 2, Infraccion CE art 5, 27, 37, 176, 179 y 226, ORD 02/25, Anexo 1, art 22 (sup abs)</t>
  </si>
  <si>
    <t>13/5/25, refacciones en curso</t>
  </si>
  <si>
    <t xml:space="preserve">Urbana </t>
  </si>
  <si>
    <t>Rufino Mir Nº 265</t>
  </si>
  <si>
    <t>CAIRE Cristobal Rolando</t>
  </si>
  <si>
    <t>CAIRE Marcelo</t>
  </si>
  <si>
    <t>relevamiento de ampliaciones en local comercial, BAJO ORD 27/10, art 1, punto 2, inc 2, Infraccion CE art 5, 27, 37, 144, 147, 151, 179, 187, 223, 233</t>
  </si>
  <si>
    <t>mail, 572995</t>
  </si>
  <si>
    <t>12 de Abril Nº 720</t>
  </si>
  <si>
    <t>BORDET Julio Omar</t>
  </si>
  <si>
    <t>relevamiento de local comercial, con un baño, adosado a vivienda unoifamiliar con planos visados 1970, tres dormitorios, baño, cocina comedor, estar, semicubierto en el fondo a la salida del lavadero a relevar, BAJO ORD 274/10, art 1, punto 2, inc 2, Infraccion CE art 5,  27, 37, 144, 179, 247, 255, Ord 56/07, art 3, inc 1, sub inc a)</t>
  </si>
  <si>
    <t>Bvard Gûemes Nº 331</t>
  </si>
  <si>
    <t>GEC Luís Alberto</t>
  </si>
  <si>
    <t>CERGNEUX Jorge R.</t>
  </si>
  <si>
    <t>relevamiento de cinco unidades de vivienda, tres monoambientes, dos de un dormitorio, BAJO ORD 27/10, art 1, punto 2, inc 2 y 3, INFRACCION Ord 2/25, Anexo 1, art 23, CE art 5, 27, 37,  144, 151, 178, 179, 232, 255, ORD 56/07, art 3, inc 1, sub inc a), ORD 53/07, Ord 02/25, Anexo 1, art 23</t>
  </si>
  <si>
    <t>Alvear Nº 522</t>
  </si>
  <si>
    <t>BARZOLA Celia Susana</t>
  </si>
  <si>
    <t>CHINELLATO Pablo</t>
  </si>
  <si>
    <t>Vviienda multifamiliar</t>
  </si>
  <si>
    <t>relevamiento de vivienda unifamiliar al frente, 5 dormitorios, , dos de ellos en pb uno con puerta a la calle, baño, toilete, comedor estar cocina, en pa tres dormitorios, baño. Dos cabañas al fondo del lote, sin cocina, BAJO ORD 27/10, art 1, punto 2, inc 2 y 3, Infraccion retiro, CE art 5, 27, 37, 141, 144, 151, 176, 178, 179, 202, 223, 233, 236,.cabañas, ORD 53/07, ORD 02/25, Anexo 1, art 23</t>
  </si>
  <si>
    <t>mail</t>
  </si>
  <si>
    <t>Sarmiento Nº 27</t>
  </si>
  <si>
    <t>ECHEVERRIA Graciela Maria</t>
  </si>
  <si>
    <t>DRAY Daniel Alberto</t>
  </si>
  <si>
    <t>vivienda existente a demoler, vivienda unifamiliar a construir, dos dormitorios, baño completo comaprtimentado, baño estar comedor cocina desayunador, lavadero, cochera semicubierta para dos vehiculos, quinchpo con parrilla semicubierto, BAJO ORD 27/10, art 1, punto 1, inc 9, Infraccion CE art 5, 27, 37</t>
  </si>
  <si>
    <t>mail, 573021</t>
  </si>
  <si>
    <t>J. J. Paso Nº 204 esq. Reibel</t>
  </si>
  <si>
    <t>MEDAIL Jorge Alberto</t>
  </si>
  <si>
    <t>CABRERA Noel Javier</t>
  </si>
  <si>
    <t>relevamiento de ampliación realizada en local comercial ( restaurante), BAJO ORD 27/10, art 1, punto 2, inc 2 y 3, Infraccion -Ord 02/25, Anexo 1, art 23, CE art 5, 27, 37, 141, 130, 176, 179, 202, 230, 232, 256, 258, ORD 02/25, Anexo 1, Art 23</t>
  </si>
  <si>
    <t>mail, 572969</t>
  </si>
  <si>
    <t>VILLAVERDE Matías y Guadalupe</t>
  </si>
  <si>
    <t>relevamiento de modificaciones realizadas en el complejo, superficie semicubierta pasa a cubierta cancelando el ingreso vehicular, BAJO ORD 27/10, art 1, punto 2 y 3, INFRACCION CE art 5, 27, 37, 178, 179, 236, 246, 247, ORD 53/07, ORD 131/22, ORD 02/25, Anexo 1, art 24</t>
  </si>
  <si>
    <t>mail, 572976</t>
  </si>
  <si>
    <t>REMODELACION</t>
  </si>
  <si>
    <t>Avda. Urquiza Nº 230</t>
  </si>
  <si>
    <t>JACQUET Ariel Humberto</t>
  </si>
  <si>
    <t>BOGADO BENITEZ Eric Wilfredo</t>
  </si>
  <si>
    <t>modificaciones en vivienda antigua con planos antecedentes con 229,63 m2, ahora tiene 164,22 m2, vivienda unifamiliar de tres dormitorios, dos en suite con baño completo uno con vestidor, zaguan acceso, paso, cocina comedor y estar, galeria semicubierta con sector parrilla, estacionamiento vehicular pergolado, BAJO ORD 27/10, art 1, punto 1, inc 9, INFRACCION CE art 5, 27, 37</t>
  </si>
  <si>
    <t>20/5/2025, iniciado sin permiso</t>
  </si>
  <si>
    <t>JUNIO</t>
  </si>
  <si>
    <t>Espinilloes esq J. Azurduyu s/Nº</t>
  </si>
  <si>
    <t>EISENBERG Norberto Gabriel</t>
  </si>
  <si>
    <t>MEDAIL Sergio A.</t>
  </si>
  <si>
    <t>relevamiento de siete unidades de vivienda de alquiler, cada una con un dormitorio, baño, cocina comedor, cochera descubierta, pequeño semicubierto acceso, patio con parrilla al fondo, BAJO ORD 27/10, art 1, punto 2, inc 2,  INFRACCION CE art 5, 27, 37, 141, 144, 151, 176, 178, 201, 202, 233, 236, 247, ORD 53/07, O</t>
  </si>
  <si>
    <t>UGALDE María Elena y SOLLA ROLDAN Gonzalo Leonel</t>
  </si>
  <si>
    <t>relevamiento de cabaña de madera, un dormitorio en PB, baño, cocina comedor, entrepiso no apto para dormitorio, cochera semicubierta, piscina, BAJO ORD 27/10, art 1, punto 2, inc 2, Infraccion CE art 5, 27, 37, 144, 176, 178, 179, 181, 182, 201, 202, 214, 247, 248</t>
  </si>
  <si>
    <t>mail, 573036</t>
  </si>
  <si>
    <t>DELLAGIUSTINA Diana Agustina - MALDONADO Felix Adolfo</t>
  </si>
  <si>
    <t>MOYANO Maria Laura</t>
  </si>
  <si>
    <t>relevamiento de tres unidaes de monoambientes terminadas y un dormitorio sin acceso en PA, quincho al fondo, BAJO ORD 27/10, art 1, punto 2, inc 1 y 2, INFRACCION CE art 5, 27, 37, 144, 179, 181, 182, 202, 214, 226, 232, 236, 247, 248, ORD 53/07</t>
  </si>
  <si>
    <t>MAIL, 573131</t>
  </si>
  <si>
    <t>Avda. Pte. Perón Nº 458</t>
  </si>
  <si>
    <t>MARTINEZ Susana Beatriz</t>
  </si>
  <si>
    <t>DA SILVA Brian</t>
  </si>
  <si>
    <t>relevamiento de dos unidades de vivienda, una al frente en PB con dos dormitorios, baño, cocina comedor, la otra al fondo en PB cochera cubierta, cocina comedor, baño, lavadero, en PA dos dormitorios, baño, BAJO ORD 27/10, art 1, punto 2, inc 2 y 3, INFRACCION  CE art 5, 27, 37, 144, 181, 182, 202, 232, ORD 53/07, ORD 02/25, Anexo 1, art 23</t>
  </si>
  <si>
    <t>mail, 573293</t>
  </si>
  <si>
    <t>Sarmiento Nº 71 , 73</t>
  </si>
  <si>
    <t>PERNO Rubén y RENZI Liliana</t>
  </si>
  <si>
    <t>iNG CONST</t>
  </si>
  <si>
    <t>plano conforme a obra del edificio de deptos construido sobre la canalizacion del pluvial urbano, BAJO ORD 27/10, art 1, punto 2, inc 2, INFRACCION CE art 10, 27, 37, 178, 179, 181, 182, ORD 56/07, art 3, ORD 53/07, ORD 95/14, artr 16</t>
  </si>
  <si>
    <t>Calle Fresno s/Nº - "Ayres del 1872"</t>
  </si>
  <si>
    <t>FOLLONIER Carola Estela</t>
  </si>
  <si>
    <t>RODRIGUEZ Luís Miguel</t>
  </si>
  <si>
    <t>relevamiento de viienda unifamiliar de tres dormitorios, uno en suite con baño privado, baño completo, lavadero, cocina desayunador comedor estar, hall de acceso semicubierto, cochera para un auto semicubierta lateral a la vivienda, sector semicubierto pergolado para parrilla, BAJO ORD 27/10, art 1, punto 2, inc 2 y 3, INFRACFCION ORD 02/25, anexo 1, art 24, CE art 5, 27, 37, 144, 1541, 202, 247</t>
  </si>
  <si>
    <t>Avda. Paysandú Nº 274</t>
  </si>
  <si>
    <t>ANTIVERO Mireya Victoria</t>
  </si>
  <si>
    <t>EL SOLAR</t>
  </si>
  <si>
    <t>Centro Educativo / Terapéutuco</t>
  </si>
  <si>
    <t>conforme a obra de las ampliaciones realizadas en el centro recreativo terapéutico, BAJO ORD 27/10, art 1, punto 2, inc 2 y 3, INFRACCION ORD 2/25, anexo 1, art 23, ORD 56/07, art 3, inc 1, sub inc a; inc 2, sub inc 1, CE art 5, 27, 37, 176, 202, 232, 246, 256</t>
  </si>
  <si>
    <t>mail, 573648</t>
  </si>
  <si>
    <t>25 de Mayo Nº 22</t>
  </si>
  <si>
    <t>SORDI Marilin y CANALI Bruno</t>
  </si>
  <si>
    <t>MAHER Luciana A</t>
  </si>
  <si>
    <t>Vivienda unifamiliar + Local Comercial</t>
  </si>
  <si>
    <t>relevamiento de viienda unifamiliar de dos dormitorios, baño, cocina, comedor estar, local comercial sin baño, BAJO ORD 27/10, art 1, punto 2, inc 2, INFRACCION CE art 5, 27, 37, 179, 230, 232, ORD 02/25, Anexo 1, art 22</t>
  </si>
  <si>
    <t>Chacabuco Nº 170</t>
  </si>
  <si>
    <t>Departamentos + Local comercial</t>
  </si>
  <si>
    <t>ultimo piso construido no conforme con el plano de proyecto, se ejecutaron dos depsots para los que no tenia permiso, de dos dormitorios cada uno, cocina comedor estar, baño, terraza, BAJO ORD 27/10, art 1, punto 2, inc 2, INFRACCION CE art 10, 27, 37, 181, 182, 232, ORD 53/07</t>
  </si>
  <si>
    <t xml:space="preserve">                                           </t>
  </si>
  <si>
    <t>29/5/258</t>
  </si>
  <si>
    <t>JULIO</t>
  </si>
  <si>
    <t>RELEVAMIENTO / A TERMINAR</t>
  </si>
  <si>
    <t>Díaz Vélez s/Nº</t>
  </si>
  <si>
    <t>MAGRI Daniel</t>
  </si>
  <si>
    <t>BERON Eduardo</t>
  </si>
  <si>
    <t>relevamiento de vivienda unifamiliar de un dormitorio, cocina comedor estar, cochera semibucierta, baño, BAJO ORD 27/10, art 1, punto 2 y y 3, INFRACCION ORD 02/25, ANEXO 1, art 24, CE art 5, 27, 37, 178, 179</t>
  </si>
  <si>
    <t>mail, 555974</t>
  </si>
  <si>
    <t>Avda. Pte. Perón N° 316</t>
  </si>
  <si>
    <t>SAFFORES Antonio Pascual</t>
  </si>
  <si>
    <t>ALVAREZ Ivan</t>
  </si>
  <si>
    <t>Local comercial y Vivienda unifamiliar</t>
  </si>
  <si>
    <t>ampliación en local comercial ( bicicleteria), vivienda existente al fondo, BAJO ORD 27/10, art 1, punto 2, inc 2 y 3, Infraccion CE art 5, 27, 37, 141, 178, 179, 225, 232, ORD 56/07, art 3, inc 1, sub inc A, ORD 130/art 19</t>
  </si>
  <si>
    <t>GONZALEZ Ailén</t>
  </si>
  <si>
    <t>CASAS Ileana Lihué</t>
  </si>
  <si>
    <t>CASSAPARCO SAS</t>
  </si>
  <si>
    <t>vivienda unifamiliar, dos dormitorios, baño, cocina comedor , cochera descubierta, BAJO ORD 27/10, art 1, punto 2, inc 2, Infraccion CE art 5, 27, 37</t>
  </si>
  <si>
    <t>26/6/25, platea e instalaciones enterradas ya ejecutadas</t>
  </si>
  <si>
    <t>Periurbana - Colonia Hugues</t>
  </si>
  <si>
    <t>Calle Paraná esq Colón s/Nº</t>
  </si>
  <si>
    <t>BRAVO José Alberto</t>
  </si>
  <si>
    <t>vivienda unifamiliar relevada a terminar, etapa gruesa terminada, dos dormitorios, baño, cocina comedor estar, sin cochera, BAJO ORD 27/10, art 1, punto 2, inc 2, Infraccion CE art 5, 27, 37</t>
  </si>
  <si>
    <t>10/7/25, etapa de obra gruesa</t>
  </si>
  <si>
    <t>Quintas</t>
  </si>
  <si>
    <t>Calle ARA San Juan s/Nº</t>
  </si>
  <si>
    <t>PELLENC Oscar Benito</t>
  </si>
  <si>
    <t>relevamiento de vivienda unifamiliar, un dormitorio, baño, cocina comedor estar, BAJO ORD 27/10, art 1, punto 2, inc 2, Infraccion CE art 5, 27, 37, 144, 201, 231, ORD 131/22</t>
  </si>
  <si>
    <t>Maipú Nº 479</t>
  </si>
  <si>
    <t>VALVERDE Adriana</t>
  </si>
  <si>
    <t>C 928</t>
  </si>
  <si>
    <t>vivienda unifamiliar existente a refaccionar, dos dormitorios, baño, cocina comedor estar, cochera cubierta para dos vehiculos, BAJO ORD 27/10, art 1, punto 2, inc 2 y 3, Infraccion CE art 5, 27, 37, 179, 223, ORD 56/07, art 3, ORD 53/07, Ord 02/25, Anexo 1, art 23</t>
  </si>
  <si>
    <t>8/5/25, no comenzada</t>
  </si>
  <si>
    <t>Castelli Nº 555</t>
  </si>
  <si>
    <t>RAMAT Adrián Amado y LAGO Nora Susana</t>
  </si>
  <si>
    <t>relevamiento de siete unidades de vivienda , dos monoambientes y cinco de un dormitorio, baño, cocina comedor, tres en planta alta, BAJO ORD 27/10, art 1, pùnto 2, inc 2 y 3, INFRACCION ORD 02/25, anexo 1, art 23, Ord 53/07, CE art 5, 27, 37, 130, 144, 151, 179, 202, 226, 232</t>
  </si>
  <si>
    <t>María Isabel Fernández Nº 90</t>
  </si>
  <si>
    <t>FRANCO Roque Alejandro y GIGNONE Diana Mariela</t>
  </si>
  <si>
    <t>BERTOLDI Fabián A.</t>
  </si>
  <si>
    <t>relevamiento de vivienda unifamiliar, deposito galpón, y dos monoambientes, vvienda de tres dormitorios, baño y escritorio en PA, en PB estar cocina comedor, baño, lavadero, mcochera cubierta para dos vehículos, pileta y deposito anexo a los monoambientes, BAJO ORD 27/10, art 1, punto 2, inc 2, Infraccion CE art 5, 27, 37, 144, 151, 223, 233, ORD 56/07, art 3, ORD 53/07, ORD 02/25, Anexo 1, art 23</t>
  </si>
  <si>
    <t>Alberdi Nº 1218, 1224</t>
  </si>
  <si>
    <t>MAFFUCHI Cristina Noemí</t>
  </si>
  <si>
    <t>JACQUET Ariel N.</t>
  </si>
  <si>
    <t>relevamiento de dos unidades de vivineda de alquiler, apareadas, cada una de dos dormitorios y baño en PA, cocina comedor estar y toilete en PB con quinchoi semicubierto con parrilla en el fondo, BAJO ORD 27/10, art 1, punto 2, inc 2 y 3, Infraccion ORD 02/25, art 23, Ord 53/07, CE art 5, 27, 37, 144, 151, 202, 247</t>
  </si>
  <si>
    <t>KUPEC Nicolas</t>
  </si>
  <si>
    <t>CRETTON Manuel</t>
  </si>
  <si>
    <t>C 608</t>
  </si>
  <si>
    <t>vivienda unifamiliar a contruir, toda en PB, dos cormitorio, uno en suite con baño compartimentado completo y vestidor, cocina desayunador comedor estar, hall de acceso, semicubierto al fondo con parrilla y toilete ext, lavadero cubierto, sector cochera semicubierta, BAJO ORD 27/10, art 1, punto 2, inc 1 y 2, Infraccion CE art 5, 27, 37, 144, 151</t>
  </si>
  <si>
    <t>10/4/25, en etapa de encadenado superior de PB</t>
  </si>
  <si>
    <t>Alberdi Nº 734</t>
  </si>
  <si>
    <t>LUGRIN Ismael Abelardo</t>
  </si>
  <si>
    <t>CRETTON Manuel E.</t>
  </si>
  <si>
    <t>tres unidades de vivienda a consrtuir, apareadas, cada una de dos dormitorios y bañoi en PA, cocina comedor estar y toilete en PB, espacio de estacionamiento descubierto al frente, BAJO ORD 27/10, art 1, punto 2, inc 2 y 3, Imnfraccion ORD 02/25, ANEXO 1, art 23, CE art 5, 27, 37, ORD 53/07, ORD 02/25,Anexo 1, art 23</t>
  </si>
  <si>
    <t>25/1/25, llenado de losa sobre PB</t>
  </si>
  <si>
    <t>Pte Illia Nº 124</t>
  </si>
  <si>
    <t>PREMAT Jorge Lorenzo</t>
  </si>
  <si>
    <t>ENTRENUTS</t>
  </si>
  <si>
    <t>Galpón / Depósito / Fábrica</t>
  </si>
  <si>
    <t>relevamiento de galpón y sectores de elaboración de pasta de mani, BAJO ORD 27/10, art 1, punto 2 y 3, INFRACION ORD 2/25, anexo 1, art 23, CE art 5, 27, 37, 130, 144, 151, 262</t>
  </si>
  <si>
    <t>Rocamora Nº 739, 741, 743</t>
  </si>
  <si>
    <t>DEYMONNAZ Juan Alfonso y otros</t>
  </si>
  <si>
    <t>tres unidades de vivienda a construir, cada una de dos dormitorios y baño en PA, cocina comedor estar y torilete en PB, cocheras descubiertas al frente, BAJO ORD 27/10, art 1, punto 2, inc 2, INFRACCION CE art 5, 27, 37</t>
  </si>
  <si>
    <t>en etapa de cimentación y encadenado inferior, 13/05/25</t>
  </si>
  <si>
    <t>Laprida Nº 272, 276</t>
  </si>
  <si>
    <t>REGADIO María Soledad</t>
  </si>
  <si>
    <t>relevamiento de ampliaciones y modificaciones realizadas en dos deptos apareados, en PB cocina comedor, toilete bajo escalera, cochera semicubierta, parrilla patio posterior, en PA dos dormitorios, baño, terraza al frente, BAJO ORD 27/10, art 1, punto 2, inc 2, INFRACCION CE art 5, 27, 37, 179, 181, 182, 202, 223, 233, ORD 02/25, Anexo 1, art 23</t>
  </si>
  <si>
    <t>FRANCOU Federico Marcelo</t>
  </si>
  <si>
    <t>viivenda actualmente en PB, con dos dormitorios, baño, cocina comedor y cochera semicubierta lateral para dos autos, uno detrás del otro, sector parrilla en semicubierto al fondo, BAJO ORD 27/10, art 1, punto 2, inc 2 y 3, INFRACCION ORD 02/25, Anexo 1, art 24, CE art 5, 27, 37, 151, 214, 236, 247, ORD 53/07, art 3</t>
  </si>
  <si>
    <t>6/3/25, PA no construida</t>
  </si>
  <si>
    <t>Mitre Nº 1418</t>
  </si>
  <si>
    <t>GODEIN María Gabriela</t>
  </si>
  <si>
    <t>ING.</t>
  </si>
  <si>
    <t>vivienda unifamiliar a construir, planta baja y planta alta, BAJO ORD 27/10, art 1, punto 2, inc 2, INFRACCION CE art 5, 27, 37, 179, 181, 182, 232, 247</t>
  </si>
  <si>
    <t>11/7/25, diferencias en fachada</t>
  </si>
  <si>
    <t>25 DE Mayo Nº 50 esq. Avda Urquiza</t>
  </si>
  <si>
    <t>HO.DI.MA</t>
  </si>
  <si>
    <t>ZALAZAR Griselda María (presidente)</t>
  </si>
  <si>
    <t>relevamiento de local comercial, panaderia, sala de venta, sala de elaboración y depósito, baño, BAJO ORD M27/10, art 1, punto 2, inc 2, INFRACCION CE art 5, 27, 37, 130, 179, 202, 223, 233</t>
  </si>
  <si>
    <t>mail, 573744</t>
  </si>
  <si>
    <t>Bolívar Nº 692</t>
  </si>
  <si>
    <t>ADAMEK Erica Melina</t>
  </si>
  <si>
    <t>PACCOT Javier Humberto</t>
  </si>
  <si>
    <t>relevamiento de ampliacione sy mejoras en vivienda unifamiliar y local comercial, dos dormitorios y baño en PA, estar cocina comedor , deposito familiar, baño, local comercial y baño , BAJO ORD 27/10, art 1, punto 2, inc 2, INFRACCION ORD 37/07, art 3, ORD 56/07, art 3, inc 1, sub inc a,  CE art 5, 27, 37, 144, 151, 176, 179, 181, 182, 202, 227</t>
  </si>
  <si>
    <t>AGOSTO</t>
  </si>
  <si>
    <t>Urbana 1</t>
  </si>
  <si>
    <t>San Martín N° 1108</t>
  </si>
  <si>
    <t>VIVAS Marcelo Ociel Marìa</t>
  </si>
  <si>
    <t>VIOLLAZ Walter Alberto</t>
  </si>
  <si>
    <t>relevamiento de ampliaciones en local comercial, Bajo Ord 27/10, art 1, punto 2, inc 2, infracción art 5, 10, 27, 37, 144, 179 del C.,E.</t>
  </si>
  <si>
    <t>inspección 29/19/20</t>
  </si>
  <si>
    <t>Avda. Gral Urquiza Nº 1090</t>
  </si>
  <si>
    <t>ABALOS Bruno Matías Exequiel y otros</t>
  </si>
  <si>
    <t>vivienda multifamiliar, tres unidades, una de dos dormitorios, baño, deposito, cocina comedor, estar, quincho separado, otra al fondo de un dormitorio, cocina comedor, baño, otra al frente con local comercial, cocina comedor y baño, no tiene cocheras, BAJO ORD 27/10, art 1, punto 2 y 3, INFRACCION CE art 5, 27, 37, 176, 178, 179, 181, 182, 202, 214, 223, 230, 232, 233, 247, ORD 53/07, Ord 02/25, Anexo 1, Art 23, Ord 29/10</t>
  </si>
  <si>
    <t>MAIL, 573750</t>
  </si>
  <si>
    <t>Rio Iguazu Nº 503, 511, 513, Hernández Nº</t>
  </si>
  <si>
    <t>BIDAL Federico Luís y María Eugenia</t>
  </si>
  <si>
    <t>BIDAL María Eugenia</t>
  </si>
  <si>
    <t>CORREA Justo</t>
  </si>
  <si>
    <t xml:space="preserve">tres unidades de vivienda en construcción, dos de dos dormitorios, baño en PA, cocina comedor estar, baño, cocheras descubiertas, la restante de un dormitorio y baño en PA, toilete, cocina comedor y cochera descubierta en PB, BAJO ORD 27/10, art 1, punto 2, inc 2, punto 1, inc 9, , INFRACCION CE art 5, 27, 37 </t>
  </si>
  <si>
    <t>19/6/25, mamposteria a la altura de encadenado superior</t>
  </si>
  <si>
    <t>Artigas Nº 200</t>
  </si>
  <si>
    <t>KULIAT Nilda Noemi</t>
  </si>
  <si>
    <t>MARTIN Melisa</t>
  </si>
  <si>
    <t>Local comercial (gimnasio)</t>
  </si>
  <si>
    <t>demolicion parcial y ampliacion, vivienda antigua transformada en gimnasio, construccion de PA con entramado de madera, BAJO ORD 27/10, art 1, punto 2, inc 2, Punto 1, inc 9, Infraccion CE art 5, 27, 37, 130, 176, 179, 187, 232, ORD 02/25, anexo 1, art 23, Ord 29/10</t>
  </si>
  <si>
    <t>23/4/25, en PA</t>
  </si>
  <si>
    <t>mail, 573813</t>
  </si>
  <si>
    <t>Calle Algarrobo s/Nº</t>
  </si>
  <si>
    <t>CAMPBELL Gisela Mariana</t>
  </si>
  <si>
    <t>Local comerciqal</t>
  </si>
  <si>
    <t>213+9,3/2</t>
  </si>
  <si>
    <t>relevamiennto de local tipo salón, con se3ctor cocina barra, toilet, baño completo, acceso semicubierto, dos sectores de depósito, hay cuaro viviendas tipo bungalows a medio construir, hasta encadenado superior, BAJO ORD 27/10, art 1, punto 2, inc 2 y 3, INFRACCION ORD 02/25, Aexo º, Art 24, ORD 53/07, CE art 5, 27, 37</t>
  </si>
  <si>
    <t>10/7/2025, local terminado, viviendas paralizadas, mamposteria altura encadenado sup</t>
  </si>
  <si>
    <t>MUSSETTI Enzo Daniel</t>
  </si>
  <si>
    <t>BLANC Maximiliano G.</t>
  </si>
  <si>
    <t>BURGOS Alfredo</t>
  </si>
  <si>
    <t>vivienda unifamiliar existente a reformar y ampliar, existente, dos dormitorios, baño, cocina comedor estar, lavadero,cochera semicubierta lateral, se agreaga en PB quincho con toilete piscina,  en PA dos dormitorios con baño compartimentado, BAJO ORD 27/10, art 1, punto 2, inc 2 y 3, INFRACCION Ord 02/25, Anexo 1, art 24, CE art 5, 27, 37, 223, 233</t>
  </si>
  <si>
    <t>12/8/2025, no iniciada</t>
  </si>
  <si>
    <t>Artigas Nº 90</t>
  </si>
  <si>
    <t>AQUISTAPACE Susana</t>
  </si>
  <si>
    <t>MORARD Manuel Arturo</t>
  </si>
  <si>
    <t>VIOLLAZ José Alberto</t>
  </si>
  <si>
    <t>Cocheras</t>
  </si>
  <si>
    <t>seis unidades de cocheras a construir, semicubiertas, con un toilete</t>
  </si>
  <si>
    <t>23/6/25, no comenzada</t>
  </si>
  <si>
    <t>mail, 574273</t>
  </si>
  <si>
    <t>San Martín Nº 1215</t>
  </si>
  <si>
    <t>ADAMI Rubén Francisco</t>
  </si>
  <si>
    <t>conforme a obra local comercial, no demolió lo proyectado a demoler y se realizó entrepiso,  local comercial, ampliacion en PB y entrepiso, BAJO ORD 27/10, art 1, punto 2, inc 2, Infraccion art 10, 27, 37 179, del CE, Infraccion Ord 02/25, art 23</t>
  </si>
  <si>
    <t>mail, 574252</t>
  </si>
  <si>
    <t>Bvard Gaillard s/Nº</t>
  </si>
  <si>
    <t>CEVALLOS GUEX Ariel Jesus</t>
  </si>
  <si>
    <t>Galpón - Depósito</t>
  </si>
  <si>
    <t xml:space="preserve">galpón depósito a conmpletar, estructura plantada, presenta a terminar, tiene actas, BAJO ORD 27/10, art 1, punto 1, inc 9, INFRACCION CE art 5, 27, 37, </t>
  </si>
  <si>
    <t>30/7/25, estructura plantada</t>
  </si>
  <si>
    <t>mail, 574618</t>
  </si>
  <si>
    <t>J. Bernanrd Nº 214, 216</t>
  </si>
  <si>
    <t>BERGARA Rita Elvia y otros</t>
  </si>
  <si>
    <t>relevamiento de ampliaciones realizadas en viviendas, vivienda unifamiliar de dos dormitorios, baño, cocina, comedor estar todo en PB, monoambiente al frente, y otro monoambiente al fondo en PA, BAJO ORD 27/10, art 1, punto 2, inc 2 y 3, INFRACCION CE art 5, 27, 37, 144, 176, 178, 179, 181, 182, 201, 202, 223, 233, ORD 56/07, art 3, ORD 53/07, ORD 02/25, anexo 1, art 23</t>
  </si>
  <si>
    <t>mail, 574395</t>
  </si>
  <si>
    <t>Moreno Nº 54</t>
  </si>
  <si>
    <t>MEYER Hernan Alcides</t>
  </si>
  <si>
    <t>plano conforme a obra, cuatro deptos de tres dormitorios, baño, y pequeño balcon en PA, cocina comedor desayunador estqara, baño, patio con parrilla, cocheras semicubiertas, BAJO ORD 27/10, art 1, punto 2, inc 2, INFRACCION CE art 10, 27, 37</t>
  </si>
  <si>
    <t>SEPTIEMBRE</t>
  </si>
  <si>
    <t>mail, 574576</t>
  </si>
  <si>
    <t>Noailles Nº 332</t>
  </si>
  <si>
    <t>RAMAT Leticia</t>
  </si>
  <si>
    <t>Oficinas administrativas</t>
  </si>
  <si>
    <t>oficina administrativa a construir, oficina, baño y despacho, tiene plano antecedente de una vivienda unifamiliar que no se ejecutó, BAJO ORD 27/10, art 1, punto 1, inc 9, INFRACCION CE Art 5, 27, 37</t>
  </si>
  <si>
    <t>2/9/2025, "muros" terminados, falta completar revestimiento</t>
  </si>
  <si>
    <t>MAIL, 575462</t>
  </si>
  <si>
    <t>9 de Julio Nº 182</t>
  </si>
  <si>
    <t>SAUCEDO José Isaac</t>
  </si>
  <si>
    <t>ASOCIACION de los TESTIGOS de JEHOVA</t>
  </si>
  <si>
    <t>SERRAMO María Laura y VIOLLAZ Carolina</t>
  </si>
  <si>
    <t>Templo religioso</t>
  </si>
  <si>
    <t>templo religioso, reformas interiores, semicubierto a construir en el acceso, BAJO ORD 27/10, art 1, punto 2, inc 2, Infraccion CE art 179, 193</t>
  </si>
  <si>
    <t>4/9/25, no comenzada</t>
  </si>
  <si>
    <t>mail, 574575</t>
  </si>
  <si>
    <t>Servidumbre de paso</t>
  </si>
  <si>
    <t>relevamiento de dos unidades de vivienda apareadas, dos dormitorios, cocina comedor estar, baño, cochera lateral semicubierta, BAJO ORD 27/10, art 1, punto 2, inc 2, INFRACCION CE art 10, 27, 37, 232, 234, 236, ORD 02/25, anexo 1, art 24 - ACTA 1319</t>
  </si>
  <si>
    <t>Presbitero Cot Nº 262</t>
  </si>
  <si>
    <t>COQUOZ Silvana Rita</t>
  </si>
  <si>
    <t>relevamiento de vivienda unifamiliar, en PA dos dormitorios y baño, cocina comedor estar, toilete, cochera semicubierta, platea lateral ejecutada pero sin avance, bajo ord 27/10, art 1, inc 2, sub inc 2 y 3, INFRACCION ORD 2/05, anexo 1, art 23, CE art 5, 27, 37, 144, 151, 176, 178, 181, 182, 202</t>
  </si>
  <si>
    <t>Brown Nº 22</t>
  </si>
  <si>
    <t>BERNARD Franco Walter Oscar, Augusto Esteban y Julieta</t>
  </si>
  <si>
    <t>Apart Hotel</t>
  </si>
  <si>
    <t>cosntruccion existente a demoler salvo fachada vieja, apart hotel a cosntruir, 16 habitaciones, comedor desayunador en PB, oficina, lavadero y dependiencias, cocheras en subsuelo, ampliación sobre nuevo lote, agregan 9 habitaciones</t>
  </si>
  <si>
    <t>5/6/25, demolición iniciada</t>
  </si>
  <si>
    <t>Brown Nº 38</t>
  </si>
  <si>
    <t>BOLADERES Julio César</t>
  </si>
  <si>
    <t>relevamiento de vivienda unifamiliar, un dormitorio, cocina  comedor estar, baño, galeria semicubierta con parrilla y mesada, piscina, BAJO ORD 27/10, art 1, punto 2, inc 2, INFRACCION CE art 5, 27, 37,</t>
  </si>
  <si>
    <t>Noailles Nº 345</t>
  </si>
  <si>
    <t>CERINI GRECO Pablo Atilio</t>
  </si>
  <si>
    <t>CASULA</t>
  </si>
  <si>
    <t xml:space="preserve">vivienda existente a demoler, DEJAN UNA PARTE </t>
  </si>
  <si>
    <t>12/11/24, no comenzada</t>
  </si>
  <si>
    <t>mail, 575665</t>
  </si>
  <si>
    <t xml:space="preserve">Avda Urquiza Nº </t>
  </si>
  <si>
    <t>LAMBERT Elvio Omar</t>
  </si>
  <si>
    <t>LOPEZ Jorge Daniel</t>
  </si>
  <si>
    <t>vivienda unifamiliar demolida, a construir nueva vivienda de dos dormitorios, baño, cocina comedor estar, cochera cubierta para dos vehiculos, estudio, quincho al fondo</t>
  </si>
  <si>
    <t>mail, 574823</t>
  </si>
  <si>
    <t>Bvard. Gaillard Nº 987, 989</t>
  </si>
  <si>
    <t>BONNIN Leonel Alcides</t>
  </si>
  <si>
    <t>Vivienda multifamiliar / Local comercial</t>
  </si>
  <si>
    <t>local comercial a construir en ÇPA, con baño y office, cocheras descubiertas, dos plantas de tres deptos c/u, cada depto de un dormitorio, baño, cocina comedor estar y pequeño balcón</t>
  </si>
  <si>
    <t>18/9/25, no comenzada</t>
  </si>
  <si>
    <t>Gouchón Nº 18</t>
  </si>
  <si>
    <t>ORELLANA Hugo</t>
  </si>
  <si>
    <t>Vivienda unifamiliar / Local comercial</t>
  </si>
  <si>
    <t>relevamiento de local comercial y vivienda unifamiliar de cuatro dormitorios, cocina comedor estar, deposito, estudio al frente, baño, BAJO ORD 27/10, art 1, Punto 2, inc 1, 2 y 3, Infracccion CE art 5, 27, 37, 144, 151, 178, 179, 202, 230, Ord 56/07, art 3, ORd 02/25, Anexo 1, art 23, Ord 37/07, art 1, Ord 62/20, Anexo 1, Decreto 224/22</t>
  </si>
  <si>
    <t>Artigas N| 168</t>
  </si>
  <si>
    <t>UTHGRA ( Uni{on de Trabajadores Gastronómicos, Arg)</t>
  </si>
  <si>
    <t>NEGREIRA Gustavo Daniel</t>
  </si>
  <si>
    <t>relevamiento de salon de usos multiples, en PA, oficinas, consultorios y baños en PB, BAJO ORD 27/10, art 1, punto 2, inc 2, INFRACCION ORD 02/25, anexo 1, art 23, CE art 5, 27, 37, 176, 179, 223, 226</t>
  </si>
  <si>
    <t>mail, 575757</t>
  </si>
  <si>
    <t>Salta Nº 34</t>
  </si>
  <si>
    <t>TOTORICA Silvia Beatriz</t>
  </si>
  <si>
    <t>NOLASCO Joaquina y MOYANO María Laura</t>
  </si>
  <si>
    <t>relevamiento de vivienda unifamiliar, dos dormitorios, baño, cocina, comedor, estar, hall zaguan, depósito al fondo, BAJO ORD 27/10, art 1, punto 2, inc 2 y 3, Infraccion CE art 5, 27, 37, 176, 179, 202, ORD 02/25, Anexo 1, Art 23</t>
  </si>
  <si>
    <t>Pasaje 29 de Octubre s/Nº</t>
  </si>
  <si>
    <t>CLUB NAUTICO COLON</t>
  </si>
  <si>
    <t>Administración / Bar / Deposito</t>
  </si>
  <si>
    <t>construcción realizada con contenedores, funcionará allí un bar, la administración del club, un depósito para el serctor de embarcaciones, grupo sanitario, OBRA SIN PERMISO - VISA DE</t>
  </si>
  <si>
    <t>containers colocados</t>
  </si>
  <si>
    <t>MAIL, 568759</t>
  </si>
  <si>
    <t>M. Moreno Nº 1174</t>
  </si>
  <si>
    <t>CACERE Liber Ariel</t>
  </si>
  <si>
    <t>SOMMACAL Mauricio J.</t>
  </si>
  <si>
    <t>galpón depósito, primero a construir, luego obra sin permiso construida por el propietario, con un sanitario, BAJO ORD 27/10, art 1, punto 1, inc 9, punto 2, inc 2 y3, INFRACCION CE art 5, 27, 37, 179, 187, 200, INFRACCION ORD 02/25, anexo 1, art 23, ORD 53/07, art 1, 3</t>
  </si>
  <si>
    <t>10/01/25, en estructuras</t>
  </si>
  <si>
    <t>mail, 575765</t>
  </si>
  <si>
    <t>Alberti s/Nº</t>
  </si>
  <si>
    <t>BRUNI Rubén O y MAZZARELLI Marta G</t>
  </si>
  <si>
    <t>MALGOR José Manuel</t>
  </si>
  <si>
    <t>relevamiento de viviendas de dos dormitorios, baño, cocina comedor, lavadero, una con cochera cubierta, BAJO ORD 27/10, art 1, punto 2, inc 2, INFRACCION CE art 5, 27, 37, 130, 151, 176, 178, ORD 53/07, art 1 y 3, ORD 02/25, Aneo 1, art 11 y 24</t>
  </si>
  <si>
    <t>mail, 575120</t>
  </si>
  <si>
    <t>Rocamora Nº 1187,  1191, 1193, 1195</t>
  </si>
  <si>
    <t>BOGADO BENITEZ WILFREDO</t>
  </si>
  <si>
    <t xml:space="preserve">cuatro unidades a construir, cada una de dos dormitorios en PA y baño, en PB cocina comedor estar, cochera semibubierta al frente y lavadero en patio posterior, BAJO ORD 27/10, art 1, punto 1, inc 9, punto 2, inc 2 y 3, INFRACCION CE art 5, 27, 37, ORD 53/07, ORD 02/25, Anexo 1, art 23 </t>
  </si>
  <si>
    <t>22/9/25, terminada</t>
  </si>
  <si>
    <t>San Martín Nª 779</t>
  </si>
  <si>
    <t>SARTORI Jorge María</t>
  </si>
  <si>
    <t>CHINELLATO Pablo A</t>
  </si>
  <si>
    <t>relevamiento de modificaciones ejecutadas en vivienda unifamiliar de dos dormitorios, cocina, comedor estar, baño, semicubierto con sector parrilla al fondo y depósito, al frente además local comercial con toilete, deposito (Farmacia) y consultorio con espera, office y baño, BAJO ORD 27/10, art 1, punto 2, inc 2, Infraccion art 5, 27, 37, 179, 223, 233 del CE,</t>
  </si>
  <si>
    <t>mail, 574573</t>
  </si>
  <si>
    <t>Vergniaud Nº 22</t>
  </si>
  <si>
    <t>ROSSIER Luisina Giovanna</t>
  </si>
  <si>
    <t>relevamiento de ampliaciones realizadas en vivienda con plano antecedente, se ejecutó PA de ds dormitorios, baño, antebaño, , en PB, estar comedor cocina desayunador, cocehera descubierta lateral, semicubierto con parrilla al fondo, lavadero y baño auxiliar completo,  toilete</t>
  </si>
  <si>
    <t>MAIL, 552456, 574941</t>
  </si>
  <si>
    <t xml:space="preserve">San Martín Nº </t>
  </si>
  <si>
    <t>DERUDDER Susana María</t>
  </si>
  <si>
    <t>LUXURY CARS S.R.L.</t>
  </si>
  <si>
    <t>Galpón / Depósito / Concesionario vehículos</t>
  </si>
  <si>
    <t>galpón, depósito y salón para venta de vehículos automotor, repuestos, agencia de autos, consecionaria</t>
  </si>
  <si>
    <t>8/9/25, NO COMENZADA</t>
  </si>
  <si>
    <t>Bolívar Nº 388 (antes 390)</t>
  </si>
  <si>
    <t>DELASOIE Cristian</t>
  </si>
  <si>
    <t>LEONARDI Jerónimo</t>
  </si>
  <si>
    <t>vivienda unifamiliar a demoler parcialemente, oficinas administrativas a construir, BAJO ORD 27/10, art 1, punto 1, inc 9, punto 2, inc 2, INFRACCION CE art 5 27, 37, 179, ORD 56/07, art 3, inc 1, sub inc a</t>
  </si>
  <si>
    <t>13/9/24, comenzada demolicion</t>
  </si>
  <si>
    <t>Primera Junta Nº 296, 298</t>
  </si>
  <si>
    <t>ALONSO Javier Osvaldo</t>
  </si>
  <si>
    <t>CORREA Adrián Alcides</t>
  </si>
  <si>
    <t>ING.CONST.</t>
  </si>
  <si>
    <t>local comercial con baño y vivienda unifamiliar a construir, dos dormitorios, baño, cocina comedor estar, cochera semicubierta</t>
  </si>
  <si>
    <t>25/9/25, replanteo instalaciones</t>
  </si>
  <si>
    <t>mail, 575187</t>
  </si>
  <si>
    <t>Suburbana</t>
  </si>
  <si>
    <t>Ruta Provincial Nº 26</t>
  </si>
  <si>
    <t>RAMIREZ Andrea Isabel</t>
  </si>
  <si>
    <t>relevamiento de ampliación en galpón local comercial, deposito, BASJO ORD 27/10, art 1, punto 2, inc 2 y 3, INFRACCION CE art 5, 27, 37, 179, 187, 202, 223, 233, 262, 264, ORD M53/07, ORD 2/25, Anexo 1, art 24</t>
  </si>
  <si>
    <t>MES</t>
  </si>
  <si>
    <t>USO</t>
  </si>
  <si>
    <t>Cantidad de Habitaciones (dormitorios) Existente</t>
  </si>
  <si>
    <t>Cantidad de Habitaciones (dormitorios) Nuevas</t>
  </si>
  <si>
    <t>Locales de 1º, Habitables Existente</t>
  </si>
  <si>
    <t>Locales de 1º, Habitables Nuevos</t>
  </si>
  <si>
    <t>N° de Plazas Existente</t>
  </si>
  <si>
    <t>N° de Plazas Nuevas</t>
  </si>
  <si>
    <t>M² existentes (con antecedente) Vivienda</t>
  </si>
  <si>
    <t>M² existentes (con antecedente) Local</t>
  </si>
  <si>
    <t>M² existentes (relevados) Vivienda</t>
  </si>
  <si>
    <t>M² existentes (relevados) Local</t>
  </si>
  <si>
    <t>M²     (a construir Vivienda</t>
  </si>
  <si>
    <t>M²     (a construir Local</t>
  </si>
  <si>
    <t>TITULO PROFESIONAL</t>
  </si>
  <si>
    <t>VISADO</t>
  </si>
  <si>
    <t>FINAL OBRA</t>
  </si>
</sst>
</file>

<file path=xl/styles.xml><?xml version="1.0" encoding="utf-8"?>
<styleSheet xmlns="http://schemas.openxmlformats.org/spreadsheetml/2006/main">
  <numFmts count="3">
    <numFmt numFmtId="164" formatCode="[$-2C0A]dd/mm/yyyy"/>
    <numFmt numFmtId="165" formatCode="&quot;$&quot;\ #,##0.00"/>
    <numFmt numFmtId="166" formatCode="[$€-2C0A]#,##0.00\ ;[$€-2C0A]\-#,##0.00\ ;[$€-2C0A]\-#\ "/>
  </numFmts>
  <fonts count="36">
    <font>
      <sz val="11"/>
      <color rgb="FF000000"/>
      <name val="Arial1"/>
      <charset val="1"/>
    </font>
    <font>
      <sz val="11"/>
      <color theme="1"/>
      <name val="Calibri"/>
      <family val="2"/>
      <scheme val="minor"/>
    </font>
    <font>
      <sz val="11"/>
      <color rgb="FF000000"/>
      <name val="Arial1"/>
      <charset val="1"/>
    </font>
    <font>
      <b/>
      <sz val="10"/>
      <name val="Arial"/>
      <family val="2"/>
      <charset val="1"/>
    </font>
    <font>
      <b/>
      <sz val="10"/>
      <color rgb="FF000000"/>
      <name val="Arial"/>
      <family val="2"/>
      <charset val="1"/>
    </font>
    <font>
      <sz val="10"/>
      <color rgb="FF000000"/>
      <name val="Arial"/>
      <family val="2"/>
      <charset val="1"/>
    </font>
    <font>
      <sz val="10"/>
      <color rgb="FF000000"/>
      <name val="Arial1"/>
      <charset val="1"/>
    </font>
    <font>
      <b/>
      <sz val="10"/>
      <name val="Arial"/>
      <family val="2"/>
    </font>
    <font>
      <i/>
      <sz val="10"/>
      <name val="Arial"/>
      <family val="2"/>
    </font>
    <font>
      <sz val="10"/>
      <name val="Arial"/>
      <family val="2"/>
    </font>
    <font>
      <sz val="10"/>
      <name val="Arial"/>
      <family val="2"/>
      <charset val="1"/>
    </font>
    <font>
      <i/>
      <sz val="10"/>
      <color rgb="FF000000"/>
      <name val="Arial"/>
      <family val="2"/>
      <charset val="1"/>
    </font>
    <font>
      <sz val="10"/>
      <color rgb="FF000000"/>
      <name val="Arial"/>
      <family val="2"/>
    </font>
    <font>
      <sz val="11"/>
      <name val="Arial1"/>
      <charset val="1"/>
    </font>
    <font>
      <sz val="10"/>
      <color rgb="FFFFFFFF"/>
      <name val="Arial"/>
      <family val="2"/>
      <charset val="1"/>
    </font>
    <font>
      <sz val="10"/>
      <color rgb="FFFFFFFF"/>
      <name val="Arial1"/>
      <charset val="1"/>
    </font>
    <font>
      <b/>
      <sz val="10"/>
      <color rgb="FF000000"/>
      <name val="Arial1"/>
      <charset val="1"/>
    </font>
    <font>
      <sz val="10"/>
      <color rgb="FFCC0000"/>
      <name val="Arial"/>
      <family val="2"/>
      <charset val="1"/>
    </font>
    <font>
      <sz val="10"/>
      <color rgb="FFCC0000"/>
      <name val="Arial1"/>
      <charset val="1"/>
    </font>
    <font>
      <b/>
      <sz val="10"/>
      <color rgb="FFFFFFFF"/>
      <name val="Arial"/>
      <family val="2"/>
      <charset val="1"/>
    </font>
    <font>
      <b/>
      <sz val="10"/>
      <color rgb="FFFFFFFF"/>
      <name val="Arial1"/>
      <charset val="1"/>
    </font>
    <font>
      <i/>
      <sz val="10"/>
      <color rgb="FF808080"/>
      <name val="Arial"/>
      <family val="2"/>
      <charset val="1"/>
    </font>
    <font>
      <i/>
      <sz val="10"/>
      <color rgb="FF808080"/>
      <name val="Arial1"/>
      <charset val="1"/>
    </font>
    <font>
      <sz val="10"/>
      <color rgb="FF006600"/>
      <name val="Arial"/>
      <family val="2"/>
      <charset val="1"/>
    </font>
    <font>
      <sz val="10"/>
      <color rgb="FF006600"/>
      <name val="Arial1"/>
      <charset val="1"/>
    </font>
    <font>
      <b/>
      <sz val="24"/>
      <color rgb="FF000000"/>
      <name val="Arial1"/>
      <charset val="1"/>
    </font>
    <font>
      <sz val="18"/>
      <color rgb="FF000000"/>
      <name val="Arial"/>
      <family val="2"/>
      <charset val="1"/>
    </font>
    <font>
      <sz val="18"/>
      <color rgb="FF000000"/>
      <name val="Arial1"/>
      <charset val="1"/>
    </font>
    <font>
      <sz val="12"/>
      <color rgb="FF000000"/>
      <name val="Arial"/>
      <family val="2"/>
      <charset val="1"/>
    </font>
    <font>
      <sz val="12"/>
      <color rgb="FF000000"/>
      <name val="Arial1"/>
      <charset val="1"/>
    </font>
    <font>
      <b/>
      <sz val="24"/>
      <color rgb="FF000000"/>
      <name val="Arial"/>
      <family val="2"/>
      <charset val="1"/>
    </font>
    <font>
      <u/>
      <sz val="10"/>
      <color rgb="FF0000EE"/>
      <name val="Arial"/>
      <family val="2"/>
      <charset val="1"/>
    </font>
    <font>
      <u/>
      <sz val="10"/>
      <color rgb="FF0000EE"/>
      <name val="Arial1"/>
      <charset val="1"/>
    </font>
    <font>
      <sz val="10"/>
      <color rgb="FF996600"/>
      <name val="Arial"/>
      <family val="2"/>
      <charset val="1"/>
    </font>
    <font>
      <sz val="10"/>
      <color rgb="FF333333"/>
      <name val="Arial"/>
      <family val="2"/>
      <charset val="1"/>
    </font>
    <font>
      <sz val="10"/>
      <color rgb="FF333333"/>
      <name val="Arial1"/>
      <charset val="1"/>
    </font>
  </fonts>
  <fills count="22">
    <fill>
      <patternFill patternType="none"/>
    </fill>
    <fill>
      <patternFill patternType="gray125"/>
    </fill>
    <fill>
      <patternFill patternType="gray125">
        <fgColor rgb="FFFF0000"/>
      </patternFill>
    </fill>
    <fill>
      <patternFill patternType="lightGray">
        <fgColor rgb="FF9966FF"/>
        <bgColor auto="1"/>
      </patternFill>
    </fill>
    <fill>
      <patternFill patternType="solid">
        <fgColor theme="9" tint="0.79998168889431442"/>
        <bgColor rgb="FFC0C0C0"/>
      </patternFill>
    </fill>
    <fill>
      <patternFill patternType="solid">
        <fgColor rgb="FFAFD095"/>
        <bgColor rgb="FFC0C0C0"/>
      </patternFill>
    </fill>
    <fill>
      <patternFill patternType="lightGray">
        <fgColor rgb="FF0070C0"/>
        <bgColor auto="1"/>
      </patternFill>
    </fill>
    <fill>
      <patternFill patternType="solid">
        <fgColor theme="9" tint="0.39997558519241921"/>
        <bgColor rgb="FFC0C0C0"/>
      </patternFill>
    </fill>
    <fill>
      <patternFill patternType="solid">
        <fgColor rgb="FF00B0F0"/>
        <bgColor indexed="64"/>
      </patternFill>
    </fill>
    <fill>
      <patternFill patternType="mediumGray">
        <fgColor theme="9" tint="0.39988402966399123"/>
        <bgColor auto="1"/>
      </patternFill>
    </fill>
    <fill>
      <patternFill patternType="lightGray">
        <fgColor rgb="FF9966FF"/>
      </patternFill>
    </fill>
    <fill>
      <patternFill patternType="solid">
        <fgColor rgb="FF00B050"/>
        <bgColor rgb="FFC0C0C0"/>
      </patternFill>
    </fill>
    <fill>
      <patternFill patternType="gray0625">
        <bgColor theme="7" tint="0.79998168889431442"/>
      </patternFill>
    </fill>
    <fill>
      <patternFill patternType="solid">
        <fgColor rgb="FF00B0F0"/>
        <bgColor rgb="FFC0C0C0"/>
      </patternFill>
    </fill>
    <fill>
      <patternFill patternType="gray0625">
        <bgColor theme="9" tint="0.79998168889431442"/>
      </patternFill>
    </fill>
    <fill>
      <patternFill patternType="solid">
        <fgColor rgb="FF000000"/>
        <bgColor rgb="FF000080"/>
      </patternFill>
    </fill>
    <fill>
      <patternFill patternType="solid">
        <fgColor rgb="FF808080"/>
        <bgColor rgb="FF969696"/>
      </patternFill>
    </fill>
    <fill>
      <patternFill patternType="solid">
        <fgColor rgb="FFDDDDDD"/>
        <bgColor rgb="FFDDE8CB"/>
      </patternFill>
    </fill>
    <fill>
      <patternFill patternType="solid">
        <fgColor rgb="FFFFCCCC"/>
        <bgColor rgb="FFFFCC99"/>
      </patternFill>
    </fill>
    <fill>
      <patternFill patternType="solid">
        <fgColor rgb="FFCC0000"/>
        <bgColor rgb="FFFF0000"/>
      </patternFill>
    </fill>
    <fill>
      <patternFill patternType="solid">
        <fgColor rgb="FFCCFFCC"/>
        <bgColor rgb="FFE0EFD4"/>
      </patternFill>
    </fill>
    <fill>
      <patternFill patternType="solid">
        <fgColor rgb="FFFFFFCC"/>
        <bgColor rgb="FFFFFFA6"/>
      </patternFill>
    </fill>
  </fills>
  <borders count="15">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medium">
        <color auto="1"/>
      </left>
      <right/>
      <top/>
      <bottom/>
      <diagonal/>
    </border>
    <border>
      <left/>
      <right style="thin">
        <color auto="1"/>
      </right>
      <top/>
      <bottom style="thin">
        <color auto="1"/>
      </bottom>
      <diagonal/>
    </border>
    <border>
      <left style="thin">
        <color auto="1"/>
      </left>
      <right style="medium">
        <color auto="1"/>
      </right>
      <top style="thin">
        <color auto="1"/>
      </top>
      <bottom style="thin">
        <color auto="1"/>
      </bottom>
      <diagonal/>
    </border>
    <border>
      <left/>
      <right style="thin">
        <color auto="1"/>
      </right>
      <top style="thin">
        <color auto="1"/>
      </top>
      <bottom/>
      <diagonal/>
    </border>
    <border>
      <left/>
      <right/>
      <top/>
      <bottom style="thin">
        <color auto="1"/>
      </bottom>
      <diagonal/>
    </border>
    <border>
      <left style="medium">
        <color auto="1"/>
      </left>
      <right/>
      <top/>
      <bottom style="thin">
        <color auto="1"/>
      </bottom>
      <diagonal/>
    </border>
    <border>
      <left/>
      <right style="thin">
        <color auto="1"/>
      </right>
      <top/>
      <bottom/>
      <diagonal/>
    </border>
    <border>
      <left style="thin">
        <color rgb="FF808080"/>
      </left>
      <right style="thin">
        <color rgb="FF808080"/>
      </right>
      <top style="thin">
        <color rgb="FF808080"/>
      </top>
      <bottom style="thin">
        <color rgb="FF808080"/>
      </bottom>
      <diagonal/>
    </border>
    <border>
      <left style="thin">
        <color auto="1"/>
      </left>
      <right style="thin">
        <color auto="1"/>
      </right>
      <top/>
      <bottom/>
      <diagonal/>
    </border>
  </borders>
  <cellStyleXfs count="37">
    <xf numFmtId="0" fontId="0" fillId="0" borderId="0"/>
    <xf numFmtId="0" fontId="14" fillId="15" borderId="0"/>
    <xf numFmtId="0" fontId="15" fillId="15" borderId="0"/>
    <xf numFmtId="0" fontId="14" fillId="16" borderId="0"/>
    <xf numFmtId="0" fontId="15" fillId="16" borderId="0"/>
    <xf numFmtId="0" fontId="4" fillId="17" borderId="0"/>
    <xf numFmtId="0" fontId="16" fillId="17" borderId="0"/>
    <xf numFmtId="0" fontId="4" fillId="0" borderId="0"/>
    <xf numFmtId="0" fontId="16" fillId="0" borderId="0"/>
    <xf numFmtId="0" fontId="17" fillId="18" borderId="0"/>
    <xf numFmtId="0" fontId="18" fillId="18" borderId="0"/>
    <xf numFmtId="0" fontId="19" fillId="19" borderId="0"/>
    <xf numFmtId="0" fontId="20" fillId="19" borderId="0"/>
    <xf numFmtId="166" fontId="5" fillId="0" borderId="0"/>
    <xf numFmtId="0" fontId="21" fillId="0" borderId="0"/>
    <xf numFmtId="0" fontId="22" fillId="0" borderId="0"/>
    <xf numFmtId="0" fontId="23" fillId="20" borderId="0"/>
    <xf numFmtId="0" fontId="24" fillId="20" borderId="0"/>
    <xf numFmtId="0" fontId="25" fillId="0" borderId="0"/>
    <xf numFmtId="0" fontId="26" fillId="0" borderId="0"/>
    <xf numFmtId="0" fontId="27" fillId="0" borderId="0"/>
    <xf numFmtId="0" fontId="28" fillId="0" borderId="0"/>
    <xf numFmtId="0" fontId="29" fillId="0" borderId="0"/>
    <xf numFmtId="0" fontId="30" fillId="0" borderId="0"/>
    <xf numFmtId="0" fontId="31" fillId="0" borderId="0"/>
    <xf numFmtId="0" fontId="32" fillId="0" borderId="0"/>
    <xf numFmtId="0" fontId="33" fillId="21" borderId="0"/>
    <xf numFmtId="0" fontId="1" fillId="0" borderId="0"/>
    <xf numFmtId="0" fontId="1" fillId="0" borderId="0"/>
    <xf numFmtId="0" fontId="34" fillId="21" borderId="13"/>
    <xf numFmtId="0" fontId="35" fillId="21" borderId="13"/>
    <xf numFmtId="0" fontId="5" fillId="0" borderId="0"/>
    <xf numFmtId="0" fontId="2" fillId="0" borderId="0"/>
    <xf numFmtId="0" fontId="5" fillId="0" borderId="0"/>
    <xf numFmtId="0" fontId="2" fillId="0" borderId="0"/>
    <xf numFmtId="0" fontId="17" fillId="0" borderId="0"/>
    <xf numFmtId="0" fontId="18" fillId="0" borderId="0"/>
  </cellStyleXfs>
  <cellXfs count="168">
    <xf numFmtId="0" fontId="0" fillId="0" borderId="0" xfId="0"/>
    <xf numFmtId="0" fontId="4" fillId="4" borderId="6" xfId="0" applyFont="1" applyFill="1" applyBorder="1" applyAlignment="1">
      <alignment horizontal="center" vertical="center" wrapText="1"/>
    </xf>
    <xf numFmtId="0" fontId="4" fillId="5" borderId="4" xfId="0" applyFont="1" applyFill="1" applyBorder="1" applyAlignment="1">
      <alignment horizontal="center" vertical="center" wrapText="1"/>
    </xf>
    <xf numFmtId="0" fontId="7" fillId="0" borderId="2" xfId="0" applyFont="1" applyFill="1" applyBorder="1" applyAlignment="1">
      <alignment horizontal="center" wrapText="1"/>
    </xf>
    <xf numFmtId="14" fontId="7" fillId="0" borderId="2" xfId="0" applyNumberFormat="1" applyFont="1" applyFill="1" applyBorder="1" applyAlignment="1">
      <alignment horizontal="center" wrapText="1"/>
    </xf>
    <xf numFmtId="164" fontId="8" fillId="0" borderId="2" xfId="0" applyNumberFormat="1" applyFont="1" applyFill="1" applyBorder="1" applyAlignment="1">
      <alignment horizontal="center" vertical="top" wrapText="1"/>
    </xf>
    <xf numFmtId="3" fontId="9" fillId="0" borderId="1" xfId="0" applyNumberFormat="1" applyFont="1" applyFill="1" applyBorder="1" applyAlignment="1">
      <alignment horizontal="center" vertical="top" wrapText="1"/>
    </xf>
    <xf numFmtId="0" fontId="9" fillId="0" borderId="1" xfId="0" applyFont="1" applyFill="1" applyBorder="1" applyAlignment="1">
      <alignment horizontal="center" vertical="top" wrapText="1"/>
    </xf>
    <xf numFmtId="0" fontId="10" fillId="2" borderId="1" xfId="0" applyFont="1" applyFill="1" applyBorder="1" applyAlignment="1">
      <alignment horizontal="center" vertical="top" wrapText="1"/>
    </xf>
    <xf numFmtId="1" fontId="9" fillId="0" borderId="1" xfId="0" applyNumberFormat="1" applyFont="1" applyFill="1" applyBorder="1" applyAlignment="1">
      <alignment horizontal="center" vertical="top" wrapText="1"/>
    </xf>
    <xf numFmtId="1" fontId="10" fillId="2" borderId="1" xfId="0" applyNumberFormat="1" applyFont="1" applyFill="1" applyBorder="1" applyAlignment="1">
      <alignment horizontal="center" vertical="top" wrapText="1"/>
    </xf>
    <xf numFmtId="0" fontId="9" fillId="2" borderId="1" xfId="0" applyFont="1" applyFill="1" applyBorder="1" applyAlignment="1">
      <alignment horizontal="center" vertical="top" wrapText="1"/>
    </xf>
    <xf numFmtId="0" fontId="9" fillId="2" borderId="1" xfId="0" applyFont="1" applyFill="1" applyBorder="1" applyAlignment="1">
      <alignment horizontal="center" wrapText="1"/>
    </xf>
    <xf numFmtId="0" fontId="9" fillId="0" borderId="1" xfId="0" applyFont="1" applyFill="1" applyBorder="1" applyAlignment="1">
      <alignment horizontal="center" wrapText="1"/>
    </xf>
    <xf numFmtId="165" fontId="9" fillId="6" borderId="1" xfId="0" applyNumberFormat="1" applyFont="1" applyFill="1" applyBorder="1" applyAlignment="1">
      <alignment horizontal="center" vertical="center" wrapText="1"/>
    </xf>
    <xf numFmtId="0" fontId="9" fillId="0" borderId="1" xfId="0" applyFont="1" applyFill="1" applyBorder="1" applyAlignment="1">
      <alignment horizontal="left" vertical="top" wrapText="1"/>
    </xf>
    <xf numFmtId="14" fontId="9" fillId="0" borderId="1" xfId="0" applyNumberFormat="1" applyFont="1" applyFill="1" applyBorder="1" applyAlignment="1">
      <alignment horizontal="center" vertical="center" wrapText="1"/>
    </xf>
    <xf numFmtId="0" fontId="9" fillId="0" borderId="1" xfId="0" applyFont="1" applyFill="1" applyBorder="1" applyAlignment="1">
      <alignment horizontal="center" vertical="center" wrapText="1"/>
    </xf>
    <xf numFmtId="14" fontId="9" fillId="0" borderId="1" xfId="0" applyNumberFormat="1" applyFont="1" applyFill="1" applyBorder="1" applyAlignment="1">
      <alignment horizontal="left" vertical="top" wrapText="1"/>
    </xf>
    <xf numFmtId="0" fontId="9" fillId="0" borderId="0" xfId="0" applyFont="1" applyFill="1" applyBorder="1" applyAlignment="1">
      <alignment horizontal="center" wrapText="1"/>
    </xf>
    <xf numFmtId="0" fontId="9" fillId="0" borderId="0" xfId="0" applyFont="1" applyFill="1" applyBorder="1" applyAlignment="1">
      <alignment horizontal="center" vertical="center" wrapText="1"/>
    </xf>
    <xf numFmtId="0" fontId="9" fillId="0" borderId="0" xfId="0" applyFont="1" applyFill="1" applyAlignment="1">
      <alignment horizontal="center" vertical="center" wrapText="1"/>
    </xf>
    <xf numFmtId="0" fontId="4" fillId="5" borderId="1" xfId="0" applyFont="1" applyFill="1" applyBorder="1" applyAlignment="1">
      <alignment horizontal="center" vertical="center" wrapText="1"/>
    </xf>
    <xf numFmtId="0" fontId="7" fillId="0" borderId="7" xfId="0" applyFont="1" applyFill="1" applyBorder="1" applyAlignment="1">
      <alignment horizontal="center" wrapText="1"/>
    </xf>
    <xf numFmtId="14" fontId="7" fillId="0" borderId="7" xfId="0" applyNumberFormat="1" applyFont="1" applyFill="1" applyBorder="1" applyAlignment="1">
      <alignment horizontal="center" wrapText="1"/>
    </xf>
    <xf numFmtId="164" fontId="8" fillId="0" borderId="7" xfId="0" applyNumberFormat="1" applyFont="1" applyFill="1" applyBorder="1" applyAlignment="1">
      <alignment horizontal="center" vertical="top" wrapText="1"/>
    </xf>
    <xf numFmtId="0" fontId="9" fillId="0" borderId="4" xfId="0" applyFont="1" applyFill="1" applyBorder="1" applyAlignment="1">
      <alignment horizontal="center" vertical="top" wrapText="1"/>
    </xf>
    <xf numFmtId="0" fontId="4" fillId="0" borderId="2" xfId="0" applyFont="1" applyBorder="1" applyAlignment="1">
      <alignment horizontal="center" wrapText="1"/>
    </xf>
    <xf numFmtId="164" fontId="11" fillId="0" borderId="1" xfId="0" applyNumberFormat="1" applyFont="1" applyBorder="1" applyAlignment="1">
      <alignment horizontal="center" vertical="top" wrapText="1"/>
    </xf>
    <xf numFmtId="14" fontId="11" fillId="0" borderId="1" xfId="0" applyNumberFormat="1" applyFont="1" applyBorder="1" applyAlignment="1">
      <alignment horizontal="center" vertical="top" wrapText="1"/>
    </xf>
    <xf numFmtId="3" fontId="5" fillId="0" borderId="1" xfId="0" applyNumberFormat="1" applyFont="1" applyBorder="1" applyAlignment="1">
      <alignment horizontal="center" vertical="top" wrapText="1"/>
    </xf>
    <xf numFmtId="0" fontId="5" fillId="0" borderId="1" xfId="0" applyFont="1" applyBorder="1" applyAlignment="1">
      <alignment horizontal="center" vertical="top" wrapText="1"/>
    </xf>
    <xf numFmtId="0" fontId="12" fillId="0" borderId="1" xfId="0" applyFont="1" applyBorder="1" applyAlignment="1">
      <alignment horizontal="center" vertical="top" wrapText="1"/>
    </xf>
    <xf numFmtId="0" fontId="5" fillId="2" borderId="1" xfId="0" applyFont="1" applyFill="1" applyBorder="1" applyAlignment="1">
      <alignment horizontal="center" vertical="top" wrapText="1"/>
    </xf>
    <xf numFmtId="1" fontId="5" fillId="0" borderId="1" xfId="0" applyNumberFormat="1" applyFont="1" applyBorder="1" applyAlignment="1">
      <alignment horizontal="center" vertical="top" wrapText="1"/>
    </xf>
    <xf numFmtId="1" fontId="5" fillId="2" borderId="1" xfId="0" applyNumberFormat="1" applyFont="1" applyFill="1" applyBorder="1" applyAlignment="1">
      <alignment horizontal="center" vertical="top" wrapText="1"/>
    </xf>
    <xf numFmtId="1" fontId="5" fillId="0" borderId="1" xfId="0" applyNumberFormat="1" applyFont="1" applyFill="1" applyBorder="1" applyAlignment="1">
      <alignment horizontal="center" vertical="top" wrapText="1"/>
    </xf>
    <xf numFmtId="0" fontId="5" fillId="2" borderId="1" xfId="0" applyFont="1" applyFill="1" applyBorder="1" applyAlignment="1">
      <alignment horizontal="center" wrapText="1"/>
    </xf>
    <xf numFmtId="0" fontId="5" fillId="0" borderId="1" xfId="0" applyFont="1" applyBorder="1" applyAlignment="1">
      <alignment horizontal="center" wrapText="1"/>
    </xf>
    <xf numFmtId="165" fontId="5" fillId="6" borderId="1" xfId="0" applyNumberFormat="1" applyFont="1" applyFill="1" applyBorder="1" applyAlignment="1">
      <alignment horizontal="center" vertical="center" wrapText="1"/>
    </xf>
    <xf numFmtId="0" fontId="5" fillId="0" borderId="1" xfId="0" applyFont="1" applyBorder="1" applyAlignment="1">
      <alignment horizontal="left" vertical="top" wrapText="1"/>
    </xf>
    <xf numFmtId="14" fontId="5" fillId="0" borderId="1" xfId="0" applyNumberFormat="1" applyFont="1" applyBorder="1" applyAlignment="1">
      <alignment horizontal="center" vertical="center" wrapText="1"/>
    </xf>
    <xf numFmtId="0" fontId="5" fillId="0" borderId="1" xfId="0" applyFont="1" applyBorder="1" applyAlignment="1">
      <alignment horizontal="center" vertical="center" wrapText="1"/>
    </xf>
    <xf numFmtId="0" fontId="5" fillId="0" borderId="8" xfId="0" applyFont="1" applyBorder="1" applyAlignment="1">
      <alignment horizontal="left" vertical="top" wrapText="1"/>
    </xf>
    <xf numFmtId="0" fontId="5" fillId="0" borderId="0" xfId="0" applyFont="1" applyBorder="1" applyAlignment="1">
      <alignment horizontal="center" wrapText="1"/>
    </xf>
    <xf numFmtId="0" fontId="5" fillId="0" borderId="0" xfId="0" applyFont="1" applyBorder="1" applyAlignment="1">
      <alignment horizontal="center" vertical="center" wrapText="1"/>
    </xf>
    <xf numFmtId="0" fontId="5" fillId="0" borderId="0" xfId="0" applyFont="1" applyAlignment="1">
      <alignment horizontal="center" vertical="center" wrapText="1"/>
    </xf>
    <xf numFmtId="14" fontId="7" fillId="0" borderId="1" xfId="0" applyNumberFormat="1" applyFont="1" applyFill="1" applyBorder="1" applyAlignment="1">
      <alignment horizontal="center" wrapText="1"/>
    </xf>
    <xf numFmtId="164" fontId="8" fillId="0" borderId="1" xfId="0" applyNumberFormat="1" applyFont="1" applyFill="1" applyBorder="1" applyAlignment="1">
      <alignment horizontal="center" vertical="top" wrapText="1"/>
    </xf>
    <xf numFmtId="1" fontId="9" fillId="2" borderId="1" xfId="0" applyNumberFormat="1" applyFont="1" applyFill="1" applyBorder="1" applyAlignment="1">
      <alignment horizontal="center" vertical="top" wrapText="1"/>
    </xf>
    <xf numFmtId="14" fontId="9" fillId="0" borderId="8" xfId="0" applyNumberFormat="1" applyFont="1" applyFill="1" applyBorder="1" applyAlignment="1">
      <alignment horizontal="left" vertical="top" wrapText="1"/>
    </xf>
    <xf numFmtId="0" fontId="12" fillId="0" borderId="1" xfId="0" applyNumberFormat="1" applyFont="1" applyBorder="1" applyAlignment="1">
      <alignment horizontal="center" vertical="top" wrapText="1"/>
    </xf>
    <xf numFmtId="14" fontId="5" fillId="0" borderId="8" xfId="0" applyNumberFormat="1" applyFont="1" applyBorder="1" applyAlignment="1">
      <alignment horizontal="left" vertical="top" wrapText="1"/>
    </xf>
    <xf numFmtId="0" fontId="4" fillId="0" borderId="7" xfId="0" applyFont="1" applyBorder="1" applyAlignment="1">
      <alignment horizontal="center" wrapText="1"/>
    </xf>
    <xf numFmtId="164" fontId="11" fillId="0" borderId="2" xfId="0" applyNumberFormat="1" applyFont="1" applyBorder="1" applyAlignment="1">
      <alignment horizontal="center" vertical="top" wrapText="1"/>
    </xf>
    <xf numFmtId="14" fontId="5" fillId="0" borderId="1" xfId="0" applyNumberFormat="1" applyFont="1" applyBorder="1" applyAlignment="1">
      <alignment horizontal="left" vertical="top" wrapText="1"/>
    </xf>
    <xf numFmtId="0" fontId="4" fillId="7" borderId="1" xfId="0" applyFont="1" applyFill="1" applyBorder="1" applyAlignment="1">
      <alignment horizontal="center" vertical="center" wrapText="1"/>
    </xf>
    <xf numFmtId="0" fontId="4" fillId="0" borderId="2" xfId="0" applyFont="1" applyBorder="1" applyAlignment="1">
      <alignment horizontal="center" vertical="center" wrapText="1"/>
    </xf>
    <xf numFmtId="14" fontId="4" fillId="0" borderId="1" xfId="0" applyNumberFormat="1" applyFont="1" applyBorder="1" applyAlignment="1">
      <alignment horizontal="center" wrapText="1"/>
    </xf>
    <xf numFmtId="14" fontId="5" fillId="0" borderId="1" xfId="0" applyNumberFormat="1" applyFont="1" applyBorder="1" applyAlignment="1">
      <alignment horizontal="left" vertical="top"/>
    </xf>
    <xf numFmtId="0" fontId="7" fillId="0" borderId="9" xfId="0" applyFont="1" applyFill="1" applyBorder="1" applyAlignment="1">
      <alignment horizontal="center" vertical="center" wrapText="1"/>
    </xf>
    <xf numFmtId="14" fontId="7" fillId="0" borderId="3" xfId="0" applyNumberFormat="1" applyFont="1" applyFill="1" applyBorder="1" applyAlignment="1">
      <alignment horizontal="center" vertical="center" wrapText="1"/>
    </xf>
    <xf numFmtId="164" fontId="8" fillId="0" borderId="3" xfId="0" applyNumberFormat="1" applyFont="1" applyFill="1" applyBorder="1" applyAlignment="1">
      <alignment horizontal="center" vertical="center" wrapText="1"/>
    </xf>
    <xf numFmtId="3" fontId="9" fillId="0" borderId="1" xfId="0" applyNumberFormat="1" applyFont="1" applyFill="1" applyBorder="1" applyAlignment="1">
      <alignment horizontal="center" vertical="center" wrapText="1"/>
    </xf>
    <xf numFmtId="0" fontId="9" fillId="0" borderId="3" xfId="0" applyFont="1" applyFill="1" applyBorder="1" applyAlignment="1">
      <alignment horizontal="center" vertical="center" wrapText="1"/>
    </xf>
    <xf numFmtId="0" fontId="7" fillId="8" borderId="0" xfId="0" applyFont="1" applyFill="1" applyBorder="1" applyAlignment="1">
      <alignment horizontal="center" vertical="center" wrapText="1"/>
    </xf>
    <xf numFmtId="0" fontId="4" fillId="0" borderId="2" xfId="0" applyFont="1" applyFill="1" applyBorder="1" applyAlignment="1">
      <alignment horizontal="center" wrapText="1"/>
    </xf>
    <xf numFmtId="165" fontId="9" fillId="9" borderId="1" xfId="0" applyNumberFormat="1" applyFont="1" applyFill="1" applyBorder="1" applyAlignment="1">
      <alignment horizontal="center" vertical="center" wrapText="1"/>
    </xf>
    <xf numFmtId="0" fontId="7" fillId="0" borderId="1" xfId="0" applyFont="1" applyFill="1" applyBorder="1" applyAlignment="1">
      <alignment horizontal="center" wrapText="1"/>
    </xf>
    <xf numFmtId="0" fontId="4" fillId="0" borderId="1" xfId="0" applyFont="1" applyFill="1" applyBorder="1" applyAlignment="1">
      <alignment horizontal="center" wrapText="1"/>
    </xf>
    <xf numFmtId="0" fontId="4" fillId="5" borderId="1" xfId="0" applyFont="1" applyFill="1" applyBorder="1" applyAlignment="1">
      <alignment horizontal="center" wrapText="1"/>
    </xf>
    <xf numFmtId="0" fontId="7" fillId="0" borderId="4" xfId="0" applyFont="1" applyFill="1" applyBorder="1" applyAlignment="1">
      <alignment horizontal="center" wrapText="1"/>
    </xf>
    <xf numFmtId="0" fontId="7" fillId="8" borderId="10" xfId="0" applyFont="1" applyFill="1" applyBorder="1" applyAlignment="1">
      <alignment horizontal="center" vertical="center" wrapText="1"/>
    </xf>
    <xf numFmtId="14" fontId="9" fillId="0" borderId="2" xfId="0" applyNumberFormat="1" applyFont="1" applyFill="1" applyBorder="1" applyAlignment="1">
      <alignment horizontal="center" wrapText="1"/>
    </xf>
    <xf numFmtId="14" fontId="9" fillId="0" borderId="5" xfId="0" applyNumberFormat="1" applyFont="1" applyFill="1" applyBorder="1" applyAlignment="1">
      <alignment horizontal="left" vertical="top" wrapText="1"/>
    </xf>
    <xf numFmtId="0" fontId="4" fillId="5" borderId="0" xfId="0" applyFont="1" applyFill="1" applyBorder="1" applyAlignment="1">
      <alignment horizontal="center" wrapText="1"/>
    </xf>
    <xf numFmtId="165" fontId="9" fillId="10" borderId="1" xfId="0" applyNumberFormat="1" applyFont="1" applyFill="1" applyBorder="1" applyAlignment="1">
      <alignment horizontal="center" vertical="center" wrapText="1"/>
    </xf>
    <xf numFmtId="0" fontId="9" fillId="0" borderId="3" xfId="0" applyFont="1" applyFill="1" applyBorder="1" applyAlignment="1">
      <alignment horizontal="center" vertical="top" wrapText="1"/>
    </xf>
    <xf numFmtId="0" fontId="10" fillId="2" borderId="3" xfId="0" applyFont="1" applyFill="1" applyBorder="1" applyAlignment="1">
      <alignment horizontal="center" vertical="top" wrapText="1"/>
    </xf>
    <xf numFmtId="1" fontId="9" fillId="0" borderId="3" xfId="0" applyNumberFormat="1" applyFont="1" applyFill="1" applyBorder="1" applyAlignment="1">
      <alignment horizontal="center" vertical="top" wrapText="1"/>
    </xf>
    <xf numFmtId="1" fontId="10" fillId="2" borderId="3" xfId="0" applyNumberFormat="1" applyFont="1" applyFill="1" applyBorder="1" applyAlignment="1">
      <alignment horizontal="center" vertical="top" wrapText="1"/>
    </xf>
    <xf numFmtId="0" fontId="9" fillId="2" borderId="3" xfId="0" applyFont="1" applyFill="1" applyBorder="1" applyAlignment="1">
      <alignment horizontal="center" vertical="top" wrapText="1"/>
    </xf>
    <xf numFmtId="0" fontId="9" fillId="2" borderId="3" xfId="0" applyFont="1" applyFill="1" applyBorder="1" applyAlignment="1">
      <alignment horizontal="center" wrapText="1"/>
    </xf>
    <xf numFmtId="0" fontId="9" fillId="0" borderId="3" xfId="0" applyFont="1" applyFill="1" applyBorder="1" applyAlignment="1">
      <alignment horizontal="center" wrapText="1"/>
    </xf>
    <xf numFmtId="165" fontId="9" fillId="10" borderId="3" xfId="0" applyNumberFormat="1" applyFont="1" applyFill="1" applyBorder="1" applyAlignment="1">
      <alignment horizontal="center" vertical="center" wrapText="1"/>
    </xf>
    <xf numFmtId="0" fontId="9" fillId="0" borderId="3" xfId="0" applyFont="1" applyFill="1" applyBorder="1" applyAlignment="1">
      <alignment horizontal="left" vertical="top" wrapText="1"/>
    </xf>
    <xf numFmtId="14" fontId="9" fillId="0" borderId="3" xfId="0" applyNumberFormat="1" applyFont="1" applyFill="1" applyBorder="1" applyAlignment="1">
      <alignment horizontal="center" vertical="center" wrapText="1"/>
    </xf>
    <xf numFmtId="14" fontId="9" fillId="0" borderId="3" xfId="0" applyNumberFormat="1" applyFont="1" applyFill="1" applyBorder="1" applyAlignment="1">
      <alignment horizontal="left" vertical="top" wrapText="1"/>
    </xf>
    <xf numFmtId="0" fontId="3" fillId="11" borderId="1" xfId="0" applyFont="1" applyFill="1" applyBorder="1" applyAlignment="1">
      <alignment horizontal="center" wrapText="1"/>
    </xf>
    <xf numFmtId="0" fontId="4" fillId="0" borderId="1" xfId="0" applyFont="1" applyBorder="1" applyAlignment="1">
      <alignment horizontal="center" wrapText="1"/>
    </xf>
    <xf numFmtId="165" fontId="5" fillId="12" borderId="1" xfId="0" applyNumberFormat="1" applyFont="1" applyFill="1" applyBorder="1" applyAlignment="1">
      <alignment horizontal="center" vertical="center" wrapText="1"/>
    </xf>
    <xf numFmtId="0" fontId="4" fillId="5" borderId="7" xfId="0" applyFont="1" applyFill="1" applyBorder="1" applyAlignment="1">
      <alignment horizontal="center" wrapText="1"/>
    </xf>
    <xf numFmtId="0" fontId="4" fillId="13" borderId="6" xfId="0" applyFont="1" applyFill="1" applyBorder="1" applyAlignment="1">
      <alignment horizontal="center" vertical="center" wrapText="1"/>
    </xf>
    <xf numFmtId="14" fontId="9" fillId="0" borderId="1" xfId="0" applyNumberFormat="1" applyFont="1" applyFill="1" applyBorder="1" applyAlignment="1">
      <alignment horizontal="center" wrapText="1"/>
    </xf>
    <xf numFmtId="0" fontId="4" fillId="7" borderId="1" xfId="0" applyFont="1" applyFill="1" applyBorder="1" applyAlignment="1">
      <alignment horizontal="center" wrapText="1"/>
    </xf>
    <xf numFmtId="0" fontId="7" fillId="0" borderId="9" xfId="0" applyFont="1" applyFill="1" applyBorder="1" applyAlignment="1">
      <alignment horizontal="center" wrapText="1"/>
    </xf>
    <xf numFmtId="14" fontId="9" fillId="0" borderId="3" xfId="0" applyNumberFormat="1" applyFont="1" applyFill="1" applyBorder="1" applyAlignment="1">
      <alignment horizontal="center" wrapText="1"/>
    </xf>
    <xf numFmtId="3" fontId="9" fillId="0" borderId="3" xfId="0" applyNumberFormat="1" applyFont="1" applyFill="1" applyBorder="1" applyAlignment="1">
      <alignment horizontal="center" vertical="top" wrapText="1"/>
    </xf>
    <xf numFmtId="165" fontId="9" fillId="14" borderId="3" xfId="0" applyNumberFormat="1" applyFont="1" applyFill="1" applyBorder="1" applyAlignment="1">
      <alignment horizontal="center" vertical="center" wrapText="1"/>
    </xf>
    <xf numFmtId="164" fontId="11" fillId="0" borderId="2" xfId="0" applyNumberFormat="1" applyFont="1" applyFill="1" applyBorder="1" applyAlignment="1">
      <alignment horizontal="center" vertical="top" wrapText="1"/>
    </xf>
    <xf numFmtId="3" fontId="5" fillId="0" borderId="1" xfId="0" applyNumberFormat="1" applyFont="1" applyFill="1" applyBorder="1" applyAlignment="1">
      <alignment horizontal="center" vertical="top" wrapText="1"/>
    </xf>
    <xf numFmtId="0" fontId="5" fillId="0" borderId="1" xfId="0" applyFont="1" applyFill="1" applyBorder="1" applyAlignment="1">
      <alignment horizontal="center" vertical="top" wrapText="1"/>
    </xf>
    <xf numFmtId="0" fontId="12" fillId="0" borderId="1" xfId="0" applyFont="1" applyFill="1" applyBorder="1" applyAlignment="1">
      <alignment horizontal="center" vertical="top" wrapText="1"/>
    </xf>
    <xf numFmtId="0" fontId="5" fillId="0" borderId="1" xfId="0" applyFont="1" applyFill="1" applyBorder="1" applyAlignment="1">
      <alignment horizontal="center" wrapText="1"/>
    </xf>
    <xf numFmtId="0" fontId="5" fillId="0" borderId="1" xfId="0" applyFont="1" applyFill="1" applyBorder="1" applyAlignment="1">
      <alignment horizontal="left" vertical="top" wrapText="1"/>
    </xf>
    <xf numFmtId="14" fontId="5" fillId="0" borderId="1" xfId="0" applyNumberFormat="1" applyFont="1" applyFill="1" applyBorder="1" applyAlignment="1">
      <alignment horizontal="center" vertical="center" wrapText="1"/>
    </xf>
    <xf numFmtId="0" fontId="5" fillId="0" borderId="1" xfId="0" applyFont="1" applyFill="1" applyBorder="1" applyAlignment="1">
      <alignment horizontal="center" vertical="center" wrapText="1"/>
    </xf>
    <xf numFmtId="0" fontId="5" fillId="0" borderId="0" xfId="0" applyFont="1" applyFill="1" applyBorder="1" applyAlignment="1">
      <alignment horizontal="center" wrapText="1"/>
    </xf>
    <xf numFmtId="0" fontId="5" fillId="0" borderId="0" xfId="0" applyFont="1" applyFill="1" applyBorder="1" applyAlignment="1">
      <alignment horizontal="center" vertical="center" wrapText="1"/>
    </xf>
    <xf numFmtId="0" fontId="5" fillId="0" borderId="0" xfId="0" applyFont="1" applyFill="1" applyAlignment="1">
      <alignment horizontal="center" vertical="center" wrapText="1"/>
    </xf>
    <xf numFmtId="0" fontId="4" fillId="7" borderId="6" xfId="0" applyFont="1" applyFill="1" applyBorder="1" applyAlignment="1">
      <alignment horizontal="center" vertical="center" wrapText="1"/>
    </xf>
    <xf numFmtId="0" fontId="4" fillId="7" borderId="0" xfId="0" applyFont="1" applyFill="1" applyBorder="1" applyAlignment="1">
      <alignment horizontal="center" wrapText="1"/>
    </xf>
    <xf numFmtId="0" fontId="4" fillId="13" borderId="0" xfId="0" applyFont="1" applyFill="1" applyBorder="1" applyAlignment="1">
      <alignment horizontal="center" wrapText="1"/>
    </xf>
    <xf numFmtId="2" fontId="9" fillId="0" borderId="1" xfId="0" applyNumberFormat="1" applyFont="1" applyFill="1" applyBorder="1" applyAlignment="1">
      <alignment horizontal="center" wrapText="1"/>
    </xf>
    <xf numFmtId="0" fontId="4" fillId="13" borderId="11" xfId="0" applyFont="1" applyFill="1" applyBorder="1" applyAlignment="1">
      <alignment horizontal="center" vertical="center" wrapText="1"/>
    </xf>
    <xf numFmtId="0" fontId="4" fillId="13" borderId="1" xfId="0" applyFont="1" applyFill="1" applyBorder="1" applyAlignment="1">
      <alignment horizontal="center" wrapText="1"/>
    </xf>
    <xf numFmtId="0" fontId="4" fillId="0" borderId="4" xfId="0" applyFont="1" applyBorder="1" applyAlignment="1">
      <alignment horizontal="center" wrapText="1"/>
    </xf>
    <xf numFmtId="0" fontId="3" fillId="13" borderId="1" xfId="0" applyFont="1" applyFill="1" applyBorder="1" applyAlignment="1">
      <alignment horizontal="center" wrapText="1"/>
    </xf>
    <xf numFmtId="0" fontId="6" fillId="0" borderId="1" xfId="0" applyFont="1" applyBorder="1"/>
    <xf numFmtId="0" fontId="6" fillId="0" borderId="1" xfId="0" applyFont="1" applyBorder="1" applyAlignment="1">
      <alignment horizontal="center"/>
    </xf>
    <xf numFmtId="0" fontId="6" fillId="0" borderId="1" xfId="0" applyFont="1" applyBorder="1" applyAlignment="1">
      <alignment vertical="top" wrapText="1"/>
    </xf>
    <xf numFmtId="0" fontId="4" fillId="13" borderId="9" xfId="0" applyFont="1" applyFill="1" applyBorder="1" applyAlignment="1">
      <alignment horizontal="center" wrapText="1"/>
    </xf>
    <xf numFmtId="0" fontId="3" fillId="7" borderId="2" xfId="0" applyFont="1" applyFill="1" applyBorder="1" applyAlignment="1">
      <alignment horizontal="center" wrapText="1"/>
    </xf>
    <xf numFmtId="0" fontId="4" fillId="13" borderId="7" xfId="0" applyFont="1" applyFill="1" applyBorder="1" applyAlignment="1">
      <alignment horizontal="center" wrapText="1"/>
    </xf>
    <xf numFmtId="165" fontId="9" fillId="12" borderId="1" xfId="0" applyNumberFormat="1" applyFont="1" applyFill="1" applyBorder="1" applyAlignment="1">
      <alignment horizontal="center" vertical="center" wrapText="1"/>
    </xf>
    <xf numFmtId="0" fontId="12" fillId="0" borderId="0" xfId="0" applyFont="1"/>
    <xf numFmtId="0" fontId="12" fillId="0" borderId="0" xfId="0" applyFont="1" applyAlignment="1">
      <alignment horizontal="center" vertical="center"/>
    </xf>
    <xf numFmtId="0" fontId="12" fillId="0" borderId="0" xfId="0" applyFont="1" applyAlignment="1">
      <alignment horizontal="center" vertical="top"/>
    </xf>
    <xf numFmtId="0" fontId="12" fillId="2" borderId="0" xfId="0" applyFont="1" applyFill="1"/>
    <xf numFmtId="165" fontId="12" fillId="3" borderId="0" xfId="0" applyNumberFormat="1" applyFont="1" applyFill="1" applyAlignment="1">
      <alignment horizontal="center" vertical="center"/>
    </xf>
    <xf numFmtId="0" fontId="12" fillId="0" borderId="0" xfId="0" applyFont="1" applyAlignment="1">
      <alignment horizontal="left" vertical="top"/>
    </xf>
    <xf numFmtId="0" fontId="0" fillId="0" borderId="0" xfId="0" applyAlignment="1"/>
    <xf numFmtId="0" fontId="9" fillId="0" borderId="0" xfId="0" applyFont="1" applyFill="1" applyBorder="1" applyAlignment="1">
      <alignment horizontal="center" vertical="center"/>
    </xf>
    <xf numFmtId="0" fontId="9" fillId="0" borderId="12" xfId="0" applyFont="1" applyFill="1" applyBorder="1" applyAlignment="1">
      <alignment horizontal="center" vertical="center"/>
    </xf>
    <xf numFmtId="0" fontId="0" fillId="0" borderId="0" xfId="0" applyAlignment="1">
      <alignment horizontal="center"/>
    </xf>
    <xf numFmtId="0" fontId="9" fillId="0" borderId="0" xfId="0" applyFont="1" applyFill="1" applyAlignment="1">
      <alignment horizontal="center" vertical="center"/>
    </xf>
    <xf numFmtId="0" fontId="13" fillId="0" borderId="12" xfId="0" applyFont="1" applyFill="1" applyBorder="1" applyAlignment="1">
      <alignment horizontal="center" vertical="center"/>
    </xf>
    <xf numFmtId="0" fontId="0" fillId="0" borderId="0" xfId="0" applyAlignment="1">
      <alignment horizontal="center" vertical="center"/>
    </xf>
    <xf numFmtId="0" fontId="0" fillId="0" borderId="0" xfId="0" applyFont="1"/>
    <xf numFmtId="0" fontId="0" fillId="0" borderId="0" xfId="0" applyAlignment="1">
      <alignment horizontal="center" vertical="top"/>
    </xf>
    <xf numFmtId="0" fontId="0" fillId="2" borderId="0" xfId="0" applyFill="1"/>
    <xf numFmtId="165" fontId="0" fillId="3" borderId="0" xfId="0" applyNumberFormat="1" applyFill="1" applyAlignment="1">
      <alignment horizontal="center" vertical="center"/>
    </xf>
    <xf numFmtId="0" fontId="0" fillId="0" borderId="0" xfId="0" applyAlignment="1">
      <alignment horizontal="left" vertical="top"/>
    </xf>
    <xf numFmtId="0" fontId="13" fillId="0" borderId="0" xfId="0" applyFont="1" applyFill="1" applyAlignment="1">
      <alignment horizontal="center" vertical="center"/>
    </xf>
    <xf numFmtId="14" fontId="7" fillId="0" borderId="3" xfId="0" applyNumberFormat="1" applyFont="1" applyFill="1" applyBorder="1" applyAlignment="1">
      <alignment horizontal="center" wrapText="1"/>
    </xf>
    <xf numFmtId="164" fontId="8" fillId="0" borderId="3" xfId="0" applyNumberFormat="1" applyFont="1" applyFill="1" applyBorder="1" applyAlignment="1">
      <alignment horizontal="center" vertical="top" wrapText="1"/>
    </xf>
    <xf numFmtId="0" fontId="7" fillId="0" borderId="3" xfId="0" applyFont="1" applyFill="1" applyBorder="1" applyAlignment="1">
      <alignment horizontal="center" wrapText="1"/>
    </xf>
    <xf numFmtId="14" fontId="9" fillId="0" borderId="3" xfId="0" applyNumberFormat="1" applyFont="1" applyFill="1" applyBorder="1" applyAlignment="1">
      <alignment horizontal="center" vertical="top" wrapText="1"/>
    </xf>
    <xf numFmtId="0" fontId="4" fillId="5" borderId="12" xfId="0" applyFont="1" applyFill="1" applyBorder="1" applyAlignment="1">
      <alignment horizontal="center" wrapText="1"/>
    </xf>
    <xf numFmtId="0" fontId="4" fillId="13" borderId="3" xfId="0" applyFont="1" applyFill="1" applyBorder="1" applyAlignment="1">
      <alignment horizontal="center" wrapText="1"/>
    </xf>
    <xf numFmtId="14" fontId="7" fillId="0" borderId="9" xfId="0" applyNumberFormat="1" applyFont="1" applyFill="1" applyBorder="1" applyAlignment="1">
      <alignment horizontal="center" wrapText="1"/>
    </xf>
    <xf numFmtId="164" fontId="8" fillId="0" borderId="9" xfId="0" applyNumberFormat="1" applyFont="1" applyFill="1" applyBorder="1" applyAlignment="1">
      <alignment horizontal="center" vertical="top" wrapText="1"/>
    </xf>
    <xf numFmtId="49" fontId="4" fillId="0" borderId="4" xfId="0" applyNumberFormat="1" applyFont="1" applyBorder="1" applyAlignment="1">
      <alignment horizontal="center" vertical="center" wrapText="1"/>
    </xf>
    <xf numFmtId="49" fontId="5" fillId="0" borderId="4" xfId="0" applyNumberFormat="1" applyFont="1" applyBorder="1" applyAlignment="1">
      <alignment horizontal="center" vertical="center" wrapText="1"/>
    </xf>
    <xf numFmtId="49" fontId="4" fillId="0" borderId="3" xfId="0" applyNumberFormat="1" applyFont="1" applyBorder="1" applyAlignment="1">
      <alignment vertical="center" wrapText="1"/>
    </xf>
    <xf numFmtId="49" fontId="5" fillId="0" borderId="3" xfId="0" applyNumberFormat="1" applyFont="1" applyBorder="1" applyAlignment="1">
      <alignment vertical="center" wrapText="1"/>
    </xf>
    <xf numFmtId="49" fontId="4" fillId="0" borderId="1" xfId="0" applyNumberFormat="1" applyFont="1" applyBorder="1" applyAlignment="1">
      <alignment horizontal="center" vertical="center" wrapText="1"/>
    </xf>
    <xf numFmtId="49" fontId="4" fillId="0" borderId="14" xfId="0" applyNumberFormat="1" applyFont="1" applyBorder="1" applyAlignment="1">
      <alignment vertical="center" wrapText="1"/>
    </xf>
    <xf numFmtId="49" fontId="4" fillId="0" borderId="3" xfId="0" applyNumberFormat="1" applyFont="1" applyBorder="1" applyAlignment="1">
      <alignment wrapText="1"/>
    </xf>
    <xf numFmtId="49" fontId="4" fillId="0" borderId="3" xfId="0" applyNumberFormat="1" applyFont="1" applyBorder="1" applyAlignment="1">
      <alignment horizontal="center" vertical="center" wrapText="1"/>
    </xf>
    <xf numFmtId="49" fontId="4" fillId="0" borderId="3" xfId="0" applyNumberFormat="1" applyFont="1" applyBorder="1" applyAlignment="1">
      <alignment vertical="top" wrapText="1"/>
    </xf>
    <xf numFmtId="49" fontId="4" fillId="0" borderId="4" xfId="0" applyNumberFormat="1" applyFont="1" applyBorder="1" applyAlignment="1">
      <alignment vertical="center" wrapText="1"/>
    </xf>
    <xf numFmtId="49" fontId="0" fillId="0" borderId="0" xfId="0" applyNumberFormat="1" applyAlignment="1">
      <alignment vertical="center"/>
    </xf>
    <xf numFmtId="0" fontId="4" fillId="5" borderId="3" xfId="0" applyFont="1" applyFill="1" applyBorder="1" applyAlignment="1">
      <alignment horizontal="center" vertical="center" wrapText="1"/>
    </xf>
    <xf numFmtId="0" fontId="0" fillId="0" borderId="4" xfId="0" applyBorder="1"/>
    <xf numFmtId="0" fontId="4" fillId="5" borderId="3" xfId="0" applyFont="1" applyFill="1" applyBorder="1" applyAlignment="1">
      <alignment horizontal="center" wrapText="1"/>
    </xf>
    <xf numFmtId="0" fontId="4" fillId="5" borderId="4" xfId="0" applyFont="1" applyFill="1" applyBorder="1" applyAlignment="1">
      <alignment horizontal="center" wrapText="1"/>
    </xf>
    <xf numFmtId="0" fontId="4" fillId="13" borderId="4" xfId="0" applyFont="1" applyFill="1" applyBorder="1" applyAlignment="1">
      <alignment horizontal="center" wrapText="1"/>
    </xf>
  </cellXfs>
  <cellStyles count="37">
    <cellStyle name="Accent 1 1" xfId="1"/>
    <cellStyle name="Accent 1 6" xfId="2"/>
    <cellStyle name="Accent 2 1" xfId="3"/>
    <cellStyle name="Accent 2 7" xfId="4"/>
    <cellStyle name="Accent 3 1" xfId="5"/>
    <cellStyle name="Accent 3 8" xfId="6"/>
    <cellStyle name="Accent 4" xfId="7"/>
    <cellStyle name="Accent 5" xfId="8"/>
    <cellStyle name="Bad 1" xfId="9"/>
    <cellStyle name="Bad 9" xfId="10"/>
    <cellStyle name="Error 1" xfId="11"/>
    <cellStyle name="Error 10" xfId="12"/>
    <cellStyle name="Euro" xfId="13"/>
    <cellStyle name="Footnote 1" xfId="14"/>
    <cellStyle name="Footnote 11" xfId="15"/>
    <cellStyle name="Good 1" xfId="16"/>
    <cellStyle name="Good 12" xfId="17"/>
    <cellStyle name="Heading (user) 13" xfId="18"/>
    <cellStyle name="Heading 1 1" xfId="19"/>
    <cellStyle name="Heading 1 14" xfId="20"/>
    <cellStyle name="Heading 2 1" xfId="21"/>
    <cellStyle name="Heading 2 15" xfId="22"/>
    <cellStyle name="Heading 3" xfId="23"/>
    <cellStyle name="Hyperlink 1" xfId="24"/>
    <cellStyle name="Hyperlink 16" xfId="25"/>
    <cellStyle name="Neutral 1" xfId="26"/>
    <cellStyle name="Normal" xfId="0" builtinId="0"/>
    <cellStyle name="Normal 2" xfId="27"/>
    <cellStyle name="Normal 3" xfId="28"/>
    <cellStyle name="Note 1" xfId="29"/>
    <cellStyle name="Note 17" xfId="30"/>
    <cellStyle name="Status 1" xfId="31"/>
    <cellStyle name="Status 18" xfId="32"/>
    <cellStyle name="Text 1" xfId="33"/>
    <cellStyle name="Text 19" xfId="34"/>
    <cellStyle name="Warning 1" xfId="35"/>
    <cellStyle name="Warning 20" xfId="36"/>
  </cellStyles>
  <dxfs count="49">
    <dxf>
      <font>
        <b val="0"/>
        <i val="0"/>
        <strike val="0"/>
        <condense val="0"/>
        <extend val="0"/>
        <outline val="0"/>
        <shadow val="0"/>
        <u val="none"/>
        <vertAlign val="baseline"/>
        <sz val="10"/>
        <color auto="1"/>
        <name val="Arial"/>
        <scheme val="none"/>
      </font>
      <numFmt numFmtId="19" formatCode="dd/mm/yy"/>
      <fill>
        <patternFill patternType="none">
          <fgColor indexed="64"/>
          <bgColor indexed="65"/>
        </patternFill>
      </fill>
      <alignment horizontal="left"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center"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numFmt numFmtId="19" formatCode="dd/mm/yy"/>
      <fill>
        <patternFill patternType="none">
          <fgColor indexed="64"/>
          <bgColor indexed="65"/>
        </patternFill>
      </fill>
      <alignment horizontal="center" vertical="center"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left"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bottom"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left"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bottom"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bottom"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bottom"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bottom"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bottom"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fill>
        <patternFill patternType="gray125">
          <fgColor rgb="FFFF0000"/>
          <bgColor indexed="65"/>
        </patternFill>
      </fill>
      <alignment horizontal="center" vertical="bottom"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fill>
        <patternFill patternType="gray125">
          <fgColor rgb="FFFF0000"/>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numFmt numFmtId="1" formatCode="0"/>
      <fill>
        <patternFill patternType="gray125">
          <fgColor rgb="FFFF0000"/>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numFmt numFmtId="1" formatCode="0"/>
      <fill>
        <patternFill patternType="none">
          <fgColor indexed="64"/>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numFmt numFmtId="1" formatCode="0"/>
      <fill>
        <patternFill patternType="gray125">
          <fgColor rgb="FFFF0000"/>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numFmt numFmtId="1" formatCode="0"/>
      <fill>
        <patternFill patternType="none">
          <fgColor indexed="64"/>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numFmt numFmtId="1" formatCode="0"/>
      <fill>
        <patternFill patternType="gray125">
          <fgColor rgb="FFFF0000"/>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numFmt numFmtId="1" formatCode="0"/>
      <fill>
        <patternFill patternType="none">
          <fgColor indexed="64"/>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fill>
        <patternFill patternType="gray125">
          <fgColor rgb="FFFF0000"/>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numFmt numFmtId="3" formatCode="#,##0"/>
      <fill>
        <patternFill patternType="none">
          <fgColor indexed="64"/>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numFmt numFmtId="3" formatCode="#,##0"/>
      <fill>
        <patternFill patternType="none">
          <fgColor indexed="64"/>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numFmt numFmtId="3" formatCode="#,##0"/>
      <fill>
        <patternFill patternType="none">
          <fgColor indexed="64"/>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strike val="0"/>
        <condense val="0"/>
        <extend val="0"/>
        <outline val="0"/>
        <shadow val="0"/>
        <u val="none"/>
        <vertAlign val="baseline"/>
        <sz val="10"/>
        <color auto="1"/>
        <name val="Arial"/>
        <scheme val="none"/>
      </font>
      <numFmt numFmtId="164" formatCode="[$-2C0A]dd/mm/yyyy"/>
      <fill>
        <patternFill patternType="none">
          <fgColor indexed="64"/>
          <bgColor indexed="65"/>
        </patternFill>
      </fill>
      <alignment horizontal="center" vertical="top" textRotation="0" wrapText="1" indent="0" relativeIndent="0" justifyLastLine="0" shrinkToFit="0" mergeCell="0" readingOrder="0"/>
      <border diagonalUp="0" diagonalDown="0">
        <left/>
        <right style="thin">
          <color auto="1"/>
        </right>
        <top style="thin">
          <color auto="1"/>
        </top>
        <bottom style="thin">
          <color auto="1"/>
        </bottom>
        <vertical/>
        <horizontal/>
      </border>
    </dxf>
    <dxf>
      <font>
        <b/>
        <i val="0"/>
        <strike val="0"/>
        <condense val="0"/>
        <extend val="0"/>
        <outline val="0"/>
        <shadow val="0"/>
        <u val="none"/>
        <vertAlign val="baseline"/>
        <sz val="10"/>
        <color auto="1"/>
        <name val="Arial"/>
        <scheme val="none"/>
      </font>
      <numFmt numFmtId="19" formatCode="dd/mm/yy"/>
      <fill>
        <patternFill patternType="none">
          <fgColor indexed="64"/>
          <bgColor indexed="65"/>
        </patternFill>
      </fill>
      <alignment horizontal="center" vertical="bottom" textRotation="0" wrapText="1" indent="0" relativeIndent="0" justifyLastLine="0" shrinkToFit="0" mergeCell="0" readingOrder="0"/>
      <border diagonalUp="0" diagonalDown="0">
        <left/>
        <right style="thin">
          <color auto="1"/>
        </right>
        <top style="thin">
          <color auto="1"/>
        </top>
        <bottom style="thin">
          <color auto="1"/>
        </bottom>
        <vertical/>
        <horizontal/>
      </border>
    </dxf>
    <dxf>
      <font>
        <b/>
        <i val="0"/>
        <strike val="0"/>
        <condense val="0"/>
        <extend val="0"/>
        <outline val="0"/>
        <shadow val="0"/>
        <u val="none"/>
        <vertAlign val="baseline"/>
        <sz val="10"/>
        <color auto="1"/>
        <name val="Arial"/>
        <scheme val="none"/>
      </font>
      <fill>
        <patternFill patternType="none">
          <fgColor indexed="64"/>
          <bgColor indexed="65"/>
        </patternFill>
      </fill>
      <alignment horizontal="center" vertical="bottom"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10"/>
        <color rgb="FF000000"/>
        <name val="Arial"/>
        <scheme val="none"/>
      </font>
      <fill>
        <patternFill patternType="solid">
          <fgColor rgb="FFC0C0C0"/>
          <bgColor rgb="FF00B0F0"/>
        </patternFill>
      </fill>
      <alignment horizontal="center" vertical="bottom"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10"/>
        <color rgb="FF000000"/>
        <name val="Arial"/>
        <scheme val="none"/>
      </font>
      <fill>
        <patternFill patternType="solid">
          <fgColor rgb="FFC0C0C0"/>
          <bgColor rgb="FFAFD095"/>
        </patternFill>
      </fill>
      <alignment horizontal="center" vertical="bottom" textRotation="0" wrapText="1" indent="0" relativeIndent="0" justifyLastLine="0" shrinkToFit="0" mergeCell="0" readingOrder="0"/>
    </dxf>
    <dxf>
      <border outline="0">
        <bottom style="thin">
          <color auto="1"/>
        </bottom>
      </border>
    </dxf>
  </dxfs>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OP%202020\OBSERVACIONES\2025\LISTADO%20PLANOS-SEPTIEMBRE-2025.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1975"/>
      <sheetName val="Hoja2"/>
      <sheetName val="1985"/>
      <sheetName val="1989"/>
      <sheetName val="1981"/>
      <sheetName val="1992"/>
      <sheetName val="1993"/>
      <sheetName val="1994"/>
      <sheetName val="1995"/>
      <sheetName val="1996"/>
      <sheetName val="1997"/>
      <sheetName val="1998"/>
      <sheetName val="1999"/>
      <sheetName val="2000"/>
      <sheetName val="2001"/>
      <sheetName val="2002"/>
      <sheetName val="2003"/>
      <sheetName val="2004"/>
      <sheetName val="2005"/>
      <sheetName val="2006"/>
      <sheetName val="2007"/>
      <sheetName val="Unidades x condición"/>
      <sheetName val="Habitaciones y Plazas"/>
      <sheetName val="M2"/>
      <sheetName val="2008"/>
      <sheetName val="2008 nuevas"/>
      <sheetName val="2008 relev"/>
      <sheetName val="Hoja1"/>
      <sheetName val="Observados (9-10-08)"/>
      <sheetName val="paq archivo"/>
      <sheetName val="2009"/>
      <sheetName val="M2 (2009)"/>
      <sheetName val="Hoja3"/>
      <sheetName val="INST ELECT"/>
      <sheetName val="ALTURA LIBRE MIN LOCALES"/>
      <sheetName val="planos 57-07-2y3"/>
      <sheetName val="actualizacion alicuota"/>
      <sheetName val="2010"/>
      <sheetName val="M2 (2010)"/>
      <sheetName val="2011"/>
      <sheetName val="2012"/>
      <sheetName val="28-04, 57-07 y 27-10 -1y3 (2)"/>
      <sheetName val="2013"/>
      <sheetName val="PRO.CRE.AR."/>
      <sheetName val="Hoja5"/>
      <sheetName val="2014"/>
      <sheetName val="2016"/>
      <sheetName val="2019"/>
      <sheetName val="2020"/>
      <sheetName val="2021"/>
      <sheetName val="2022"/>
      <sheetName val="2023"/>
      <sheetName val="2024"/>
      <sheetName val="2025"/>
      <sheetName val="Observados"/>
      <sheetName val="Observados (2)"/>
      <sheetName val="ARCHIVADOS"/>
      <sheetName val="TRAMITES"/>
      <sheetName val="TRAMITES graf"/>
      <sheetName val="M2 x año"/>
      <sheetName val="Hoja4"/>
      <sheetName val="Hoja6"/>
      <sheetName val="09-2024"/>
      <sheetName val="12-2024"/>
      <sheetName val="Hoja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ow r="65">
          <cell r="AI65">
            <v>45.019999999999996</v>
          </cell>
        </row>
      </sheetData>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Set>
  </externalBook>
</externalLink>
</file>

<file path=xl/tables/table1.xml><?xml version="1.0" encoding="utf-8"?>
<table xmlns="http://schemas.openxmlformats.org/spreadsheetml/2006/main" id="2" name="Tabla2" displayName="Tabla2" ref="A1:AV150" totalsRowShown="0" tableBorderDxfId="48">
  <autoFilter ref="A1:AV150"/>
  <tableColumns count="48">
    <tableColumn id="1" name="MES" dataDxfId="47"/>
    <tableColumn id="2" name="LEGAJO" dataDxfId="46"/>
    <tableColumn id="3" name="EXPEDIENTE" dataDxfId="45"/>
    <tableColumn id="4" name="INGRESO" dataDxfId="44"/>
    <tableColumn id="5" name="CONDICION del trámite" dataDxfId="43"/>
    <tableColumn id="6" name="Plano de Mensura" dataDxfId="42"/>
    <tableColumn id="7" name="Partida Provincial" dataDxfId="41"/>
    <tableColumn id="8" name="Partida Municipal" dataDxfId="40"/>
    <tableColumn id="9" name="Concesión" dataDxfId="39"/>
    <tableColumn id="10" name="Ex-Quinta" dataDxfId="38"/>
    <tableColumn id="11" name="Manzana" dataDxfId="37"/>
    <tableColumn id="12" name="Parcela" dataDxfId="36"/>
    <tableColumn id="13" name="Zonificación" dataDxfId="35"/>
    <tableColumn id="14" name="Ubicación" dataDxfId="34"/>
    <tableColumn id="15" name="Propietario" dataDxfId="33"/>
    <tableColumn id="16" name="Nombre del Establecimiento y/o empresa" dataDxfId="32"/>
    <tableColumn id="17" name="Proyecto" dataDxfId="31"/>
    <tableColumn id="18" name="Dirección de obra" dataDxfId="30"/>
    <tableColumn id="19" name="Estructura" dataDxfId="29"/>
    <tableColumn id="20" name="Constructor" dataDxfId="28"/>
    <tableColumn id="21" name="RELEVAMIENTO o existente" dataDxfId="27"/>
    <tableColumn id="22" name="A CONTRUIR / OBRA NUEVA" dataDxfId="26"/>
    <tableColumn id="23" name="AMPLIACION de obra existente" dataDxfId="25"/>
    <tableColumn id="24" name="PROYECTADO (no iniciado)" dataDxfId="24"/>
    <tableColumn id="25" name="USO" dataDxfId="23"/>
    <tableColumn id="26" name="Cantidad de Habitaciones (dormitorios) Existente" dataDxfId="22"/>
    <tableColumn id="27" name="Cantidad de Habitaciones (dormitorios) Nuevas" dataDxfId="21"/>
    <tableColumn id="28" name="Locales de 1º, Habitables Existente" dataDxfId="20"/>
    <tableColumn id="29" name="Locales de 1º, Habitables Nuevos" dataDxfId="19"/>
    <tableColumn id="30" name="N° de Plazas Existente" dataDxfId="18"/>
    <tableColumn id="31" name="N° de Plazas Nuevas" dataDxfId="17"/>
    <tableColumn id="32" name="M² existentes (con antecedente) Vivienda" dataDxfId="16"/>
    <tableColumn id="33" name="M² existentes (con antecedente) Local" dataDxfId="15"/>
    <tableColumn id="34" name="M² existentes (relevados) Vivienda" dataDxfId="14"/>
    <tableColumn id="35" name="M² existentes (relevados) Local" dataDxfId="13"/>
    <tableColumn id="36" name="M²     (a construir Vivienda" dataDxfId="12"/>
    <tableColumn id="37" name="M²     (a construir Local" dataDxfId="11"/>
    <tableColumn id="38" name="Terreno" dataDxfId="10"/>
    <tableColumn id="39" name="F. O. S." dataDxfId="9"/>
    <tableColumn id="40" name="F. O. T." dataDxfId="8"/>
    <tableColumn id="41" name="CATEGORIA" dataDxfId="7"/>
    <tableColumn id="42" name="Monto de la Inversión (estimado y/o declarado)" dataDxfId="6"/>
    <tableColumn id="43" name="Derechos de edificación" dataDxfId="5"/>
    <tableColumn id="44" name="TITULO PROFESIONAL" dataDxfId="4"/>
    <tableColumn id="45" name="Observaciones" dataDxfId="3"/>
    <tableColumn id="46" name="VISADO" dataDxfId="2"/>
    <tableColumn id="47" name="FINAL OBRA" dataDxfId="1"/>
    <tableColumn id="48" name="AVANCE DE OBRA" dataDxfId="0"/>
  </tableColumns>
  <tableStyleInfo name="TableStyleMedium9"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XFD164"/>
  <sheetViews>
    <sheetView tabSelected="1" workbookViewId="0">
      <selection activeCell="B39" sqref="B39"/>
    </sheetView>
  </sheetViews>
  <sheetFormatPr baseColWidth="10" defaultColWidth="9" defaultRowHeight="14.25"/>
  <cols>
    <col min="1" max="1" width="9.5" style="143" customWidth="1"/>
    <col min="2" max="2" width="9.25" style="136" customWidth="1"/>
    <col min="3" max="3" width="12.75" style="137" customWidth="1"/>
    <col min="4" max="4" width="10.125" style="134" customWidth="1"/>
    <col min="5" max="5" width="21" customWidth="1"/>
    <col min="6" max="6" width="17.125" customWidth="1"/>
    <col min="7" max="7" width="17" customWidth="1"/>
    <col min="8" max="8" width="16.75" customWidth="1"/>
    <col min="9" max="9" width="11" customWidth="1"/>
    <col min="10" max="10" width="10.5" customWidth="1"/>
    <col min="11" max="11" width="10" customWidth="1"/>
    <col min="12" max="12" width="9.25" customWidth="1"/>
    <col min="13" max="13" width="12.375" customWidth="1"/>
    <col min="14" max="14" width="12.125" style="138" customWidth="1"/>
    <col min="15" max="15" width="11.875" style="139" customWidth="1"/>
    <col min="16" max="16" width="32.625" customWidth="1"/>
    <col min="17" max="17" width="11.25" customWidth="1"/>
    <col min="18" max="18" width="16.875" customWidth="1"/>
    <col min="19" max="19" width="10.625" customWidth="1"/>
    <col min="20" max="20" width="11.75" customWidth="1"/>
    <col min="21" max="21" width="24.625" customWidth="1"/>
    <col min="22" max="22" width="24.875" style="140" customWidth="1"/>
    <col min="23" max="23" width="27.375" customWidth="1"/>
    <col min="24" max="24" width="24.25" customWidth="1"/>
    <col min="25" max="25" width="10" customWidth="1"/>
    <col min="26" max="26" width="41.375" customWidth="1"/>
    <col min="27" max="27" width="39.875" style="140" customWidth="1"/>
    <col min="28" max="28" width="30.5" customWidth="1"/>
    <col min="29" max="29" width="29" style="140" customWidth="1"/>
    <col min="30" max="30" width="20.5" customWidth="1"/>
    <col min="31" max="31" width="19" style="140" customWidth="1"/>
    <col min="32" max="32" width="35.375" customWidth="1"/>
    <col min="33" max="33" width="32.75" customWidth="1"/>
    <col min="34" max="34" width="29.875" customWidth="1"/>
    <col min="35" max="35" width="27.25" customWidth="1"/>
    <col min="36" max="36" width="23.5" style="140" customWidth="1"/>
    <col min="37" max="37" width="20.875" style="140" customWidth="1"/>
    <col min="38" max="38" width="9" customWidth="1"/>
    <col min="39" max="39" width="8.625" customWidth="1"/>
    <col min="40" max="40" width="8.5" customWidth="1"/>
    <col min="41" max="41" width="12.25" customWidth="1"/>
    <col min="42" max="42" width="40" customWidth="1"/>
    <col min="43" max="43" width="21.875" style="141" customWidth="1"/>
    <col min="44" max="44" width="20.75" customWidth="1"/>
    <col min="45" max="45" width="47.5" customWidth="1"/>
    <col min="46" max="46" width="10.75" customWidth="1"/>
    <col min="47" max="47" width="12.625" customWidth="1"/>
    <col min="48" max="48" width="17.125" style="142" customWidth="1"/>
    <col min="49" max="50" width="6.625" customWidth="1"/>
    <col min="51" max="51" width="9.25" bestFit="1" customWidth="1"/>
    <col min="52" max="52" width="6.625" customWidth="1"/>
    <col min="53" max="53" width="10.125" bestFit="1" customWidth="1"/>
    <col min="54" max="1026" width="6.625" customWidth="1"/>
  </cols>
  <sheetData>
    <row r="1" spans="1:257 16384:16384" s="162" customFormat="1" ht="89.25">
      <c r="A1" s="152" t="s">
        <v>782</v>
      </c>
      <c r="B1" s="152" t="s">
        <v>0</v>
      </c>
      <c r="C1" s="153" t="s">
        <v>1</v>
      </c>
      <c r="D1" s="153" t="s">
        <v>2</v>
      </c>
      <c r="E1" s="152" t="s">
        <v>3</v>
      </c>
      <c r="F1" s="154" t="s">
        <v>4</v>
      </c>
      <c r="G1" s="154" t="s">
        <v>5</v>
      </c>
      <c r="H1" s="154" t="s">
        <v>6</v>
      </c>
      <c r="I1" s="154" t="s">
        <v>7</v>
      </c>
      <c r="J1" s="154" t="s">
        <v>8</v>
      </c>
      <c r="K1" s="154" t="s">
        <v>9</v>
      </c>
      <c r="L1" s="154" t="s">
        <v>10</v>
      </c>
      <c r="M1" s="154" t="s">
        <v>11</v>
      </c>
      <c r="N1" s="154" t="s">
        <v>12</v>
      </c>
      <c r="O1" s="154" t="s">
        <v>13</v>
      </c>
      <c r="P1" s="155" t="s">
        <v>14</v>
      </c>
      <c r="Q1" s="154" t="s">
        <v>15</v>
      </c>
      <c r="R1" s="154" t="s">
        <v>16</v>
      </c>
      <c r="S1" s="154" t="s">
        <v>17</v>
      </c>
      <c r="T1" s="154" t="s">
        <v>18</v>
      </c>
      <c r="U1" s="154" t="s">
        <v>19</v>
      </c>
      <c r="V1" s="154" t="s">
        <v>20</v>
      </c>
      <c r="W1" s="154" t="s">
        <v>21</v>
      </c>
      <c r="X1" s="154" t="s">
        <v>22</v>
      </c>
      <c r="Y1" s="154" t="s">
        <v>783</v>
      </c>
      <c r="Z1" s="156" t="s">
        <v>784</v>
      </c>
      <c r="AA1" s="156" t="s">
        <v>785</v>
      </c>
      <c r="AB1" s="156" t="s">
        <v>786</v>
      </c>
      <c r="AC1" s="156" t="s">
        <v>787</v>
      </c>
      <c r="AD1" s="156" t="s">
        <v>788</v>
      </c>
      <c r="AE1" s="156" t="s">
        <v>789</v>
      </c>
      <c r="AF1" s="156" t="s">
        <v>790</v>
      </c>
      <c r="AG1" s="156" t="s">
        <v>791</v>
      </c>
      <c r="AH1" s="156" t="s">
        <v>792</v>
      </c>
      <c r="AI1" s="156" t="s">
        <v>793</v>
      </c>
      <c r="AJ1" s="156" t="s">
        <v>794</v>
      </c>
      <c r="AK1" s="156" t="s">
        <v>795</v>
      </c>
      <c r="AL1" s="157" t="s">
        <v>23</v>
      </c>
      <c r="AM1" s="157" t="s">
        <v>24</v>
      </c>
      <c r="AN1" s="157" t="s">
        <v>25</v>
      </c>
      <c r="AO1" s="157" t="s">
        <v>26</v>
      </c>
      <c r="AP1" s="157" t="s">
        <v>27</v>
      </c>
      <c r="AQ1" s="158" t="s">
        <v>28</v>
      </c>
      <c r="AR1" s="159" t="s">
        <v>796</v>
      </c>
      <c r="AS1" s="160" t="s">
        <v>29</v>
      </c>
      <c r="AT1" s="161" t="s">
        <v>797</v>
      </c>
      <c r="AU1" s="161" t="s">
        <v>798</v>
      </c>
      <c r="AV1" s="157" t="s">
        <v>30</v>
      </c>
    </row>
    <row r="2" spans="1:257 16384:16384" s="21" customFormat="1" ht="38.25">
      <c r="A2" s="1" t="s">
        <v>31</v>
      </c>
      <c r="B2" s="2">
        <v>1</v>
      </c>
      <c r="C2" s="3">
        <v>568973</v>
      </c>
      <c r="D2" s="4">
        <v>45652</v>
      </c>
      <c r="E2" s="5" t="s">
        <v>32</v>
      </c>
      <c r="F2" s="6">
        <v>46476</v>
      </c>
      <c r="G2" s="6">
        <v>149441</v>
      </c>
      <c r="H2" s="6">
        <v>32320</v>
      </c>
      <c r="I2" s="7">
        <v>3</v>
      </c>
      <c r="J2" s="7"/>
      <c r="K2" s="7">
        <v>2</v>
      </c>
      <c r="L2" s="7">
        <v>10</v>
      </c>
      <c r="M2" s="7" t="s">
        <v>33</v>
      </c>
      <c r="N2" s="7" t="s">
        <v>34</v>
      </c>
      <c r="O2" s="7" t="s">
        <v>35</v>
      </c>
      <c r="P2" s="7"/>
      <c r="Q2" s="7" t="s">
        <v>36</v>
      </c>
      <c r="R2" s="7"/>
      <c r="S2" s="7"/>
      <c r="T2" s="7"/>
      <c r="U2" s="7">
        <v>1</v>
      </c>
      <c r="V2" s="8"/>
      <c r="W2" s="7"/>
      <c r="X2" s="7"/>
      <c r="Y2" s="7" t="s">
        <v>37</v>
      </c>
      <c r="Z2" s="9">
        <v>3</v>
      </c>
      <c r="AA2" s="10"/>
      <c r="AB2" s="9">
        <f>+Z2+1+1</f>
        <v>5</v>
      </c>
      <c r="AC2" s="10"/>
      <c r="AD2" s="9">
        <f>+Z2*2</f>
        <v>6</v>
      </c>
      <c r="AE2" s="10"/>
      <c r="AF2" s="7">
        <f>213.9+56.49/2</f>
        <v>242.14500000000001</v>
      </c>
      <c r="AG2" s="7"/>
      <c r="AH2" s="7"/>
      <c r="AI2" s="7"/>
      <c r="AJ2" s="11"/>
      <c r="AK2" s="12"/>
      <c r="AL2" s="13">
        <v>803.25</v>
      </c>
      <c r="AM2" s="13">
        <f>+(117.06+118.75)/AL2</f>
        <v>0.29356987239340182</v>
      </c>
      <c r="AN2" s="13">
        <f>+AF2/AL2</f>
        <v>0.30145658263305325</v>
      </c>
      <c r="AO2" s="13"/>
      <c r="AP2" s="13">
        <v>3500000</v>
      </c>
      <c r="AQ2" s="14">
        <v>189680</v>
      </c>
      <c r="AR2" s="13" t="s">
        <v>38</v>
      </c>
      <c r="AS2" s="15" t="s">
        <v>39</v>
      </c>
      <c r="AT2" s="16">
        <v>45684</v>
      </c>
      <c r="AU2" s="17"/>
      <c r="AV2" s="18">
        <v>45665</v>
      </c>
      <c r="AW2" s="19"/>
      <c r="AX2" s="19"/>
      <c r="AY2" s="19"/>
      <c r="AZ2" s="19"/>
      <c r="BA2" s="19"/>
      <c r="BB2" s="19"/>
      <c r="BC2" s="19"/>
      <c r="BD2" s="19"/>
      <c r="BE2" s="19"/>
      <c r="BF2" s="19"/>
      <c r="BG2" s="19"/>
      <c r="BH2" s="20"/>
      <c r="BI2" s="20"/>
      <c r="BJ2" s="20"/>
      <c r="BK2" s="20"/>
      <c r="BL2" s="20"/>
      <c r="BM2" s="20"/>
      <c r="BN2" s="20"/>
      <c r="BO2" s="20"/>
      <c r="BP2" s="20"/>
      <c r="BQ2" s="20"/>
      <c r="BR2" s="20"/>
      <c r="BS2" s="20"/>
      <c r="BT2" s="20"/>
      <c r="BU2" s="20"/>
      <c r="BV2" s="20"/>
      <c r="BW2" s="20"/>
      <c r="IQ2" s="20"/>
      <c r="IR2" s="20"/>
      <c r="IS2" s="20"/>
      <c r="IT2" s="20"/>
      <c r="IU2" s="20"/>
      <c r="IV2" s="20"/>
      <c r="IW2" s="20"/>
    </row>
    <row r="3" spans="1:257 16384:16384" s="21" customFormat="1" ht="76.5">
      <c r="A3" s="1"/>
      <c r="B3" s="22">
        <v>2</v>
      </c>
      <c r="C3" s="3" t="s">
        <v>40</v>
      </c>
      <c r="D3" s="4">
        <v>45439</v>
      </c>
      <c r="E3" s="5" t="s">
        <v>32</v>
      </c>
      <c r="F3" s="6">
        <v>42291</v>
      </c>
      <c r="G3" s="6">
        <v>140477</v>
      </c>
      <c r="H3" s="6">
        <v>31815</v>
      </c>
      <c r="I3" s="7">
        <v>2</v>
      </c>
      <c r="J3" s="7"/>
      <c r="K3" s="7"/>
      <c r="L3" s="7">
        <v>73</v>
      </c>
      <c r="M3" s="7" t="s">
        <v>41</v>
      </c>
      <c r="N3" s="7" t="s">
        <v>42</v>
      </c>
      <c r="O3" s="7" t="s">
        <v>43</v>
      </c>
      <c r="P3" s="7"/>
      <c r="Q3" s="7" t="s">
        <v>44</v>
      </c>
      <c r="R3" s="7"/>
      <c r="S3" s="7"/>
      <c r="T3" s="7"/>
      <c r="U3" s="7">
        <v>1</v>
      </c>
      <c r="V3" s="8"/>
      <c r="W3" s="7"/>
      <c r="X3" s="7"/>
      <c r="Y3" s="7" t="s">
        <v>37</v>
      </c>
      <c r="Z3" s="9">
        <v>2</v>
      </c>
      <c r="AA3" s="10"/>
      <c r="AB3" s="9">
        <f>+Z3+1</f>
        <v>3</v>
      </c>
      <c r="AC3" s="10"/>
      <c r="AD3" s="9">
        <f>+Z3*2</f>
        <v>4</v>
      </c>
      <c r="AE3" s="10"/>
      <c r="AF3" s="7"/>
      <c r="AG3" s="7"/>
      <c r="AH3" s="7">
        <f>141.91+20.68/2</f>
        <v>152.25</v>
      </c>
      <c r="AI3" s="7"/>
      <c r="AJ3" s="11"/>
      <c r="AK3" s="12"/>
      <c r="AL3" s="13">
        <v>338</v>
      </c>
      <c r="AM3" s="13">
        <f>+(141.91+20.68)/AL3</f>
        <v>0.48103550295857989</v>
      </c>
      <c r="AN3" s="13">
        <f>+AH3/AL3</f>
        <v>0.45044378698224852</v>
      </c>
      <c r="AO3" s="13"/>
      <c r="AP3" s="13">
        <f>+(7*330729+264509*6+8*198410+132292*3)/24*'2025'!AH3</f>
        <v>37341298.09375</v>
      </c>
      <c r="AQ3" s="14">
        <v>561219.5</v>
      </c>
      <c r="AR3" s="13" t="s">
        <v>45</v>
      </c>
      <c r="AS3" s="15" t="s">
        <v>46</v>
      </c>
      <c r="AT3" s="16">
        <v>45684</v>
      </c>
      <c r="AU3" s="17"/>
      <c r="AV3" s="18">
        <v>45673</v>
      </c>
      <c r="AW3" s="19"/>
      <c r="AX3" s="19"/>
      <c r="AY3" s="19"/>
      <c r="AZ3" s="19"/>
      <c r="BA3" s="19"/>
      <c r="BB3" s="19"/>
      <c r="BC3" s="19"/>
      <c r="BD3" s="19"/>
      <c r="BE3" s="19"/>
      <c r="BF3" s="19"/>
      <c r="BG3" s="19"/>
      <c r="BH3" s="20"/>
      <c r="BI3" s="20"/>
      <c r="BJ3" s="20"/>
      <c r="BK3" s="20"/>
      <c r="BL3" s="20"/>
      <c r="BM3" s="20"/>
      <c r="BN3" s="20"/>
      <c r="BO3" s="20"/>
      <c r="BP3" s="20"/>
      <c r="BQ3" s="20"/>
      <c r="BR3" s="20"/>
      <c r="BS3" s="20"/>
      <c r="BT3" s="20"/>
      <c r="BU3" s="20"/>
      <c r="BV3" s="20"/>
      <c r="BW3" s="20"/>
      <c r="IQ3" s="20"/>
      <c r="IR3" s="20"/>
      <c r="IS3" s="20"/>
      <c r="IT3" s="20"/>
      <c r="IU3" s="20"/>
      <c r="IV3" s="20"/>
      <c r="IW3" s="20"/>
    </row>
    <row r="4" spans="1:257 16384:16384" s="21" customFormat="1" ht="38.25">
      <c r="A4" s="1"/>
      <c r="B4" s="22">
        <v>3</v>
      </c>
      <c r="C4" s="3" t="s">
        <v>47</v>
      </c>
      <c r="D4" s="4">
        <v>45156</v>
      </c>
      <c r="E4" s="5" t="s">
        <v>48</v>
      </c>
      <c r="F4" s="6"/>
      <c r="G4" s="6"/>
      <c r="H4" s="6">
        <v>31097</v>
      </c>
      <c r="I4" s="7">
        <v>274</v>
      </c>
      <c r="J4" s="7"/>
      <c r="K4" s="7"/>
      <c r="L4" s="7">
        <v>1</v>
      </c>
      <c r="M4" s="7" t="s">
        <v>33</v>
      </c>
      <c r="N4" s="7" t="s">
        <v>49</v>
      </c>
      <c r="O4" s="7" t="s">
        <v>50</v>
      </c>
      <c r="P4" s="7"/>
      <c r="Q4" s="7" t="s">
        <v>51</v>
      </c>
      <c r="R4" s="7" t="s">
        <v>51</v>
      </c>
      <c r="S4" s="7" t="s">
        <v>51</v>
      </c>
      <c r="T4" s="7" t="s">
        <v>52</v>
      </c>
      <c r="U4" s="7"/>
      <c r="V4" s="7">
        <v>1</v>
      </c>
      <c r="W4" s="7"/>
      <c r="X4" s="7"/>
      <c r="Y4" s="7" t="s">
        <v>53</v>
      </c>
      <c r="Z4" s="9"/>
      <c r="AA4" s="9"/>
      <c r="AB4" s="9"/>
      <c r="AC4" s="9"/>
      <c r="AD4" s="9"/>
      <c r="AE4" s="9"/>
      <c r="AF4" s="7"/>
      <c r="AG4" s="7"/>
      <c r="AH4" s="7"/>
      <c r="AI4" s="7"/>
      <c r="AJ4" s="11">
        <v>65.66</v>
      </c>
      <c r="AK4" s="12"/>
      <c r="AL4" s="13">
        <v>1106.5</v>
      </c>
      <c r="AM4" s="13">
        <f>+AJ4/AL4</f>
        <v>5.9340262087663805E-2</v>
      </c>
      <c r="AN4" s="13">
        <f>+AM4</f>
        <v>5.9340262087663805E-2</v>
      </c>
      <c r="AO4" s="13"/>
      <c r="AP4" s="13">
        <v>131588.19</v>
      </c>
      <c r="AQ4" s="14">
        <f>699000+50000</f>
        <v>749000</v>
      </c>
      <c r="AR4" s="13" t="s">
        <v>45</v>
      </c>
      <c r="AS4" s="15" t="s">
        <v>54</v>
      </c>
      <c r="AT4" s="16">
        <v>45684</v>
      </c>
      <c r="AU4" s="17"/>
      <c r="AV4" s="18" t="s">
        <v>55</v>
      </c>
      <c r="AW4" s="19"/>
      <c r="AX4" s="19"/>
      <c r="AY4" s="19"/>
      <c r="AZ4" s="19"/>
      <c r="BA4" s="19"/>
      <c r="BB4" s="19"/>
      <c r="BC4" s="19"/>
      <c r="BD4" s="19"/>
      <c r="BE4" s="19"/>
      <c r="BF4" s="19"/>
      <c r="BG4" s="19"/>
      <c r="BH4" s="20"/>
      <c r="BI4" s="20"/>
      <c r="BJ4" s="20"/>
      <c r="BK4" s="20"/>
      <c r="BL4" s="20"/>
      <c r="BM4" s="20"/>
      <c r="BN4" s="20"/>
      <c r="BO4" s="20"/>
      <c r="BP4" s="20"/>
      <c r="BQ4" s="20"/>
      <c r="BR4" s="20"/>
      <c r="BS4" s="20"/>
      <c r="BT4" s="20"/>
      <c r="BU4" s="20"/>
      <c r="BV4" s="20"/>
      <c r="BW4" s="20"/>
      <c r="IQ4" s="20"/>
      <c r="IR4" s="20"/>
      <c r="IS4" s="20"/>
      <c r="IT4" s="20"/>
      <c r="IU4" s="20"/>
      <c r="IV4" s="20"/>
      <c r="IW4" s="20"/>
    </row>
    <row r="5" spans="1:257 16384:16384" s="21" customFormat="1" ht="76.5">
      <c r="A5" s="1"/>
      <c r="B5" s="22">
        <v>4</v>
      </c>
      <c r="C5" s="23" t="s">
        <v>56</v>
      </c>
      <c r="D5" s="24">
        <v>45497</v>
      </c>
      <c r="E5" s="25" t="s">
        <v>32</v>
      </c>
      <c r="F5" s="6">
        <v>29923</v>
      </c>
      <c r="G5" s="6">
        <v>912</v>
      </c>
      <c r="H5" s="6">
        <v>4514</v>
      </c>
      <c r="I5" s="7"/>
      <c r="J5" s="7"/>
      <c r="K5" s="26">
        <v>91</v>
      </c>
      <c r="L5" s="7">
        <v>7</v>
      </c>
      <c r="M5" s="26" t="s">
        <v>57</v>
      </c>
      <c r="N5" s="7" t="s">
        <v>58</v>
      </c>
      <c r="O5" s="26" t="s">
        <v>59</v>
      </c>
      <c r="P5" s="7"/>
      <c r="Q5" s="7" t="s">
        <v>60</v>
      </c>
      <c r="R5" s="7"/>
      <c r="S5" s="7"/>
      <c r="T5" s="7"/>
      <c r="U5" s="7">
        <v>2</v>
      </c>
      <c r="V5" s="8"/>
      <c r="W5" s="7">
        <v>1</v>
      </c>
      <c r="X5" s="7"/>
      <c r="Y5" s="26" t="s">
        <v>61</v>
      </c>
      <c r="Z5" s="9">
        <f>3+1</f>
        <v>4</v>
      </c>
      <c r="AA5" s="10"/>
      <c r="AB5" s="9">
        <f>+Z5+1+1</f>
        <v>6</v>
      </c>
      <c r="AC5" s="10"/>
      <c r="AD5" s="9">
        <f>+Z5*2</f>
        <v>8</v>
      </c>
      <c r="AE5" s="10"/>
      <c r="AF5" s="7">
        <f>184.8+110.52-AG5</f>
        <v>110.51999999999998</v>
      </c>
      <c r="AG5" s="7">
        <v>184.8</v>
      </c>
      <c r="AH5" s="7">
        <f>24.82/2+71.65</f>
        <v>84.06</v>
      </c>
      <c r="AI5" s="7"/>
      <c r="AJ5" s="11"/>
      <c r="AK5" s="12"/>
      <c r="AL5" s="13">
        <v>225.6</v>
      </c>
      <c r="AM5" s="13">
        <f>184.8/AL5</f>
        <v>0.81914893617021278</v>
      </c>
      <c r="AN5" s="13">
        <f>+(AF5+AG5+AH5)/AL5</f>
        <v>1.6816489361702127</v>
      </c>
      <c r="AO5" s="13"/>
      <c r="AP5" s="13">
        <f>+(7*330729+9*264509+3*198410+3*132292)/22*AH5</f>
        <v>21732528.518181819</v>
      </c>
      <c r="AQ5" s="14">
        <v>334874.25</v>
      </c>
      <c r="AR5" s="13" t="s">
        <v>45</v>
      </c>
      <c r="AS5" s="15" t="s">
        <v>62</v>
      </c>
      <c r="AT5" s="16">
        <v>45684</v>
      </c>
      <c r="AU5" s="17"/>
      <c r="AV5" s="18" t="s">
        <v>63</v>
      </c>
      <c r="AW5" s="19"/>
      <c r="AX5" s="19"/>
      <c r="AY5" s="19"/>
      <c r="AZ5" s="19"/>
      <c r="BA5" s="19"/>
      <c r="BB5" s="19"/>
      <c r="BC5" s="19"/>
      <c r="BD5" s="19"/>
      <c r="BE5" s="19"/>
      <c r="BF5" s="19"/>
      <c r="BG5" s="19"/>
      <c r="BH5" s="20"/>
      <c r="BI5" s="20"/>
      <c r="BJ5" s="20"/>
      <c r="BK5" s="20"/>
      <c r="BL5" s="20"/>
      <c r="BM5" s="20"/>
      <c r="BN5" s="20"/>
      <c r="BO5" s="20"/>
      <c r="BP5" s="20"/>
      <c r="BQ5" s="20"/>
      <c r="BR5" s="20"/>
      <c r="BS5" s="20"/>
      <c r="BT5" s="20"/>
      <c r="BU5" s="20"/>
      <c r="BV5" s="20"/>
      <c r="BW5" s="20"/>
      <c r="IQ5" s="20"/>
      <c r="IR5" s="20"/>
      <c r="IS5" s="20"/>
      <c r="IT5" s="20"/>
      <c r="IU5" s="20"/>
      <c r="IV5" s="20"/>
      <c r="IW5" s="20"/>
    </row>
    <row r="6" spans="1:257 16384:16384" s="21" customFormat="1" ht="89.25">
      <c r="A6" s="1"/>
      <c r="B6" s="22">
        <v>5</v>
      </c>
      <c r="C6" s="3">
        <v>568744</v>
      </c>
      <c r="D6" s="4">
        <v>568744</v>
      </c>
      <c r="E6" s="5" t="s">
        <v>32</v>
      </c>
      <c r="F6" s="6">
        <v>56551</v>
      </c>
      <c r="G6" s="6">
        <v>159477</v>
      </c>
      <c r="H6" s="6">
        <v>21130</v>
      </c>
      <c r="I6" s="7">
        <v>41</v>
      </c>
      <c r="J6" s="7"/>
      <c r="K6" s="7">
        <v>394</v>
      </c>
      <c r="L6" s="7">
        <v>5</v>
      </c>
      <c r="M6" s="7" t="s">
        <v>33</v>
      </c>
      <c r="N6" s="7" t="s">
        <v>64</v>
      </c>
      <c r="O6" s="7" t="s">
        <v>65</v>
      </c>
      <c r="P6" s="7"/>
      <c r="Q6" s="7" t="s">
        <v>66</v>
      </c>
      <c r="R6" s="7"/>
      <c r="S6" s="7"/>
      <c r="T6" s="7"/>
      <c r="U6" s="7">
        <v>3</v>
      </c>
      <c r="V6" s="8"/>
      <c r="W6" s="7"/>
      <c r="X6" s="7"/>
      <c r="Y6" s="7" t="s">
        <v>67</v>
      </c>
      <c r="Z6" s="9">
        <f>1+1+2</f>
        <v>4</v>
      </c>
      <c r="AA6" s="10"/>
      <c r="AB6" s="9">
        <f>+Z6+1+1+1</f>
        <v>7</v>
      </c>
      <c r="AC6" s="10"/>
      <c r="AD6" s="9">
        <f>+Z6*2</f>
        <v>8</v>
      </c>
      <c r="AE6" s="10"/>
      <c r="AF6" s="7"/>
      <c r="AG6" s="7"/>
      <c r="AH6" s="7">
        <f>118.23+61/2</f>
        <v>148.73000000000002</v>
      </c>
      <c r="AI6" s="7"/>
      <c r="AJ6" s="11"/>
      <c r="AK6" s="12"/>
      <c r="AL6" s="13">
        <v>1168.52</v>
      </c>
      <c r="AM6" s="13">
        <f>+(118.23+61)/AL6</f>
        <v>0.153382055934002</v>
      </c>
      <c r="AN6" s="13">
        <f>+AH6/AL6</f>
        <v>0.12728066271865268</v>
      </c>
      <c r="AO6" s="13">
        <f>+(15+12)/(5+3)</f>
        <v>3.375</v>
      </c>
      <c r="AP6" s="13">
        <f>+(4*264729+5*198410+11*132292)/20*AH6</f>
        <v>26073692.697000001</v>
      </c>
      <c r="AQ6" s="14">
        <v>543357.14</v>
      </c>
      <c r="AR6" s="13" t="s">
        <v>38</v>
      </c>
      <c r="AS6" s="15" t="s">
        <v>68</v>
      </c>
      <c r="AT6" s="16">
        <v>45684</v>
      </c>
      <c r="AU6" s="17"/>
      <c r="AV6" s="18">
        <v>45643</v>
      </c>
      <c r="AW6" s="19"/>
      <c r="AX6" s="19"/>
      <c r="AY6" s="19"/>
      <c r="AZ6" s="19"/>
      <c r="BA6" s="19"/>
      <c r="BB6" s="19"/>
      <c r="BC6" s="19"/>
      <c r="BD6" s="19"/>
      <c r="BE6" s="19"/>
      <c r="BF6" s="19"/>
      <c r="BG6" s="19"/>
      <c r="BH6" s="20"/>
      <c r="BI6" s="20"/>
      <c r="BJ6" s="20"/>
      <c r="BK6" s="20"/>
      <c r="BL6" s="20"/>
      <c r="BM6" s="20"/>
      <c r="BN6" s="20"/>
      <c r="BO6" s="20"/>
      <c r="BP6" s="20"/>
      <c r="BQ6" s="20"/>
      <c r="BR6" s="20"/>
      <c r="BS6" s="20"/>
      <c r="BT6" s="20"/>
      <c r="BU6" s="20"/>
      <c r="BV6" s="20"/>
      <c r="BW6" s="20"/>
      <c r="IQ6" s="20"/>
      <c r="IR6" s="20"/>
      <c r="IS6" s="20"/>
      <c r="IT6" s="20"/>
      <c r="IU6" s="20"/>
      <c r="IV6" s="20"/>
      <c r="IW6" s="20"/>
    </row>
    <row r="7" spans="1:257 16384:16384" s="46" customFormat="1" ht="63.75">
      <c r="A7" s="1"/>
      <c r="B7" s="22">
        <v>6</v>
      </c>
      <c r="C7" s="27">
        <v>568490</v>
      </c>
      <c r="D7" s="28">
        <v>45632</v>
      </c>
      <c r="E7" s="29" t="s">
        <v>48</v>
      </c>
      <c r="F7" s="30">
        <v>54747</v>
      </c>
      <c r="G7" s="30">
        <v>101570</v>
      </c>
      <c r="H7" s="30">
        <v>2513</v>
      </c>
      <c r="I7" s="31"/>
      <c r="J7" s="31"/>
      <c r="K7" s="31">
        <v>751</v>
      </c>
      <c r="L7" s="31">
        <v>3</v>
      </c>
      <c r="M7" s="31" t="s">
        <v>33</v>
      </c>
      <c r="N7" s="31" t="s">
        <v>69</v>
      </c>
      <c r="O7" s="32" t="s">
        <v>70</v>
      </c>
      <c r="P7" s="31"/>
      <c r="Q7" s="31" t="s">
        <v>36</v>
      </c>
      <c r="R7" s="31" t="s">
        <v>36</v>
      </c>
      <c r="S7" s="31" t="s">
        <v>36</v>
      </c>
      <c r="T7" s="31" t="s">
        <v>71</v>
      </c>
      <c r="U7" s="31"/>
      <c r="V7" s="33">
        <v>1</v>
      </c>
      <c r="W7" s="31"/>
      <c r="X7" s="31"/>
      <c r="Y7" s="31" t="s">
        <v>72</v>
      </c>
      <c r="Z7" s="34"/>
      <c r="AA7" s="35"/>
      <c r="AB7" s="36"/>
      <c r="AC7" s="35"/>
      <c r="AD7" s="36"/>
      <c r="AE7" s="35"/>
      <c r="AF7" s="31"/>
      <c r="AG7" s="31"/>
      <c r="AH7" s="31"/>
      <c r="AI7" s="31"/>
      <c r="AJ7" s="33"/>
      <c r="AK7" s="37"/>
      <c r="AL7" s="38">
        <v>510.96</v>
      </c>
      <c r="AM7" s="38"/>
      <c r="AN7" s="38"/>
      <c r="AO7" s="38"/>
      <c r="AP7" s="38">
        <v>3445427.03</v>
      </c>
      <c r="AQ7" s="39">
        <v>59470.55</v>
      </c>
      <c r="AR7" s="38" t="s">
        <v>38</v>
      </c>
      <c r="AS7" s="40" t="s">
        <v>73</v>
      </c>
      <c r="AT7" s="41">
        <v>45684</v>
      </c>
      <c r="AU7" s="42"/>
      <c r="AV7" s="43" t="s">
        <v>74</v>
      </c>
      <c r="AW7" s="44"/>
      <c r="AX7" s="44"/>
      <c r="AY7" s="44"/>
      <c r="AZ7" s="44"/>
      <c r="BA7" s="44"/>
      <c r="BB7" s="44"/>
      <c r="BC7" s="44"/>
      <c r="BD7" s="44"/>
      <c r="BE7" s="44"/>
      <c r="BF7" s="44"/>
      <c r="BG7" s="44"/>
      <c r="BH7" s="45"/>
      <c r="BI7" s="45"/>
      <c r="BJ7" s="45"/>
      <c r="BK7" s="45"/>
      <c r="BL7" s="45"/>
      <c r="BM7" s="45"/>
      <c r="BN7" s="45"/>
      <c r="BO7" s="45"/>
      <c r="BP7" s="45"/>
      <c r="BQ7" s="45"/>
      <c r="BR7" s="45"/>
      <c r="BS7" s="45"/>
      <c r="BT7" s="45"/>
      <c r="BU7" s="45"/>
      <c r="BV7" s="45"/>
      <c r="BW7" s="45"/>
      <c r="IQ7" s="45"/>
      <c r="IR7" s="45"/>
      <c r="IS7" s="45"/>
      <c r="IT7" s="45"/>
      <c r="IU7" s="45"/>
      <c r="IV7" s="45"/>
      <c r="IW7" s="45"/>
    </row>
    <row r="8" spans="1:257 16384:16384" s="21" customFormat="1" ht="63.75">
      <c r="A8" s="1"/>
      <c r="B8" s="22">
        <v>7</v>
      </c>
      <c r="C8" s="3">
        <v>569699</v>
      </c>
      <c r="D8" s="4">
        <v>45679</v>
      </c>
      <c r="E8" s="5" t="s">
        <v>32</v>
      </c>
      <c r="F8" s="6">
        <v>55863</v>
      </c>
      <c r="G8" s="6">
        <v>141721</v>
      </c>
      <c r="H8" s="6">
        <v>32091</v>
      </c>
      <c r="I8" s="7">
        <v>223</v>
      </c>
      <c r="J8" s="7"/>
      <c r="K8" s="7">
        <v>6</v>
      </c>
      <c r="L8" s="7">
        <v>1</v>
      </c>
      <c r="M8" s="7" t="s">
        <v>75</v>
      </c>
      <c r="N8" s="7" t="s">
        <v>76</v>
      </c>
      <c r="O8" s="7" t="s">
        <v>77</v>
      </c>
      <c r="P8" s="7"/>
      <c r="Q8" s="7" t="s">
        <v>78</v>
      </c>
      <c r="R8" s="7"/>
      <c r="S8" s="7"/>
      <c r="T8" s="7"/>
      <c r="U8" s="7">
        <v>2</v>
      </c>
      <c r="V8" s="8"/>
      <c r="W8" s="7"/>
      <c r="X8" s="7"/>
      <c r="Y8" s="7" t="s">
        <v>67</v>
      </c>
      <c r="Z8" s="9">
        <f>1+2</f>
        <v>3</v>
      </c>
      <c r="AA8" s="10"/>
      <c r="AB8" s="9">
        <f>+Z8+1</f>
        <v>4</v>
      </c>
      <c r="AC8" s="10"/>
      <c r="AD8" s="9">
        <f>+Z8*2</f>
        <v>6</v>
      </c>
      <c r="AE8" s="10"/>
      <c r="AF8" s="7"/>
      <c r="AG8" s="7"/>
      <c r="AH8" s="7">
        <f>126.56+56.6/2</f>
        <v>154.86000000000001</v>
      </c>
      <c r="AI8" s="7"/>
      <c r="AJ8" s="11"/>
      <c r="AK8" s="12"/>
      <c r="AL8" s="13">
        <v>1596.4</v>
      </c>
      <c r="AM8" s="13">
        <f>+(126.56+56.6)/AL8</f>
        <v>0.11473314958656977</v>
      </c>
      <c r="AN8" s="13">
        <f>+AH8/AL8</f>
        <v>9.7005762966675027E-2</v>
      </c>
      <c r="AO8" s="13"/>
      <c r="AP8" s="13">
        <f>837386.85+((9*264509+7*198410+4*132292)/20*AH8)</f>
        <v>34121593.767000005</v>
      </c>
      <c r="AQ8" s="14">
        <v>591486.66</v>
      </c>
      <c r="AR8" s="13" t="s">
        <v>38</v>
      </c>
      <c r="AS8" s="15" t="s">
        <v>79</v>
      </c>
      <c r="AT8" s="16">
        <v>45686</v>
      </c>
      <c r="AU8" s="17"/>
      <c r="AV8" s="18">
        <v>45680</v>
      </c>
      <c r="AW8" s="19"/>
      <c r="AX8" s="19"/>
      <c r="AY8" s="19"/>
      <c r="AZ8" s="19"/>
      <c r="BA8" s="19"/>
      <c r="BB8" s="19"/>
      <c r="BC8" s="19"/>
      <c r="BD8" s="19"/>
      <c r="BE8" s="19"/>
      <c r="BF8" s="19"/>
      <c r="BG8" s="19"/>
      <c r="BH8" s="20"/>
      <c r="BI8" s="20"/>
      <c r="BJ8" s="20"/>
      <c r="BK8" s="20"/>
      <c r="BL8" s="20"/>
      <c r="BM8" s="20"/>
      <c r="BN8" s="20"/>
      <c r="BO8" s="20"/>
      <c r="BP8" s="20"/>
      <c r="BQ8" s="20"/>
      <c r="BR8" s="20"/>
      <c r="BS8" s="20"/>
      <c r="BT8" s="20"/>
      <c r="BU8" s="20"/>
      <c r="BV8" s="20"/>
      <c r="BW8" s="20"/>
      <c r="IQ8" s="20"/>
      <c r="IR8" s="20"/>
      <c r="IS8" s="20"/>
      <c r="IT8" s="20"/>
      <c r="IU8" s="20"/>
      <c r="IV8" s="20"/>
      <c r="IW8" s="20"/>
    </row>
    <row r="9" spans="1:257 16384:16384" s="21" customFormat="1" ht="63.75">
      <c r="A9" s="1"/>
      <c r="B9" s="22">
        <v>8</v>
      </c>
      <c r="C9" s="3">
        <v>568100</v>
      </c>
      <c r="D9" s="47">
        <v>45622</v>
      </c>
      <c r="E9" s="48" t="s">
        <v>48</v>
      </c>
      <c r="F9" s="6">
        <v>61780</v>
      </c>
      <c r="G9" s="6">
        <v>149209</v>
      </c>
      <c r="H9" s="6" t="s">
        <v>80</v>
      </c>
      <c r="I9" s="7"/>
      <c r="J9" s="7"/>
      <c r="K9" s="7">
        <v>282</v>
      </c>
      <c r="L9" s="7">
        <v>12</v>
      </c>
      <c r="M9" s="7" t="s">
        <v>33</v>
      </c>
      <c r="N9" s="7" t="s">
        <v>81</v>
      </c>
      <c r="O9" s="7" t="s">
        <v>82</v>
      </c>
      <c r="P9" s="7"/>
      <c r="Q9" s="7" t="s">
        <v>83</v>
      </c>
      <c r="R9" s="7" t="s">
        <v>83</v>
      </c>
      <c r="S9" s="7" t="s">
        <v>83</v>
      </c>
      <c r="T9" s="7" t="s">
        <v>84</v>
      </c>
      <c r="U9" s="7"/>
      <c r="V9" s="11">
        <v>2</v>
      </c>
      <c r="W9" s="7"/>
      <c r="X9" s="7"/>
      <c r="Y9" s="7" t="s">
        <v>85</v>
      </c>
      <c r="Z9" s="9"/>
      <c r="AA9" s="49"/>
      <c r="AB9" s="9"/>
      <c r="AC9" s="49"/>
      <c r="AD9" s="9"/>
      <c r="AE9" s="49"/>
      <c r="AF9" s="7"/>
      <c r="AG9" s="7"/>
      <c r="AH9" s="7"/>
      <c r="AI9" s="7"/>
      <c r="AJ9" s="11"/>
      <c r="AK9" s="12">
        <v>138.4</v>
      </c>
      <c r="AL9" s="13">
        <v>376.06</v>
      </c>
      <c r="AM9" s="13">
        <f>+AK9/AL9</f>
        <v>0.36802637876934535</v>
      </c>
      <c r="AN9" s="13">
        <f>+AK9/AL9</f>
        <v>0.36802637876934535</v>
      </c>
      <c r="AO9" s="13"/>
      <c r="AP9" s="13">
        <f>+AK9*'[1]12-2024'!D1</f>
        <v>0</v>
      </c>
      <c r="AQ9" s="14">
        <v>88608.320000000007</v>
      </c>
      <c r="AR9" s="13" t="s">
        <v>86</v>
      </c>
      <c r="AS9" s="15" t="s">
        <v>87</v>
      </c>
      <c r="AT9" s="16">
        <v>45686</v>
      </c>
      <c r="AU9" s="17"/>
      <c r="AV9" s="50" t="s">
        <v>88</v>
      </c>
      <c r="AW9" s="19"/>
      <c r="AX9" s="19"/>
      <c r="AY9" s="19"/>
      <c r="AZ9" s="19"/>
      <c r="BA9" s="19"/>
      <c r="BB9" s="19"/>
      <c r="BC9" s="19"/>
      <c r="BD9" s="19"/>
      <c r="BE9" s="19"/>
      <c r="BF9" s="19"/>
      <c r="BG9" s="19"/>
      <c r="BH9" s="20"/>
      <c r="BI9" s="20"/>
      <c r="BJ9" s="20"/>
      <c r="BK9" s="20"/>
      <c r="BL9" s="20"/>
      <c r="BM9" s="20"/>
      <c r="BN9" s="20"/>
      <c r="BO9" s="20"/>
      <c r="BP9" s="20"/>
      <c r="BQ9" s="20"/>
      <c r="BR9" s="20"/>
      <c r="BS9" s="20"/>
      <c r="BT9" s="20"/>
      <c r="BU9" s="20"/>
      <c r="BV9" s="20"/>
      <c r="BW9" s="20"/>
      <c r="IQ9" s="20"/>
      <c r="IR9" s="20"/>
      <c r="IS9" s="20"/>
      <c r="IT9" s="20"/>
      <c r="IU9" s="20"/>
      <c r="IV9" s="20"/>
      <c r="IW9" s="20"/>
      <c r="XFD9" s="21" t="s">
        <v>89</v>
      </c>
    </row>
    <row r="10" spans="1:257 16384:16384" s="21" customFormat="1" ht="51">
      <c r="A10" s="1"/>
      <c r="B10" s="22">
        <v>9</v>
      </c>
      <c r="C10" s="3">
        <v>568124</v>
      </c>
      <c r="D10" s="4">
        <v>45623</v>
      </c>
      <c r="E10" s="5" t="s">
        <v>48</v>
      </c>
      <c r="F10" s="6">
        <v>-33913</v>
      </c>
      <c r="G10" s="6">
        <v>133354</v>
      </c>
      <c r="H10" s="6">
        <v>20216</v>
      </c>
      <c r="I10" s="7">
        <v>34</v>
      </c>
      <c r="J10" s="7"/>
      <c r="K10" s="7">
        <v>351</v>
      </c>
      <c r="L10" s="7">
        <v>1</v>
      </c>
      <c r="M10" s="7" t="s">
        <v>33</v>
      </c>
      <c r="N10" s="7" t="s">
        <v>90</v>
      </c>
      <c r="O10" s="7" t="s">
        <v>91</v>
      </c>
      <c r="P10" s="7" t="s">
        <v>92</v>
      </c>
      <c r="Q10" s="7" t="s">
        <v>93</v>
      </c>
      <c r="R10" s="7" t="s">
        <v>93</v>
      </c>
      <c r="S10" s="7" t="s">
        <v>93</v>
      </c>
      <c r="T10" s="7" t="s">
        <v>94</v>
      </c>
      <c r="U10" s="7"/>
      <c r="V10" s="8">
        <v>1</v>
      </c>
      <c r="W10" s="7"/>
      <c r="X10" s="7"/>
      <c r="Y10" s="7" t="s">
        <v>37</v>
      </c>
      <c r="Z10" s="9"/>
      <c r="AA10" s="10">
        <v>2</v>
      </c>
      <c r="AB10" s="9"/>
      <c r="AC10" s="10">
        <f>+AA10+1</f>
        <v>3</v>
      </c>
      <c r="AD10" s="9"/>
      <c r="AE10" s="10">
        <f>+AA10*2</f>
        <v>4</v>
      </c>
      <c r="AF10" s="7"/>
      <c r="AG10" s="7"/>
      <c r="AH10" s="7"/>
      <c r="AI10" s="7"/>
      <c r="AJ10" s="11">
        <f>63.24+0.9/2</f>
        <v>63.690000000000005</v>
      </c>
      <c r="AK10" s="12"/>
      <c r="AL10" s="13">
        <v>304.8</v>
      </c>
      <c r="AM10" s="13">
        <f>+(63.24+0.9)/AL10</f>
        <v>0.21043307086614171</v>
      </c>
      <c r="AN10" s="13">
        <f>+AJ10/AL10</f>
        <v>0.20895669291338584</v>
      </c>
      <c r="AO10" s="13"/>
      <c r="AP10" s="13">
        <f>+(3*330729+9*264509+7*198410+1*132292)/20*'2025'!AJ10</f>
        <v>15584720.085000001</v>
      </c>
      <c r="AQ10" s="14">
        <v>99170.559999999998</v>
      </c>
      <c r="AR10" s="13" t="s">
        <v>38</v>
      </c>
      <c r="AS10" s="15" t="s">
        <v>95</v>
      </c>
      <c r="AT10" s="16">
        <v>45686</v>
      </c>
      <c r="AU10" s="17"/>
      <c r="AV10" s="18" t="s">
        <v>96</v>
      </c>
      <c r="AW10" s="19"/>
      <c r="AX10" s="19"/>
      <c r="AY10" s="19"/>
      <c r="AZ10" s="19"/>
      <c r="BA10" s="19"/>
      <c r="BB10" s="19"/>
      <c r="BC10" s="19"/>
      <c r="BD10" s="19"/>
      <c r="BE10" s="19"/>
      <c r="BF10" s="19"/>
      <c r="BG10" s="19"/>
      <c r="BH10" s="20"/>
      <c r="BI10" s="20"/>
      <c r="BJ10" s="20"/>
      <c r="BK10" s="20"/>
      <c r="BL10" s="20"/>
      <c r="BM10" s="20"/>
      <c r="BN10" s="20"/>
      <c r="BO10" s="20"/>
      <c r="BP10" s="20"/>
      <c r="BQ10" s="20"/>
      <c r="BR10" s="20"/>
      <c r="BS10" s="20"/>
      <c r="BT10" s="20"/>
      <c r="BU10" s="20"/>
      <c r="BV10" s="20"/>
      <c r="BW10" s="20"/>
      <c r="IQ10" s="20"/>
      <c r="IR10" s="20"/>
      <c r="IS10" s="20"/>
      <c r="IT10" s="20"/>
      <c r="IU10" s="20"/>
      <c r="IV10" s="20"/>
      <c r="IW10" s="20"/>
    </row>
    <row r="11" spans="1:257 16384:16384" s="21" customFormat="1" ht="63.75">
      <c r="A11" s="1"/>
      <c r="B11" s="22">
        <v>10</v>
      </c>
      <c r="C11" s="27" t="s">
        <v>97</v>
      </c>
      <c r="D11" s="28">
        <v>45391</v>
      </c>
      <c r="E11" s="29" t="s">
        <v>98</v>
      </c>
      <c r="F11" s="51">
        <v>47761</v>
      </c>
      <c r="G11" s="51">
        <v>158433</v>
      </c>
      <c r="H11" s="30">
        <v>9307</v>
      </c>
      <c r="I11" s="31"/>
      <c r="J11" s="31"/>
      <c r="K11" s="31">
        <v>508</v>
      </c>
      <c r="L11" s="31">
        <v>17</v>
      </c>
      <c r="M11" s="31" t="s">
        <v>33</v>
      </c>
      <c r="N11" s="31" t="s">
        <v>99</v>
      </c>
      <c r="O11" s="32" t="s">
        <v>100</v>
      </c>
      <c r="P11" s="31"/>
      <c r="Q11" s="31" t="s">
        <v>101</v>
      </c>
      <c r="R11" s="31" t="s">
        <v>101</v>
      </c>
      <c r="S11" s="31" t="s">
        <v>101</v>
      </c>
      <c r="T11" s="31" t="s">
        <v>102</v>
      </c>
      <c r="U11" s="31"/>
      <c r="V11" s="33"/>
      <c r="W11" s="31">
        <v>1</v>
      </c>
      <c r="X11" s="31"/>
      <c r="Y11" s="31" t="s">
        <v>85</v>
      </c>
      <c r="Z11" s="34"/>
      <c r="AA11" s="35"/>
      <c r="AB11" s="36"/>
      <c r="AC11" s="35"/>
      <c r="AD11" s="36"/>
      <c r="AE11" s="35"/>
      <c r="AF11" s="31"/>
      <c r="AG11" s="31"/>
      <c r="AH11" s="31"/>
      <c r="AI11" s="31"/>
      <c r="AJ11" s="33"/>
      <c r="AK11" s="37">
        <v>220.26</v>
      </c>
      <c r="AL11" s="38">
        <v>220.26</v>
      </c>
      <c r="AM11" s="38">
        <f>+AK11/AL11</f>
        <v>1</v>
      </c>
      <c r="AN11" s="38">
        <f>+AK11/AL11</f>
        <v>1</v>
      </c>
      <c r="AO11" s="38"/>
      <c r="AP11" s="38">
        <f>800000+13530000</f>
        <v>14330000</v>
      </c>
      <c r="AQ11" s="39">
        <v>276822</v>
      </c>
      <c r="AR11" s="38" t="s">
        <v>45</v>
      </c>
      <c r="AS11" s="40" t="s">
        <v>103</v>
      </c>
      <c r="AT11" s="41">
        <v>45686</v>
      </c>
      <c r="AU11" s="42"/>
      <c r="AV11" s="52" t="s">
        <v>104</v>
      </c>
      <c r="AW11" s="19"/>
      <c r="AX11" s="19"/>
      <c r="AY11" s="19"/>
      <c r="AZ11" s="19"/>
      <c r="BA11" s="19"/>
      <c r="BB11" s="19"/>
      <c r="BC11" s="19"/>
      <c r="BD11" s="19"/>
      <c r="BE11" s="19"/>
      <c r="BF11" s="19"/>
      <c r="BG11" s="19"/>
      <c r="BH11" s="20"/>
      <c r="BI11" s="20"/>
      <c r="BJ11" s="20"/>
      <c r="BK11" s="20"/>
      <c r="BL11" s="20"/>
      <c r="BM11" s="20"/>
      <c r="BN11" s="20"/>
      <c r="BO11" s="20"/>
      <c r="BP11" s="20"/>
      <c r="BQ11" s="20"/>
      <c r="BR11" s="20"/>
      <c r="BS11" s="20"/>
      <c r="BT11" s="20"/>
      <c r="BU11" s="20"/>
      <c r="BV11" s="20"/>
      <c r="BW11" s="20"/>
      <c r="IQ11" s="20"/>
      <c r="IR11" s="20"/>
      <c r="IS11" s="20"/>
      <c r="IT11" s="20"/>
      <c r="IU11" s="20"/>
      <c r="IV11" s="20"/>
      <c r="IW11" s="20"/>
    </row>
    <row r="12" spans="1:257 16384:16384" s="21" customFormat="1" ht="63.75">
      <c r="A12" s="1"/>
      <c r="B12" s="22">
        <v>11</v>
      </c>
      <c r="C12" s="3">
        <v>567770</v>
      </c>
      <c r="D12" s="4">
        <v>45611</v>
      </c>
      <c r="E12" s="5" t="s">
        <v>32</v>
      </c>
      <c r="F12" s="6">
        <v>62668</v>
      </c>
      <c r="G12" s="6">
        <v>170220</v>
      </c>
      <c r="H12" s="6">
        <v>34257</v>
      </c>
      <c r="I12" s="7">
        <v>327</v>
      </c>
      <c r="J12" s="7"/>
      <c r="K12" s="7" t="s">
        <v>105</v>
      </c>
      <c r="L12" s="7">
        <v>3</v>
      </c>
      <c r="M12" s="7" t="s">
        <v>33</v>
      </c>
      <c r="N12" s="7" t="s">
        <v>106</v>
      </c>
      <c r="O12" s="7" t="s">
        <v>107</v>
      </c>
      <c r="P12" s="7"/>
      <c r="Q12" s="7" t="s">
        <v>108</v>
      </c>
      <c r="R12" s="7"/>
      <c r="S12" s="7"/>
      <c r="T12" s="7"/>
      <c r="U12" s="7">
        <v>2</v>
      </c>
      <c r="V12" s="8"/>
      <c r="W12" s="7"/>
      <c r="X12" s="7"/>
      <c r="Y12" s="7" t="s">
        <v>67</v>
      </c>
      <c r="Z12" s="9">
        <f>2+2</f>
        <v>4</v>
      </c>
      <c r="AA12" s="10"/>
      <c r="AB12" s="9">
        <f>+Z12+1+1</f>
        <v>6</v>
      </c>
      <c r="AC12" s="10"/>
      <c r="AD12" s="9">
        <f>+Z12*2</f>
        <v>8</v>
      </c>
      <c r="AE12" s="10"/>
      <c r="AF12" s="7"/>
      <c r="AG12" s="7"/>
      <c r="AH12" s="7">
        <f>127+38.4/2</f>
        <v>146.19999999999999</v>
      </c>
      <c r="AI12" s="7"/>
      <c r="AJ12" s="11"/>
      <c r="AK12" s="12"/>
      <c r="AL12" s="13">
        <v>316.10000000000002</v>
      </c>
      <c r="AM12" s="13">
        <f>+(127+38.4)/AL12</f>
        <v>0.52325213540018978</v>
      </c>
      <c r="AN12" s="13">
        <f>+AH12/AL12</f>
        <v>0.46251186333438776</v>
      </c>
      <c r="AO12" s="13"/>
      <c r="AP12" s="13"/>
      <c r="AQ12" s="14">
        <v>541856.93000000005</v>
      </c>
      <c r="AR12" s="13" t="s">
        <v>45</v>
      </c>
      <c r="AS12" s="15" t="s">
        <v>109</v>
      </c>
      <c r="AT12" s="16">
        <v>45686</v>
      </c>
      <c r="AU12" s="17"/>
      <c r="AV12" s="18">
        <v>45617</v>
      </c>
      <c r="AW12" s="19"/>
      <c r="AX12" s="19"/>
      <c r="AY12" s="19"/>
      <c r="AZ12" s="19"/>
      <c r="BA12" s="19"/>
      <c r="BB12" s="19"/>
      <c r="BC12" s="19"/>
      <c r="BD12" s="19"/>
      <c r="BE12" s="19"/>
      <c r="BF12" s="19"/>
      <c r="BG12" s="19"/>
      <c r="BH12" s="20"/>
      <c r="BI12" s="20"/>
      <c r="BJ12" s="20"/>
      <c r="BK12" s="20"/>
      <c r="BL12" s="20"/>
      <c r="BM12" s="20"/>
      <c r="BN12" s="20"/>
      <c r="BO12" s="20"/>
      <c r="BP12" s="20"/>
      <c r="BQ12" s="20"/>
      <c r="BR12" s="20"/>
      <c r="BS12" s="20"/>
      <c r="BT12" s="20"/>
      <c r="BU12" s="20"/>
      <c r="BV12" s="20"/>
      <c r="BW12" s="20"/>
      <c r="IQ12" s="20"/>
      <c r="IR12" s="20"/>
      <c r="IS12" s="20"/>
      <c r="IT12" s="20"/>
      <c r="IU12" s="20"/>
      <c r="IV12" s="20"/>
      <c r="IW12" s="20"/>
    </row>
    <row r="13" spans="1:257 16384:16384" s="46" customFormat="1" ht="76.5">
      <c r="A13" s="1"/>
      <c r="B13" s="22">
        <v>12</v>
      </c>
      <c r="C13" s="53">
        <v>552786</v>
      </c>
      <c r="D13" s="54">
        <v>45061</v>
      </c>
      <c r="E13" s="29" t="s">
        <v>48</v>
      </c>
      <c r="F13" s="30">
        <v>53900</v>
      </c>
      <c r="G13" s="30">
        <v>163343</v>
      </c>
      <c r="H13" s="30">
        <v>9919</v>
      </c>
      <c r="I13" s="31"/>
      <c r="J13" s="31"/>
      <c r="K13" s="31">
        <v>123</v>
      </c>
      <c r="L13" s="31">
        <v>21</v>
      </c>
      <c r="M13" s="31" t="s">
        <v>110</v>
      </c>
      <c r="N13" s="31" t="s">
        <v>111</v>
      </c>
      <c r="O13" s="32" t="s">
        <v>112</v>
      </c>
      <c r="P13" s="31"/>
      <c r="Q13" s="31" t="s">
        <v>113</v>
      </c>
      <c r="R13" s="31" t="s">
        <v>113</v>
      </c>
      <c r="S13" s="31" t="s">
        <v>113</v>
      </c>
      <c r="T13" s="31" t="s">
        <v>114</v>
      </c>
      <c r="U13" s="31"/>
      <c r="V13" s="33">
        <v>1</v>
      </c>
      <c r="W13" s="31"/>
      <c r="X13" s="31"/>
      <c r="Y13" s="31" t="s">
        <v>115</v>
      </c>
      <c r="Z13" s="34"/>
      <c r="AA13" s="35"/>
      <c r="AB13" s="36"/>
      <c r="AC13" s="35"/>
      <c r="AD13" s="36"/>
      <c r="AE13" s="35"/>
      <c r="AF13" s="31"/>
      <c r="AG13" s="31"/>
      <c r="AH13" s="31"/>
      <c r="AI13" s="31"/>
      <c r="AJ13" s="33">
        <v>104.22</v>
      </c>
      <c r="AK13" s="37"/>
      <c r="AL13" s="38">
        <v>176.77</v>
      </c>
      <c r="AM13" s="38">
        <f>+AJ13/AL13</f>
        <v>0.58957967980992243</v>
      </c>
      <c r="AN13" s="38">
        <f>+AJ13/AL13</f>
        <v>0.58957967980992243</v>
      </c>
      <c r="AO13" s="38"/>
      <c r="AP13" s="38">
        <f>+AJ13*264509</f>
        <v>27567127.98</v>
      </c>
      <c r="AQ13" s="39">
        <v>389283.26</v>
      </c>
      <c r="AR13" s="38" t="s">
        <v>45</v>
      </c>
      <c r="AS13" s="40" t="s">
        <v>116</v>
      </c>
      <c r="AT13" s="41">
        <v>45686</v>
      </c>
      <c r="AU13" s="42"/>
      <c r="AV13" s="55">
        <v>45643</v>
      </c>
      <c r="AW13" s="44"/>
      <c r="AX13" s="44"/>
      <c r="AY13" s="44"/>
      <c r="AZ13" s="44"/>
      <c r="BA13" s="44"/>
      <c r="BB13" s="44"/>
      <c r="BC13" s="44"/>
      <c r="BD13" s="44"/>
      <c r="BE13" s="44"/>
      <c r="BF13" s="44"/>
      <c r="BG13" s="44"/>
      <c r="BH13" s="45"/>
      <c r="BI13" s="45"/>
      <c r="BJ13" s="45"/>
      <c r="BK13" s="45"/>
      <c r="BL13" s="45"/>
      <c r="BM13" s="45"/>
      <c r="BN13" s="45"/>
      <c r="BO13" s="45"/>
      <c r="BP13" s="45"/>
      <c r="BQ13" s="45"/>
      <c r="BR13" s="45"/>
      <c r="BS13" s="45"/>
      <c r="BT13" s="45"/>
      <c r="BU13" s="45"/>
      <c r="BV13" s="45"/>
      <c r="BW13" s="45"/>
      <c r="IQ13" s="45"/>
      <c r="IR13" s="45"/>
      <c r="IS13" s="45"/>
      <c r="IT13" s="45"/>
      <c r="IU13" s="45"/>
      <c r="IV13" s="45"/>
      <c r="IW13" s="45"/>
    </row>
    <row r="14" spans="1:257 16384:16384" s="46" customFormat="1" ht="89.25">
      <c r="A14" s="1"/>
      <c r="B14" s="56">
        <v>13</v>
      </c>
      <c r="C14" s="3" t="s">
        <v>117</v>
      </c>
      <c r="D14" s="4">
        <v>45591</v>
      </c>
      <c r="E14" s="5" t="s">
        <v>32</v>
      </c>
      <c r="F14" s="6">
        <v>46480</v>
      </c>
      <c r="G14" s="6">
        <v>149443</v>
      </c>
      <c r="H14" s="6">
        <v>32313</v>
      </c>
      <c r="I14" s="7">
        <v>1</v>
      </c>
      <c r="J14" s="7"/>
      <c r="K14" s="7"/>
      <c r="L14" s="7">
        <v>80</v>
      </c>
      <c r="M14" s="7" t="s">
        <v>118</v>
      </c>
      <c r="N14" s="7" t="s">
        <v>76</v>
      </c>
      <c r="O14" s="7" t="s">
        <v>119</v>
      </c>
      <c r="P14" s="7"/>
      <c r="Q14" s="7" t="s">
        <v>120</v>
      </c>
      <c r="R14" s="7"/>
      <c r="S14" s="7"/>
      <c r="T14" s="7"/>
      <c r="U14" s="7">
        <v>2</v>
      </c>
      <c r="V14" s="8"/>
      <c r="W14" s="7"/>
      <c r="X14" s="7"/>
      <c r="Y14" s="7" t="s">
        <v>67</v>
      </c>
      <c r="Z14" s="9">
        <f>2</f>
        <v>2</v>
      </c>
      <c r="AA14" s="10"/>
      <c r="AB14" s="9">
        <f>+Z14+1</f>
        <v>3</v>
      </c>
      <c r="AC14" s="10"/>
      <c r="AD14" s="9">
        <f>+Z14*2</f>
        <v>4</v>
      </c>
      <c r="AE14" s="10"/>
      <c r="AF14" s="7"/>
      <c r="AG14" s="7"/>
      <c r="AH14" s="7">
        <f>137.73+89.55/2</f>
        <v>182.505</v>
      </c>
      <c r="AI14" s="7"/>
      <c r="AJ14" s="11"/>
      <c r="AK14" s="12"/>
      <c r="AL14" s="13">
        <v>2500</v>
      </c>
      <c r="AM14" s="13">
        <v>7.8E-2</v>
      </c>
      <c r="AN14" s="13">
        <f>+AH14/AL14</f>
        <v>7.3001999999999997E-2</v>
      </c>
      <c r="AO14" s="13"/>
      <c r="AP14" s="13">
        <f>2800000+((330729+3*264509+15*198410+132292*2)/21*84.75)+((2*330729+264509*10+8*198410+132292*2)/22*78.13)</f>
        <v>38735249.298181817</v>
      </c>
      <c r="AQ14" s="14">
        <v>800687.61</v>
      </c>
      <c r="AR14" s="13" t="s">
        <v>38</v>
      </c>
      <c r="AS14" s="15" t="s">
        <v>121</v>
      </c>
      <c r="AT14" s="16">
        <v>45686</v>
      </c>
      <c r="AU14" s="17"/>
      <c r="AV14" s="18">
        <v>45642</v>
      </c>
      <c r="AW14" s="44"/>
      <c r="AX14" s="44"/>
      <c r="AY14" s="44"/>
      <c r="AZ14" s="44"/>
      <c r="BA14" s="44"/>
      <c r="BB14" s="44"/>
      <c r="BC14" s="44"/>
      <c r="BD14" s="44"/>
      <c r="BE14" s="44"/>
      <c r="BF14" s="44"/>
      <c r="BG14" s="44"/>
      <c r="BH14" s="45"/>
      <c r="BI14" s="45"/>
      <c r="BJ14" s="45"/>
      <c r="BK14" s="45"/>
      <c r="BL14" s="45"/>
      <c r="BM14" s="45"/>
      <c r="BN14" s="45"/>
      <c r="BO14" s="45"/>
      <c r="BP14" s="45"/>
      <c r="BQ14" s="45"/>
      <c r="BR14" s="45"/>
      <c r="BS14" s="45"/>
      <c r="BT14" s="45"/>
      <c r="BU14" s="45"/>
      <c r="BV14" s="45"/>
      <c r="BW14" s="45"/>
      <c r="IQ14" s="45"/>
      <c r="IR14" s="45"/>
      <c r="IS14" s="45"/>
      <c r="IT14" s="45"/>
      <c r="IU14" s="45"/>
      <c r="IV14" s="45"/>
      <c r="IW14" s="45"/>
    </row>
    <row r="15" spans="1:257 16384:16384" s="46" customFormat="1" ht="51">
      <c r="A15" s="1"/>
      <c r="B15" s="22">
        <v>14</v>
      </c>
      <c r="C15" s="57">
        <v>569095</v>
      </c>
      <c r="D15" s="58">
        <v>45660</v>
      </c>
      <c r="E15" s="54" t="s">
        <v>32</v>
      </c>
      <c r="F15" s="30">
        <v>29598</v>
      </c>
      <c r="G15" s="30">
        <v>108939</v>
      </c>
      <c r="H15" s="30">
        <v>3580</v>
      </c>
      <c r="I15" s="31"/>
      <c r="J15" s="31"/>
      <c r="K15" s="31">
        <v>664</v>
      </c>
      <c r="L15" s="31">
        <v>11</v>
      </c>
      <c r="M15" s="7" t="s">
        <v>33</v>
      </c>
      <c r="N15" s="31" t="s">
        <v>122</v>
      </c>
      <c r="O15" s="31" t="s">
        <v>123</v>
      </c>
      <c r="P15" s="31"/>
      <c r="Q15" s="31" t="s">
        <v>124</v>
      </c>
      <c r="R15" s="31"/>
      <c r="S15" s="31"/>
      <c r="T15" s="31"/>
      <c r="U15" s="31">
        <v>4</v>
      </c>
      <c r="V15" s="33"/>
      <c r="W15" s="31"/>
      <c r="X15" s="31"/>
      <c r="Y15" s="31" t="s">
        <v>67</v>
      </c>
      <c r="Z15" s="36">
        <f>1*4</f>
        <v>4</v>
      </c>
      <c r="AA15" s="35"/>
      <c r="AB15" s="36">
        <f>+Z15+1*4</f>
        <v>8</v>
      </c>
      <c r="AC15" s="35"/>
      <c r="AD15" s="36">
        <f>+Z15*2</f>
        <v>8</v>
      </c>
      <c r="AE15" s="35"/>
      <c r="AF15" s="31">
        <f>73+84.06</f>
        <v>157.06</v>
      </c>
      <c r="AG15" s="31"/>
      <c r="AH15" s="31">
        <f>15.6/2+2.1</f>
        <v>9.9</v>
      </c>
      <c r="AI15" s="31"/>
      <c r="AJ15" s="33"/>
      <c r="AK15" s="37"/>
      <c r="AL15" s="38">
        <v>357.52</v>
      </c>
      <c r="AM15" s="38">
        <f>+(157.06+15.6+2)/AL15</f>
        <v>0.48853211009174313</v>
      </c>
      <c r="AN15" s="38">
        <f>+(AF15+AH15)/AL15</f>
        <v>0.46699485343477293</v>
      </c>
      <c r="AO15" s="38"/>
      <c r="AP15" s="38">
        <f>1084630+1625850</f>
        <v>2710480</v>
      </c>
      <c r="AQ15" s="39">
        <v>111482.7</v>
      </c>
      <c r="AR15" s="38" t="s">
        <v>45</v>
      </c>
      <c r="AS15" s="40" t="s">
        <v>125</v>
      </c>
      <c r="AT15" s="41">
        <v>45686</v>
      </c>
      <c r="AU15" s="42"/>
      <c r="AV15" s="59">
        <v>45665</v>
      </c>
      <c r="AW15" s="44"/>
      <c r="AX15" s="44"/>
      <c r="AY15" s="44"/>
      <c r="AZ15" s="44"/>
      <c r="BA15" s="44"/>
      <c r="BB15" s="44"/>
      <c r="BC15" s="44"/>
      <c r="BD15" s="44"/>
      <c r="BE15" s="44"/>
      <c r="BF15" s="44"/>
      <c r="BG15" s="44"/>
      <c r="BH15" s="45"/>
      <c r="BI15" s="45"/>
      <c r="BJ15" s="45"/>
      <c r="BK15" s="45"/>
      <c r="BL15" s="45"/>
      <c r="BM15" s="45"/>
      <c r="BN15" s="45"/>
      <c r="BO15" s="45"/>
      <c r="BP15" s="45"/>
      <c r="BQ15" s="45"/>
      <c r="BR15" s="45"/>
      <c r="BS15" s="45"/>
      <c r="BT15" s="45"/>
      <c r="BU15" s="45"/>
      <c r="BV15" s="45"/>
      <c r="BW15" s="45"/>
      <c r="IQ15" s="45"/>
      <c r="IR15" s="45"/>
      <c r="IS15" s="45"/>
      <c r="IT15" s="45"/>
      <c r="IU15" s="45"/>
      <c r="IV15" s="45"/>
      <c r="IW15" s="45"/>
    </row>
    <row r="16" spans="1:257 16384:16384" s="21" customFormat="1" ht="76.5">
      <c r="A16" s="1"/>
      <c r="B16" s="22">
        <v>15</v>
      </c>
      <c r="C16" s="60">
        <v>568746</v>
      </c>
      <c r="D16" s="61">
        <v>45642</v>
      </c>
      <c r="E16" s="62" t="s">
        <v>32</v>
      </c>
      <c r="F16" s="63">
        <v>42775</v>
      </c>
      <c r="G16" s="63">
        <v>140843</v>
      </c>
      <c r="H16" s="63">
        <v>31956</v>
      </c>
      <c r="I16" s="64">
        <v>354</v>
      </c>
      <c r="J16" s="17"/>
      <c r="K16" s="64">
        <v>3</v>
      </c>
      <c r="L16" s="17">
        <v>2</v>
      </c>
      <c r="M16" s="17" t="s">
        <v>126</v>
      </c>
      <c r="N16" s="17" t="s">
        <v>127</v>
      </c>
      <c r="O16" s="64" t="s">
        <v>128</v>
      </c>
      <c r="P16" s="17"/>
      <c r="Q16" s="7" t="s">
        <v>129</v>
      </c>
      <c r="R16" s="7"/>
      <c r="S16" s="7"/>
      <c r="T16" s="7"/>
      <c r="U16" s="7">
        <v>1</v>
      </c>
      <c r="V16" s="8"/>
      <c r="W16" s="7"/>
      <c r="X16" s="7"/>
      <c r="Y16" s="7" t="s">
        <v>37</v>
      </c>
      <c r="Z16" s="9">
        <v>2</v>
      </c>
      <c r="AA16" s="10"/>
      <c r="AB16" s="9">
        <f>+Z16+1</f>
        <v>3</v>
      </c>
      <c r="AC16" s="10"/>
      <c r="AD16" s="9">
        <f>+Z16*2</f>
        <v>4</v>
      </c>
      <c r="AE16" s="10"/>
      <c r="AF16" s="7">
        <v>51.84</v>
      </c>
      <c r="AG16" s="7"/>
      <c r="AH16" s="7">
        <f>30.72+15/2</f>
        <v>38.22</v>
      </c>
      <c r="AI16" s="7"/>
      <c r="AJ16" s="11"/>
      <c r="AK16" s="12"/>
      <c r="AL16" s="13">
        <v>833.36</v>
      </c>
      <c r="AM16" s="13">
        <f>+(51.84+30.72+15)/AL16</f>
        <v>0.11706825381587789</v>
      </c>
      <c r="AN16" s="13">
        <f>+(AF16+AH16)/AL16</f>
        <v>0.10806854180666219</v>
      </c>
      <c r="AO16" s="13"/>
      <c r="AP16" s="13">
        <v>7732818.7199999997</v>
      </c>
      <c r="AQ16" s="14">
        <v>114936.3</v>
      </c>
      <c r="AR16" s="13" t="s">
        <v>38</v>
      </c>
      <c r="AS16" s="15" t="s">
        <v>130</v>
      </c>
      <c r="AT16" s="16">
        <v>45688</v>
      </c>
      <c r="AU16" s="17"/>
      <c r="AV16" s="18">
        <v>45659</v>
      </c>
      <c r="AW16" s="19"/>
      <c r="AX16" s="19"/>
      <c r="AY16" s="19"/>
      <c r="AZ16" s="19"/>
      <c r="BA16" s="19"/>
      <c r="BB16" s="19"/>
      <c r="BC16" s="19"/>
      <c r="BD16" s="19"/>
      <c r="BE16" s="19"/>
      <c r="BF16" s="19"/>
      <c r="BG16" s="19"/>
      <c r="BH16" s="20"/>
      <c r="BI16" s="20"/>
      <c r="BJ16" s="20"/>
      <c r="BK16" s="20"/>
      <c r="BL16" s="20"/>
      <c r="BM16" s="20"/>
      <c r="BN16" s="20"/>
      <c r="BO16" s="20"/>
      <c r="BP16" s="20"/>
      <c r="BQ16" s="20"/>
      <c r="BR16" s="20"/>
      <c r="BS16" s="20"/>
      <c r="BT16" s="20"/>
      <c r="BU16" s="20"/>
      <c r="BV16" s="20"/>
      <c r="BW16" s="20"/>
      <c r="IQ16" s="20"/>
      <c r="IR16" s="20"/>
      <c r="IS16" s="20"/>
      <c r="IT16" s="20"/>
      <c r="IU16" s="20"/>
      <c r="IV16" s="20"/>
      <c r="IW16" s="20"/>
    </row>
    <row r="17" spans="1:257" s="46" customFormat="1" ht="63.75">
      <c r="A17" s="1"/>
      <c r="B17" s="22">
        <v>16</v>
      </c>
      <c r="C17" s="57">
        <v>568708</v>
      </c>
      <c r="D17" s="58">
        <v>45642</v>
      </c>
      <c r="E17" s="54" t="s">
        <v>32</v>
      </c>
      <c r="F17" s="30">
        <v>52970</v>
      </c>
      <c r="G17" s="30">
        <v>162560</v>
      </c>
      <c r="H17" s="30">
        <v>33194</v>
      </c>
      <c r="I17" s="31">
        <v>225</v>
      </c>
      <c r="J17" s="31"/>
      <c r="K17" s="31">
        <v>6</v>
      </c>
      <c r="L17" s="31">
        <v>4</v>
      </c>
      <c r="M17" s="7" t="s">
        <v>41</v>
      </c>
      <c r="N17" s="31" t="s">
        <v>131</v>
      </c>
      <c r="O17" s="31" t="s">
        <v>132</v>
      </c>
      <c r="P17" s="31" t="s">
        <v>133</v>
      </c>
      <c r="Q17" s="31" t="s">
        <v>134</v>
      </c>
      <c r="R17" s="31"/>
      <c r="S17" s="31"/>
      <c r="T17" s="31" t="s">
        <v>135</v>
      </c>
      <c r="U17" s="31">
        <v>2</v>
      </c>
      <c r="V17" s="33"/>
      <c r="W17" s="31"/>
      <c r="X17" s="31"/>
      <c r="Y17" s="31" t="s">
        <v>67</v>
      </c>
      <c r="Z17" s="36">
        <f>2+2</f>
        <v>4</v>
      </c>
      <c r="AA17" s="35"/>
      <c r="AB17" s="36">
        <f>2+2</f>
        <v>4</v>
      </c>
      <c r="AC17" s="35"/>
      <c r="AD17" s="36">
        <f>+Z17*2</f>
        <v>8</v>
      </c>
      <c r="AE17" s="35">
        <f>+AA17*2</f>
        <v>0</v>
      </c>
      <c r="AF17" s="31">
        <f>110.16+11.1/2</f>
        <v>115.71</v>
      </c>
      <c r="AG17" s="31"/>
      <c r="AH17" s="31">
        <f>48.4/2</f>
        <v>24.2</v>
      </c>
      <c r="AI17" s="31"/>
      <c r="AJ17" s="33"/>
      <c r="AK17" s="37"/>
      <c r="AL17" s="38">
        <v>584.64</v>
      </c>
      <c r="AM17" s="38">
        <f>+(110.16+11.1+48.4)/AL17</f>
        <v>0.29019567597153806</v>
      </c>
      <c r="AN17" s="38">
        <f>+(AF17+AH17)/AL17</f>
        <v>0.23930966064586753</v>
      </c>
      <c r="AO17" s="38">
        <f>+(6+20+5+6)/(2+5+1+1)</f>
        <v>4.1111111111111107</v>
      </c>
      <c r="AP17" s="38">
        <f>+(7*330729+2*264509+5*198410+6*132292)/20*AH17</f>
        <v>5602206.8300000001</v>
      </c>
      <c r="AQ17" s="39">
        <v>512478.3</v>
      </c>
      <c r="AR17" s="38" t="s">
        <v>45</v>
      </c>
      <c r="AS17" s="40" t="s">
        <v>136</v>
      </c>
      <c r="AT17" s="41">
        <v>45688</v>
      </c>
      <c r="AU17" s="42"/>
      <c r="AV17" s="59">
        <v>45652</v>
      </c>
      <c r="AW17" s="44"/>
      <c r="AX17" s="44"/>
      <c r="AY17" s="44"/>
      <c r="AZ17" s="44"/>
      <c r="BA17" s="44"/>
      <c r="BB17" s="44"/>
      <c r="BC17" s="44"/>
      <c r="BD17" s="44"/>
      <c r="BE17" s="44"/>
      <c r="BF17" s="44"/>
      <c r="BG17" s="44"/>
      <c r="BH17" s="45"/>
      <c r="BI17" s="45"/>
      <c r="BJ17" s="45"/>
      <c r="BK17" s="45"/>
      <c r="BL17" s="45"/>
      <c r="BM17" s="45"/>
      <c r="BN17" s="45"/>
      <c r="BO17" s="45"/>
      <c r="BP17" s="45"/>
      <c r="BQ17" s="45"/>
      <c r="BR17" s="45"/>
      <c r="BS17" s="45"/>
      <c r="BT17" s="45"/>
      <c r="BU17" s="45"/>
      <c r="BV17" s="45"/>
      <c r="BW17" s="45"/>
      <c r="IQ17" s="45"/>
      <c r="IR17" s="45"/>
      <c r="IS17" s="45"/>
      <c r="IT17" s="45"/>
      <c r="IU17" s="45"/>
      <c r="IV17" s="45"/>
      <c r="IW17" s="45"/>
    </row>
    <row r="18" spans="1:257" s="21" customFormat="1" ht="102">
      <c r="A18" s="1"/>
      <c r="B18" s="163">
        <v>17</v>
      </c>
      <c r="C18" s="146" t="s">
        <v>137</v>
      </c>
      <c r="D18" s="144">
        <v>45307</v>
      </c>
      <c r="E18" s="145" t="s">
        <v>32</v>
      </c>
      <c r="F18" s="6">
        <v>42437</v>
      </c>
      <c r="G18" s="6">
        <v>137943</v>
      </c>
      <c r="H18" s="6">
        <v>31777</v>
      </c>
      <c r="I18" s="77">
        <v>355</v>
      </c>
      <c r="J18" s="7"/>
      <c r="K18" s="7">
        <v>6</v>
      </c>
      <c r="L18" s="7">
        <v>5</v>
      </c>
      <c r="M18" s="7" t="s">
        <v>41</v>
      </c>
      <c r="N18" s="31" t="s">
        <v>138</v>
      </c>
      <c r="O18" s="77" t="s">
        <v>139</v>
      </c>
      <c r="P18" s="7"/>
      <c r="Q18" s="77" t="s">
        <v>140</v>
      </c>
      <c r="R18" s="7"/>
      <c r="S18" s="7"/>
      <c r="T18" s="7"/>
      <c r="U18" s="7"/>
      <c r="V18" s="8"/>
      <c r="W18" s="7"/>
      <c r="X18" s="7"/>
      <c r="Y18" s="77" t="s">
        <v>67</v>
      </c>
      <c r="Z18" s="9"/>
      <c r="AA18" s="10"/>
      <c r="AB18" s="9"/>
      <c r="AC18" s="10"/>
      <c r="AD18" s="9"/>
      <c r="AE18" s="10"/>
      <c r="AF18" s="7">
        <f>138.95+21.55/2+14.84</f>
        <v>164.565</v>
      </c>
      <c r="AG18" s="7"/>
      <c r="AH18" s="7"/>
      <c r="AI18" s="7"/>
      <c r="AJ18" s="11"/>
      <c r="AK18" s="12"/>
      <c r="AL18" s="13">
        <v>448.5</v>
      </c>
      <c r="AM18" s="13">
        <f>+(138.95+21.55)/AL18</f>
        <v>0.35785953177257523</v>
      </c>
      <c r="AN18" s="13">
        <f>+AF18/AL18</f>
        <v>0.36692307692307691</v>
      </c>
      <c r="AO18" s="6"/>
      <c r="AP18" s="13"/>
      <c r="AQ18" s="14"/>
      <c r="AR18" s="83" t="s">
        <v>38</v>
      </c>
      <c r="AS18" s="15" t="s">
        <v>141</v>
      </c>
      <c r="AT18" s="16"/>
      <c r="AU18" s="17"/>
      <c r="AV18" s="18" t="s">
        <v>142</v>
      </c>
      <c r="AW18" s="19"/>
      <c r="AX18" s="19"/>
      <c r="AY18" s="19"/>
      <c r="AZ18" s="19"/>
      <c r="BA18" s="19"/>
      <c r="BB18" s="19"/>
      <c r="BC18" s="19"/>
      <c r="BD18" s="19"/>
      <c r="BE18" s="19"/>
      <c r="BF18" s="19"/>
      <c r="BG18" s="19"/>
      <c r="BH18" s="20"/>
      <c r="BI18" s="20"/>
      <c r="BJ18" s="20"/>
      <c r="BK18" s="20"/>
      <c r="BL18" s="20"/>
      <c r="BM18" s="20"/>
      <c r="BN18" s="20"/>
      <c r="BO18" s="20"/>
      <c r="BP18" s="20"/>
      <c r="BQ18" s="20"/>
      <c r="BR18" s="20"/>
      <c r="BS18" s="20"/>
      <c r="BT18" s="20"/>
      <c r="BU18" s="20"/>
      <c r="BV18" s="20"/>
      <c r="BW18" s="20"/>
      <c r="IQ18" s="20"/>
      <c r="IR18" s="20"/>
      <c r="IS18" s="20"/>
      <c r="IT18" s="20"/>
      <c r="IU18" s="20"/>
      <c r="IV18" s="20"/>
      <c r="IW18" s="20"/>
    </row>
    <row r="19" spans="1:257" s="21" customFormat="1" ht="38.25">
      <c r="A19" s="1"/>
      <c r="B19" s="2"/>
      <c r="C19" s="164"/>
      <c r="D19" s="164"/>
      <c r="E19" s="164"/>
      <c r="F19" s="6">
        <v>42436</v>
      </c>
      <c r="G19" s="6">
        <v>140593</v>
      </c>
      <c r="H19" s="6">
        <v>31805</v>
      </c>
      <c r="I19" s="164"/>
      <c r="J19" s="7"/>
      <c r="K19" s="7"/>
      <c r="L19" s="7">
        <v>4</v>
      </c>
      <c r="M19" s="7"/>
      <c r="N19" s="31" t="s">
        <v>143</v>
      </c>
      <c r="O19" s="164"/>
      <c r="P19" s="7"/>
      <c r="Q19" s="164"/>
      <c r="R19" s="7"/>
      <c r="S19" s="7"/>
      <c r="T19" s="7"/>
      <c r="U19" s="7">
        <v>1</v>
      </c>
      <c r="V19" s="8"/>
      <c r="W19" s="7"/>
      <c r="X19" s="7"/>
      <c r="Y19" s="164"/>
      <c r="Z19" s="9"/>
      <c r="AA19" s="10"/>
      <c r="AB19" s="9"/>
      <c r="AC19" s="10"/>
      <c r="AD19" s="9"/>
      <c r="AE19" s="10"/>
      <c r="AF19" s="7">
        <f>44.63+27.84/2+58.48+106</f>
        <v>223.03</v>
      </c>
      <c r="AG19" s="7"/>
      <c r="AH19" s="7">
        <f>+(144.93+66.31+36.08/2+33.4+11.3+8.24/2)-AF19</f>
        <v>55.070000000000022</v>
      </c>
      <c r="AI19" s="7"/>
      <c r="AJ19" s="11"/>
      <c r="AK19" s="12"/>
      <c r="AL19" s="13">
        <v>448.5</v>
      </c>
      <c r="AM19" s="13">
        <f>+(144.93+36.08+33.4+8.24)/AL19</f>
        <v>0.49643255295429212</v>
      </c>
      <c r="AN19" s="13">
        <f>+(AF19+AH19)/AL19</f>
        <v>0.6200668896321071</v>
      </c>
      <c r="AO19" s="6"/>
      <c r="AP19" s="13"/>
      <c r="AQ19" s="14">
        <v>205619.16</v>
      </c>
      <c r="AR19" s="164"/>
      <c r="AS19" s="15" t="s">
        <v>144</v>
      </c>
      <c r="AT19" s="16">
        <v>45688</v>
      </c>
      <c r="AU19" s="17"/>
      <c r="AV19" s="18">
        <v>45611</v>
      </c>
      <c r="AW19" s="19"/>
      <c r="AX19" s="19"/>
      <c r="AY19" s="19"/>
      <c r="AZ19" s="19"/>
      <c r="BA19" s="19"/>
      <c r="BB19" s="19"/>
      <c r="BC19" s="19"/>
      <c r="BD19" s="19"/>
      <c r="BE19" s="19"/>
      <c r="BF19" s="19"/>
      <c r="BG19" s="19"/>
      <c r="BH19" s="20"/>
      <c r="BI19" s="20"/>
      <c r="BJ19" s="20"/>
      <c r="BK19" s="20"/>
      <c r="BL19" s="20"/>
      <c r="BM19" s="20"/>
      <c r="BN19" s="20"/>
      <c r="BO19" s="20"/>
      <c r="BP19" s="20"/>
      <c r="BQ19" s="20"/>
      <c r="BR19" s="20"/>
      <c r="BS19" s="20"/>
      <c r="BT19" s="20"/>
      <c r="BU19" s="20"/>
      <c r="BV19" s="20"/>
      <c r="BW19" s="20"/>
      <c r="IQ19" s="20"/>
      <c r="IR19" s="20"/>
      <c r="IS19" s="20"/>
      <c r="IT19" s="20"/>
      <c r="IU19" s="20"/>
      <c r="IV19" s="20"/>
      <c r="IW19" s="20"/>
    </row>
    <row r="20" spans="1:257" s="21" customFormat="1" ht="102">
      <c r="A20" s="1"/>
      <c r="B20" s="56">
        <v>18</v>
      </c>
      <c r="C20" s="3" t="s">
        <v>145</v>
      </c>
      <c r="D20" s="4">
        <v>45586</v>
      </c>
      <c r="E20" s="5" t="s">
        <v>32</v>
      </c>
      <c r="F20" s="6">
        <v>62232</v>
      </c>
      <c r="G20" s="6">
        <v>169884</v>
      </c>
      <c r="H20" s="6">
        <v>21518</v>
      </c>
      <c r="I20" s="7">
        <v>27</v>
      </c>
      <c r="J20" s="7"/>
      <c r="K20" s="7">
        <v>312</v>
      </c>
      <c r="L20" s="7">
        <v>5</v>
      </c>
      <c r="M20" s="7" t="s">
        <v>33</v>
      </c>
      <c r="N20" s="7" t="s">
        <v>146</v>
      </c>
      <c r="O20" s="7" t="s">
        <v>147</v>
      </c>
      <c r="P20" s="7"/>
      <c r="Q20" s="7" t="s">
        <v>101</v>
      </c>
      <c r="R20" s="7"/>
      <c r="S20" s="7"/>
      <c r="T20" s="7"/>
      <c r="U20" s="7">
        <v>5</v>
      </c>
      <c r="V20" s="8"/>
      <c r="W20" s="7"/>
      <c r="X20" s="7"/>
      <c r="Y20" s="7" t="s">
        <v>67</v>
      </c>
      <c r="Z20" s="9">
        <f>1+1+2+3+1</f>
        <v>8</v>
      </c>
      <c r="AA20" s="10"/>
      <c r="AB20" s="9">
        <f>1+1+1+1+1</f>
        <v>5</v>
      </c>
      <c r="AC20" s="10"/>
      <c r="AD20" s="9">
        <f>+Z20*2</f>
        <v>16</v>
      </c>
      <c r="AE20" s="10"/>
      <c r="AF20" s="7"/>
      <c r="AG20" s="7"/>
      <c r="AH20" s="7">
        <f>185.75+50</f>
        <v>235.75</v>
      </c>
      <c r="AI20" s="7"/>
      <c r="AJ20" s="11"/>
      <c r="AK20" s="12"/>
      <c r="AL20" s="13">
        <v>314.7</v>
      </c>
      <c r="AM20" s="13">
        <f>185.75/AL20</f>
        <v>0.59024467747060694</v>
      </c>
      <c r="AN20" s="13">
        <f>+AH20/AL20</f>
        <v>0.74912615189068954</v>
      </c>
      <c r="AO20" s="13"/>
      <c r="AP20" s="13">
        <f>+(6*264509+198410*12+3*132292)/21*AH20</f>
        <v>49000637.5</v>
      </c>
      <c r="AQ20" s="14">
        <v>855062.44</v>
      </c>
      <c r="AR20" s="13" t="s">
        <v>45</v>
      </c>
      <c r="AS20" s="15" t="s">
        <v>148</v>
      </c>
      <c r="AT20" s="16">
        <v>45688</v>
      </c>
      <c r="AU20" s="17"/>
      <c r="AV20" s="18">
        <v>45652</v>
      </c>
      <c r="AW20" s="19"/>
      <c r="AX20" s="19"/>
      <c r="AY20" s="19"/>
      <c r="AZ20" s="19"/>
      <c r="BA20" s="19"/>
      <c r="BB20" s="19"/>
      <c r="BC20" s="19"/>
      <c r="BD20" s="19"/>
      <c r="BE20" s="19"/>
      <c r="BF20" s="19"/>
      <c r="BG20" s="19"/>
      <c r="BH20" s="20"/>
      <c r="BI20" s="20"/>
      <c r="BJ20" s="20"/>
      <c r="BK20" s="20"/>
      <c r="BL20" s="20"/>
      <c r="BM20" s="20"/>
      <c r="BN20" s="20"/>
      <c r="BO20" s="20"/>
      <c r="BP20" s="20"/>
      <c r="BQ20" s="20"/>
      <c r="BR20" s="20"/>
      <c r="BS20" s="20"/>
      <c r="BT20" s="20"/>
      <c r="BU20" s="20"/>
      <c r="BV20" s="20"/>
      <c r="BW20" s="20"/>
      <c r="IQ20" s="20"/>
      <c r="IR20" s="20"/>
      <c r="IS20" s="20"/>
      <c r="IT20" s="20"/>
      <c r="IU20" s="20"/>
      <c r="IV20" s="20"/>
      <c r="IW20" s="20"/>
    </row>
    <row r="21" spans="1:257" s="21" customFormat="1" ht="89.25">
      <c r="A21" s="1"/>
      <c r="B21" s="22">
        <v>19</v>
      </c>
      <c r="C21" s="3" t="s">
        <v>149</v>
      </c>
      <c r="D21" s="4">
        <v>45527</v>
      </c>
      <c r="E21" s="5" t="s">
        <v>32</v>
      </c>
      <c r="F21" s="6">
        <v>46298</v>
      </c>
      <c r="G21" s="6">
        <v>138085</v>
      </c>
      <c r="H21" s="6">
        <v>31774</v>
      </c>
      <c r="I21" s="7">
        <v>355</v>
      </c>
      <c r="J21" s="7"/>
      <c r="K21" s="7">
        <v>1</v>
      </c>
      <c r="L21" s="7">
        <v>1</v>
      </c>
      <c r="M21" s="7" t="s">
        <v>41</v>
      </c>
      <c r="N21" s="7" t="s">
        <v>150</v>
      </c>
      <c r="O21" s="7" t="s">
        <v>151</v>
      </c>
      <c r="P21" s="7"/>
      <c r="Q21" s="7" t="s">
        <v>152</v>
      </c>
      <c r="R21" s="7"/>
      <c r="S21" s="7"/>
      <c r="T21" s="7"/>
      <c r="U21" s="7">
        <v>4</v>
      </c>
      <c r="V21" s="8"/>
      <c r="W21" s="7"/>
      <c r="X21" s="7"/>
      <c r="Y21" s="7" t="s">
        <v>67</v>
      </c>
      <c r="Z21" s="9">
        <f>1+2+1+1</f>
        <v>5</v>
      </c>
      <c r="AA21" s="10"/>
      <c r="AB21" s="9">
        <f>+Z21+3</f>
        <v>8</v>
      </c>
      <c r="AC21" s="10"/>
      <c r="AD21" s="9">
        <f>+Z21*2</f>
        <v>10</v>
      </c>
      <c r="AE21" s="10"/>
      <c r="AF21" s="7">
        <f>123.29+25.34/2+76.3+25.34/2</f>
        <v>224.92999999999998</v>
      </c>
      <c r="AG21" s="7"/>
      <c r="AH21" s="7">
        <v>45</v>
      </c>
      <c r="AI21" s="7"/>
      <c r="AJ21" s="11"/>
      <c r="AK21" s="12"/>
      <c r="AL21" s="13">
        <v>562.5</v>
      </c>
      <c r="AM21" s="13">
        <f>+(123.29+25.34+25.34+45)/AL21</f>
        <v>0.38928000000000001</v>
      </c>
      <c r="AN21" s="13">
        <f>+(AF21+AH21)/AL21</f>
        <v>0.47987555555555544</v>
      </c>
      <c r="AO21" s="13"/>
      <c r="AP21" s="13">
        <f>+(5*330729+264509*5+7*198410+132292*3)/20*AH21</f>
        <v>10714356</v>
      </c>
      <c r="AQ21" s="14">
        <v>114145.41</v>
      </c>
      <c r="AR21" s="13" t="s">
        <v>45</v>
      </c>
      <c r="AS21" s="15" t="s">
        <v>153</v>
      </c>
      <c r="AT21" s="16">
        <v>45688</v>
      </c>
      <c r="AU21" s="17"/>
      <c r="AV21" s="18">
        <v>45644</v>
      </c>
      <c r="AW21" s="19"/>
      <c r="AX21" s="19"/>
      <c r="AY21" s="19"/>
      <c r="AZ21" s="19"/>
      <c r="BA21" s="19"/>
      <c r="BB21" s="19"/>
      <c r="BC21" s="19"/>
      <c r="BD21" s="19"/>
      <c r="BE21" s="19"/>
      <c r="BF21" s="19"/>
      <c r="BG21" s="19"/>
      <c r="BH21" s="20"/>
      <c r="BI21" s="20"/>
      <c r="BJ21" s="20"/>
      <c r="BK21" s="20"/>
      <c r="BL21" s="20"/>
      <c r="BM21" s="20"/>
      <c r="BN21" s="20"/>
      <c r="BO21" s="20"/>
      <c r="BP21" s="20"/>
      <c r="BQ21" s="20"/>
      <c r="BR21" s="20"/>
      <c r="BS21" s="20"/>
      <c r="BT21" s="20"/>
      <c r="BU21" s="20"/>
      <c r="BV21" s="20"/>
      <c r="BW21" s="20"/>
      <c r="IQ21" s="20"/>
      <c r="IR21" s="20"/>
      <c r="IS21" s="20"/>
      <c r="IT21" s="20"/>
      <c r="IU21" s="20"/>
      <c r="IV21" s="20"/>
      <c r="IW21" s="20"/>
    </row>
    <row r="22" spans="1:257" s="21" customFormat="1" ht="38.25">
      <c r="A22" s="65" t="s">
        <v>154</v>
      </c>
      <c r="B22" s="22">
        <v>20</v>
      </c>
      <c r="C22" s="66" t="s">
        <v>155</v>
      </c>
      <c r="D22" s="4">
        <v>45422</v>
      </c>
      <c r="E22" s="5" t="s">
        <v>48</v>
      </c>
      <c r="F22" s="6">
        <v>7118</v>
      </c>
      <c r="G22" s="6">
        <v>121</v>
      </c>
      <c r="H22" s="6">
        <v>235</v>
      </c>
      <c r="I22" s="7"/>
      <c r="J22" s="7"/>
      <c r="K22" s="7">
        <v>213</v>
      </c>
      <c r="L22" s="7">
        <v>9</v>
      </c>
      <c r="M22" s="7" t="s">
        <v>57</v>
      </c>
      <c r="N22" s="7" t="s">
        <v>156</v>
      </c>
      <c r="O22" s="7" t="s">
        <v>157</v>
      </c>
      <c r="P22" s="7"/>
      <c r="Q22" s="7" t="s">
        <v>158</v>
      </c>
      <c r="R22" s="7" t="s">
        <v>158</v>
      </c>
      <c r="S22" s="7" t="s">
        <v>158</v>
      </c>
      <c r="T22" s="7" t="s">
        <v>159</v>
      </c>
      <c r="U22" s="7"/>
      <c r="V22" s="8">
        <v>2</v>
      </c>
      <c r="W22" s="7"/>
      <c r="X22" s="7"/>
      <c r="Y22" s="7" t="s">
        <v>85</v>
      </c>
      <c r="Z22" s="9"/>
      <c r="AA22" s="10"/>
      <c r="AB22" s="9"/>
      <c r="AC22" s="10"/>
      <c r="AD22" s="9"/>
      <c r="AE22" s="10"/>
      <c r="AF22" s="7"/>
      <c r="AG22" s="7"/>
      <c r="AH22" s="7"/>
      <c r="AI22" s="7"/>
      <c r="AJ22" s="11"/>
      <c r="AK22" s="12">
        <f>138.68+1.92/2+106.48</f>
        <v>246.12</v>
      </c>
      <c r="AL22" s="13">
        <v>157.59</v>
      </c>
      <c r="AM22" s="13">
        <f>+(138.68+1.92)/AL22</f>
        <v>0.8921885906466146</v>
      </c>
      <c r="AN22" s="13">
        <f>+AK22/AL22</f>
        <v>1.5617742242528079</v>
      </c>
      <c r="AO22" s="13"/>
      <c r="AP22" s="13">
        <f>750000+(AK22*277126)</f>
        <v>68956251.120000005</v>
      </c>
      <c r="AQ22" s="67">
        <v>1066505.3600000001</v>
      </c>
      <c r="AR22" s="13" t="s">
        <v>45</v>
      </c>
      <c r="AS22" s="15" t="s">
        <v>160</v>
      </c>
      <c r="AT22" s="16">
        <v>45709</v>
      </c>
      <c r="AU22" s="17"/>
      <c r="AV22" s="18" t="s">
        <v>161</v>
      </c>
      <c r="AW22" s="19"/>
      <c r="AX22" s="19"/>
      <c r="AY22" s="19"/>
      <c r="AZ22" s="19"/>
      <c r="BA22" s="19"/>
      <c r="BB22" s="19"/>
      <c r="BC22" s="19"/>
      <c r="BD22" s="19"/>
      <c r="BE22" s="19"/>
      <c r="BF22" s="19"/>
      <c r="BG22" s="19"/>
      <c r="BH22" s="20"/>
      <c r="BI22" s="20"/>
      <c r="BJ22" s="20"/>
      <c r="BK22" s="20"/>
      <c r="BL22" s="20"/>
      <c r="BM22" s="20"/>
      <c r="BN22" s="20"/>
      <c r="BO22" s="20"/>
      <c r="BP22" s="20"/>
      <c r="BQ22" s="20"/>
      <c r="BR22" s="20"/>
      <c r="BS22" s="20"/>
      <c r="BT22" s="20"/>
      <c r="BU22" s="20"/>
      <c r="BV22" s="20"/>
      <c r="BW22" s="20"/>
      <c r="IQ22" s="20"/>
      <c r="IR22" s="20"/>
      <c r="IS22" s="20"/>
      <c r="IT22" s="20"/>
      <c r="IU22" s="20"/>
      <c r="IV22" s="20"/>
      <c r="IW22" s="20"/>
    </row>
    <row r="23" spans="1:257" s="21" customFormat="1" ht="76.5">
      <c r="A23" s="65"/>
      <c r="B23" s="22">
        <v>21</v>
      </c>
      <c r="C23" s="3" t="s">
        <v>162</v>
      </c>
      <c r="D23" s="4">
        <v>45597</v>
      </c>
      <c r="E23" s="5" t="s">
        <v>32</v>
      </c>
      <c r="F23" s="6">
        <v>30636</v>
      </c>
      <c r="G23" s="6">
        <v>129807</v>
      </c>
      <c r="H23" s="6">
        <v>6643</v>
      </c>
      <c r="I23" s="7"/>
      <c r="J23" s="7"/>
      <c r="K23" s="7">
        <v>147</v>
      </c>
      <c r="L23" s="7">
        <v>17</v>
      </c>
      <c r="M23" s="7" t="s">
        <v>33</v>
      </c>
      <c r="N23" s="7" t="s">
        <v>163</v>
      </c>
      <c r="O23" s="7" t="s">
        <v>164</v>
      </c>
      <c r="P23" s="7"/>
      <c r="Q23" s="7" t="s">
        <v>44</v>
      </c>
      <c r="R23" s="7"/>
      <c r="S23" s="7"/>
      <c r="T23" s="7"/>
      <c r="U23" s="7">
        <v>2</v>
      </c>
      <c r="V23" s="8"/>
      <c r="W23" s="7"/>
      <c r="X23" s="7"/>
      <c r="Y23" s="7" t="s">
        <v>67</v>
      </c>
      <c r="Z23" s="9">
        <f>1+2</f>
        <v>3</v>
      </c>
      <c r="AA23" s="10"/>
      <c r="AB23" s="9">
        <f>+Z23+1+1</f>
        <v>5</v>
      </c>
      <c r="AC23" s="10"/>
      <c r="AD23" s="9">
        <f>+Z23*2</f>
        <v>6</v>
      </c>
      <c r="AE23" s="10"/>
      <c r="AF23" s="7">
        <f>231.94+17.11/2</f>
        <v>240.495</v>
      </c>
      <c r="AG23" s="7"/>
      <c r="AH23" s="7">
        <f>19.65+3.92/2</f>
        <v>21.61</v>
      </c>
      <c r="AI23" s="7"/>
      <c r="AJ23" s="11"/>
      <c r="AK23" s="12"/>
      <c r="AL23" s="13">
        <v>180</v>
      </c>
      <c r="AM23" s="13">
        <f>+(156.3+12.11)/AL23</f>
        <v>0.93561111111111128</v>
      </c>
      <c r="AN23" s="13">
        <f>+(AF23+AH23)/AL23</f>
        <v>1.4561388888888891</v>
      </c>
      <c r="AO23" s="13"/>
      <c r="AP23" s="13">
        <f>+(10*346505+6*277126+207874*7+2*138602)/25*AH23</f>
        <v>5929894.6431999998</v>
      </c>
      <c r="AQ23" s="67">
        <v>108256.38</v>
      </c>
      <c r="AR23" s="13" t="s">
        <v>45</v>
      </c>
      <c r="AS23" s="15" t="s">
        <v>165</v>
      </c>
      <c r="AT23" s="16">
        <v>45709</v>
      </c>
      <c r="AU23" s="17"/>
      <c r="AV23" s="18">
        <v>45707</v>
      </c>
      <c r="AW23" s="19"/>
      <c r="AX23" s="19"/>
      <c r="AY23" s="19"/>
      <c r="AZ23" s="19"/>
      <c r="BA23" s="19"/>
      <c r="BB23" s="19"/>
      <c r="BC23" s="19"/>
      <c r="BD23" s="19"/>
      <c r="BE23" s="19"/>
      <c r="BF23" s="19"/>
      <c r="BG23" s="19"/>
      <c r="BH23" s="20"/>
      <c r="BI23" s="20"/>
      <c r="BJ23" s="20"/>
      <c r="BK23" s="20"/>
      <c r="BL23" s="20"/>
      <c r="BM23" s="20"/>
      <c r="BN23" s="20"/>
      <c r="BO23" s="20"/>
      <c r="BP23" s="20"/>
      <c r="BQ23" s="20"/>
      <c r="BR23" s="20"/>
      <c r="BS23" s="20"/>
      <c r="BT23" s="20"/>
      <c r="BU23" s="20"/>
      <c r="BV23" s="20"/>
      <c r="BW23" s="20"/>
      <c r="IQ23" s="20"/>
      <c r="IR23" s="20"/>
      <c r="IS23" s="20"/>
      <c r="IT23" s="20"/>
      <c r="IU23" s="20"/>
      <c r="IV23" s="20"/>
      <c r="IW23" s="20"/>
    </row>
    <row r="24" spans="1:257" s="21" customFormat="1" ht="76.5">
      <c r="A24" s="65"/>
      <c r="B24" s="22">
        <v>22</v>
      </c>
      <c r="C24" s="3">
        <v>568659</v>
      </c>
      <c r="D24" s="4">
        <v>45638</v>
      </c>
      <c r="E24" s="5" t="s">
        <v>32</v>
      </c>
      <c r="F24" s="6">
        <v>61601</v>
      </c>
      <c r="G24" s="6">
        <v>169409</v>
      </c>
      <c r="H24" s="6">
        <v>10600</v>
      </c>
      <c r="I24" s="7">
        <v>28</v>
      </c>
      <c r="J24" s="7"/>
      <c r="K24" s="7">
        <v>340</v>
      </c>
      <c r="L24" s="7">
        <v>18</v>
      </c>
      <c r="M24" s="7" t="s">
        <v>33</v>
      </c>
      <c r="N24" s="7" t="s">
        <v>166</v>
      </c>
      <c r="O24" s="7" t="s">
        <v>167</v>
      </c>
      <c r="P24" s="7"/>
      <c r="Q24" s="7" t="s">
        <v>168</v>
      </c>
      <c r="R24" s="7"/>
      <c r="S24" s="7"/>
      <c r="T24" s="7"/>
      <c r="U24" s="7">
        <v>4</v>
      </c>
      <c r="V24" s="8"/>
      <c r="W24" s="7"/>
      <c r="X24" s="7"/>
      <c r="Y24" s="7" t="s">
        <v>67</v>
      </c>
      <c r="Z24" s="9">
        <f>1+1+1+1</f>
        <v>4</v>
      </c>
      <c r="AA24" s="10"/>
      <c r="AB24" s="9">
        <f>+Z24+1</f>
        <v>5</v>
      </c>
      <c r="AC24" s="10"/>
      <c r="AD24" s="9">
        <f>+Z24*2</f>
        <v>8</v>
      </c>
      <c r="AE24" s="10"/>
      <c r="AF24" s="7"/>
      <c r="AG24" s="7"/>
      <c r="AH24" s="7">
        <f>115.81+20.24</f>
        <v>136.05000000000001</v>
      </c>
      <c r="AI24" s="7"/>
      <c r="AJ24" s="11"/>
      <c r="AK24" s="12"/>
      <c r="AL24" s="13">
        <v>568.5</v>
      </c>
      <c r="AM24" s="13"/>
      <c r="AN24" s="13">
        <f>+AH24/AL24</f>
        <v>0.23931398416886546</v>
      </c>
      <c r="AO24" s="13"/>
      <c r="AP24" s="13">
        <f>+(7*330729+7*264509+7*198410+3*132292)/24*'2025'!AH24</f>
        <v>33742735.524999999</v>
      </c>
      <c r="AQ24" s="67">
        <v>567650.14</v>
      </c>
      <c r="AR24" s="13" t="s">
        <v>45</v>
      </c>
      <c r="AS24" s="15" t="s">
        <v>169</v>
      </c>
      <c r="AT24" s="16">
        <v>45709</v>
      </c>
      <c r="AU24" s="17"/>
      <c r="AV24" s="18">
        <v>45642</v>
      </c>
      <c r="AW24" s="19"/>
      <c r="AX24" s="19"/>
      <c r="AY24" s="19"/>
      <c r="AZ24" s="19"/>
      <c r="BA24" s="19"/>
      <c r="BB24" s="19"/>
      <c r="BC24" s="19"/>
      <c r="BD24" s="19"/>
      <c r="BE24" s="19"/>
      <c r="BF24" s="19"/>
      <c r="BG24" s="19"/>
      <c r="BH24" s="20"/>
      <c r="BI24" s="20"/>
      <c r="BJ24" s="20"/>
      <c r="BK24" s="20"/>
      <c r="BL24" s="20"/>
      <c r="BM24" s="20"/>
      <c r="BN24" s="20"/>
      <c r="BO24" s="20"/>
      <c r="BP24" s="20"/>
      <c r="BQ24" s="20"/>
      <c r="BR24" s="20"/>
      <c r="BS24" s="20"/>
      <c r="BT24" s="20"/>
      <c r="BU24" s="20"/>
      <c r="BV24" s="20"/>
      <c r="BW24" s="20"/>
      <c r="IQ24" s="20"/>
      <c r="IR24" s="20"/>
      <c r="IS24" s="20"/>
      <c r="IT24" s="20"/>
      <c r="IU24" s="20"/>
      <c r="IV24" s="20"/>
      <c r="IW24" s="20"/>
    </row>
    <row r="25" spans="1:257" s="21" customFormat="1" ht="76.5">
      <c r="A25" s="65"/>
      <c r="B25" s="22">
        <v>23</v>
      </c>
      <c r="C25" s="3" t="s">
        <v>170</v>
      </c>
      <c r="D25" s="4">
        <v>45610</v>
      </c>
      <c r="E25" s="5" t="s">
        <v>32</v>
      </c>
      <c r="F25" s="6">
        <v>28694</v>
      </c>
      <c r="G25" s="6">
        <v>122401</v>
      </c>
      <c r="H25" s="6">
        <v>6288</v>
      </c>
      <c r="I25" s="7"/>
      <c r="J25" s="7"/>
      <c r="K25" s="7">
        <v>801</v>
      </c>
      <c r="L25" s="7">
        <v>10</v>
      </c>
      <c r="M25" s="7" t="s">
        <v>33</v>
      </c>
      <c r="N25" s="7" t="s">
        <v>171</v>
      </c>
      <c r="O25" s="7" t="s">
        <v>172</v>
      </c>
      <c r="P25" s="7"/>
      <c r="Q25" s="7" t="s">
        <v>173</v>
      </c>
      <c r="R25" s="7"/>
      <c r="S25" s="7"/>
      <c r="T25" s="7"/>
      <c r="U25" s="7">
        <v>2</v>
      </c>
      <c r="V25" s="8"/>
      <c r="W25" s="7"/>
      <c r="X25" s="7"/>
      <c r="Y25" s="7" t="s">
        <v>67</v>
      </c>
      <c r="Z25" s="9"/>
      <c r="AA25" s="10"/>
      <c r="AB25" s="9"/>
      <c r="AC25" s="10"/>
      <c r="AD25" s="9"/>
      <c r="AE25" s="10"/>
      <c r="AF25" s="7">
        <f>62.3+6.5/2+72.9+26.73+66.4/2</f>
        <v>198.38</v>
      </c>
      <c r="AG25" s="7"/>
      <c r="AH25" s="7">
        <f>19.8+47.9/2+14.8</f>
        <v>58.55</v>
      </c>
      <c r="AI25" s="7"/>
      <c r="AJ25" s="11"/>
      <c r="AK25" s="12"/>
      <c r="AL25" s="13">
        <v>483.99</v>
      </c>
      <c r="AM25" s="13"/>
      <c r="AN25" s="13">
        <f>+(AF25+AH25)/AL25</f>
        <v>0.53085807558007392</v>
      </c>
      <c r="AO25" s="13"/>
      <c r="AP25" s="13">
        <f>6570000+((1*346505+4*277126+8*207874+9*138602)/22*AH25)</f>
        <v>18187967.384090908</v>
      </c>
      <c r="AQ25" s="67">
        <v>572032.72</v>
      </c>
      <c r="AR25" s="13" t="s">
        <v>45</v>
      </c>
      <c r="AS25" s="15" t="s">
        <v>174</v>
      </c>
      <c r="AT25" s="16">
        <v>45709</v>
      </c>
      <c r="AU25" s="17"/>
      <c r="AV25" s="18" t="s">
        <v>175</v>
      </c>
      <c r="AW25" s="19"/>
      <c r="AX25" s="19"/>
      <c r="AY25" s="19"/>
      <c r="AZ25" s="19"/>
      <c r="BA25" s="19"/>
      <c r="BB25" s="19"/>
      <c r="BC25" s="19"/>
      <c r="BD25" s="19"/>
      <c r="BE25" s="19"/>
      <c r="BF25" s="19"/>
      <c r="BG25" s="19"/>
      <c r="BH25" s="20"/>
      <c r="BI25" s="20"/>
      <c r="BJ25" s="20"/>
      <c r="BK25" s="20"/>
      <c r="BL25" s="20"/>
      <c r="BM25" s="20"/>
      <c r="BN25" s="20"/>
      <c r="BO25" s="20"/>
      <c r="BP25" s="20"/>
      <c r="BQ25" s="20"/>
      <c r="BR25" s="20"/>
      <c r="BS25" s="20"/>
      <c r="BT25" s="20"/>
      <c r="BU25" s="20"/>
      <c r="BV25" s="20"/>
      <c r="BW25" s="20"/>
      <c r="IQ25" s="20"/>
      <c r="IR25" s="20"/>
      <c r="IS25" s="20"/>
      <c r="IT25" s="20"/>
      <c r="IU25" s="20"/>
      <c r="IV25" s="20"/>
      <c r="IW25" s="20"/>
    </row>
    <row r="26" spans="1:257" s="21" customFormat="1" ht="51">
      <c r="A26" s="65"/>
      <c r="B26" s="22">
        <v>24</v>
      </c>
      <c r="C26" s="3" t="s">
        <v>176</v>
      </c>
      <c r="D26" s="4">
        <v>45597</v>
      </c>
      <c r="E26" s="5" t="s">
        <v>32</v>
      </c>
      <c r="F26" s="6">
        <v>54243</v>
      </c>
      <c r="G26" s="6">
        <v>163504</v>
      </c>
      <c r="H26" s="6">
        <v>33409</v>
      </c>
      <c r="I26" s="7">
        <v>326</v>
      </c>
      <c r="J26" s="7"/>
      <c r="K26" s="7">
        <v>18</v>
      </c>
      <c r="L26" s="7">
        <v>16</v>
      </c>
      <c r="M26" s="7" t="s">
        <v>33</v>
      </c>
      <c r="N26" s="7" t="s">
        <v>177</v>
      </c>
      <c r="O26" s="7" t="s">
        <v>178</v>
      </c>
      <c r="P26" s="7"/>
      <c r="Q26" s="7" t="s">
        <v>179</v>
      </c>
      <c r="R26" s="7"/>
      <c r="S26" s="7"/>
      <c r="T26" s="7"/>
      <c r="U26" s="7">
        <v>1</v>
      </c>
      <c r="V26" s="8"/>
      <c r="W26" s="7"/>
      <c r="X26" s="7"/>
      <c r="Y26" s="7" t="s">
        <v>37</v>
      </c>
      <c r="Z26" s="9">
        <v>2</v>
      </c>
      <c r="AA26" s="10"/>
      <c r="AB26" s="9">
        <f>+Z26+1</f>
        <v>3</v>
      </c>
      <c r="AC26" s="10"/>
      <c r="AD26" s="9">
        <f>+Z26*2</f>
        <v>4</v>
      </c>
      <c r="AE26" s="10"/>
      <c r="AF26" s="7">
        <v>55</v>
      </c>
      <c r="AG26" s="7"/>
      <c r="AH26" s="7">
        <f>94.1-AF26+25.6/2</f>
        <v>51.899999999999991</v>
      </c>
      <c r="AI26" s="7"/>
      <c r="AJ26" s="11"/>
      <c r="AK26" s="12"/>
      <c r="AL26" s="13">
        <v>185</v>
      </c>
      <c r="AM26" s="13">
        <f>+(94.1+25.6)/AL26</f>
        <v>0.64702702702702697</v>
      </c>
      <c r="AN26" s="13">
        <f>+(AF26+AH26)/AL26</f>
        <v>0.57783783783783782</v>
      </c>
      <c r="AO26" s="13"/>
      <c r="AP26" s="13">
        <f>+(346505+4*277126+207874*5+6*138602)/20*AH26</f>
        <v>8630946.6449999977</v>
      </c>
      <c r="AQ26" s="67">
        <v>447316.54</v>
      </c>
      <c r="AR26" s="13" t="s">
        <v>180</v>
      </c>
      <c r="AS26" s="15" t="s">
        <v>181</v>
      </c>
      <c r="AT26" s="16">
        <v>45709</v>
      </c>
      <c r="AU26" s="17"/>
      <c r="AV26" s="18">
        <v>45687</v>
      </c>
      <c r="AW26" s="19"/>
      <c r="AX26" s="19"/>
      <c r="AY26" s="19"/>
      <c r="AZ26" s="19"/>
      <c r="BA26" s="19"/>
      <c r="BB26" s="19"/>
      <c r="BC26" s="19"/>
      <c r="BD26" s="19"/>
      <c r="BE26" s="19"/>
      <c r="BF26" s="19"/>
      <c r="BG26" s="19"/>
      <c r="BH26" s="20"/>
      <c r="BI26" s="20"/>
      <c r="BJ26" s="20"/>
      <c r="BK26" s="20"/>
      <c r="BL26" s="20"/>
      <c r="BM26" s="20"/>
      <c r="BN26" s="20"/>
      <c r="BO26" s="20"/>
      <c r="BP26" s="20"/>
      <c r="BQ26" s="20"/>
      <c r="BR26" s="20"/>
      <c r="BS26" s="20"/>
      <c r="BT26" s="20"/>
      <c r="BU26" s="20"/>
      <c r="BV26" s="20"/>
      <c r="BW26" s="20"/>
      <c r="IQ26" s="20"/>
      <c r="IR26" s="20"/>
      <c r="IS26" s="20"/>
      <c r="IT26" s="20"/>
      <c r="IU26" s="20"/>
      <c r="IV26" s="20"/>
      <c r="IW26" s="20"/>
    </row>
    <row r="27" spans="1:257" s="21" customFormat="1" ht="89.25">
      <c r="A27" s="65"/>
      <c r="B27" s="22">
        <v>25</v>
      </c>
      <c r="C27" s="3" t="s">
        <v>182</v>
      </c>
      <c r="D27" s="4">
        <v>44671</v>
      </c>
      <c r="E27" s="5" t="s">
        <v>32</v>
      </c>
      <c r="F27" s="6">
        <v>39670</v>
      </c>
      <c r="G27" s="6">
        <v>102862</v>
      </c>
      <c r="H27" s="6">
        <v>3425</v>
      </c>
      <c r="I27" s="7"/>
      <c r="J27" s="7"/>
      <c r="K27" s="7">
        <v>45</v>
      </c>
      <c r="L27" s="7">
        <v>10</v>
      </c>
      <c r="M27" s="7" t="s">
        <v>33</v>
      </c>
      <c r="N27" s="7" t="s">
        <v>183</v>
      </c>
      <c r="O27" s="7" t="s">
        <v>184</v>
      </c>
      <c r="P27" s="7"/>
      <c r="Q27" s="7" t="s">
        <v>179</v>
      </c>
      <c r="R27" s="7"/>
      <c r="S27" s="7"/>
      <c r="T27" s="7"/>
      <c r="U27" s="7">
        <f>1+1+1+1</f>
        <v>4</v>
      </c>
      <c r="V27" s="8"/>
      <c r="W27" s="7"/>
      <c r="X27" s="7"/>
      <c r="Y27" s="7" t="s">
        <v>67</v>
      </c>
      <c r="Z27" s="9">
        <f>2+1+2+1+2</f>
        <v>8</v>
      </c>
      <c r="AA27" s="10"/>
      <c r="AB27" s="9">
        <f>+Z27+1+1+1+1</f>
        <v>12</v>
      </c>
      <c r="AC27" s="10"/>
      <c r="AD27" s="9">
        <f>+Z27*2</f>
        <v>16</v>
      </c>
      <c r="AE27" s="10"/>
      <c r="AF27" s="7"/>
      <c r="AG27" s="7"/>
      <c r="AH27" s="7">
        <f>258+32.2/2</f>
        <v>274.10000000000002</v>
      </c>
      <c r="AI27" s="7"/>
      <c r="AJ27" s="11"/>
      <c r="AK27" s="12"/>
      <c r="AL27" s="13">
        <v>466.38</v>
      </c>
      <c r="AM27" s="13">
        <v>0.56000000000000005</v>
      </c>
      <c r="AN27" s="13">
        <f>+AH27/AL27</f>
        <v>0.58771816973283597</v>
      </c>
      <c r="AO27" s="13"/>
      <c r="AP27" s="13">
        <f>+(5*330729+264509*5+5*198410+132292*5)/20*AH27</f>
        <v>63450038.500000007</v>
      </c>
      <c r="AQ27" s="67">
        <v>1149478.31</v>
      </c>
      <c r="AR27" s="13" t="s">
        <v>180</v>
      </c>
      <c r="AS27" s="15" t="s">
        <v>185</v>
      </c>
      <c r="AT27" s="16">
        <v>45709</v>
      </c>
      <c r="AU27" s="17"/>
      <c r="AV27" s="18">
        <v>45365</v>
      </c>
      <c r="AW27" s="19"/>
      <c r="AX27" s="19"/>
      <c r="AY27" s="19"/>
      <c r="AZ27" s="19"/>
      <c r="BA27" s="19"/>
      <c r="BB27" s="19"/>
      <c r="BC27" s="19"/>
      <c r="BD27" s="19"/>
      <c r="BE27" s="19"/>
      <c r="BF27" s="19"/>
      <c r="BG27" s="19"/>
      <c r="BH27" s="20"/>
      <c r="BI27" s="20"/>
      <c r="BJ27" s="20"/>
      <c r="BK27" s="20"/>
      <c r="BL27" s="20"/>
      <c r="BM27" s="20"/>
      <c r="BN27" s="20"/>
      <c r="BO27" s="20"/>
      <c r="BP27" s="20"/>
      <c r="BQ27" s="20"/>
      <c r="BR27" s="20"/>
      <c r="BS27" s="20"/>
      <c r="BT27" s="20"/>
      <c r="BU27" s="20"/>
      <c r="BV27" s="20"/>
      <c r="BW27" s="20"/>
      <c r="IQ27" s="20"/>
      <c r="IR27" s="20"/>
      <c r="IS27" s="20"/>
      <c r="IT27" s="20"/>
      <c r="IU27" s="20"/>
      <c r="IV27" s="20"/>
      <c r="IW27" s="20"/>
    </row>
    <row r="28" spans="1:257" s="21" customFormat="1" ht="102">
      <c r="A28" s="65"/>
      <c r="B28" s="22">
        <v>26</v>
      </c>
      <c r="C28" s="68">
        <v>569615</v>
      </c>
      <c r="D28" s="4">
        <v>45677</v>
      </c>
      <c r="E28" s="5" t="s">
        <v>32</v>
      </c>
      <c r="F28" s="6">
        <v>21794</v>
      </c>
      <c r="G28" s="6">
        <v>110919</v>
      </c>
      <c r="H28" s="6">
        <v>31213</v>
      </c>
      <c r="I28" s="7">
        <v>75</v>
      </c>
      <c r="J28" s="7"/>
      <c r="K28" s="7">
        <v>1</v>
      </c>
      <c r="L28" s="7">
        <v>1</v>
      </c>
      <c r="M28" s="7" t="s">
        <v>186</v>
      </c>
      <c r="N28" s="7" t="s">
        <v>187</v>
      </c>
      <c r="O28" s="7" t="s">
        <v>188</v>
      </c>
      <c r="P28" s="7"/>
      <c r="Q28" s="7" t="s">
        <v>189</v>
      </c>
      <c r="R28" s="7"/>
      <c r="S28" s="7"/>
      <c r="T28" s="7"/>
      <c r="U28" s="7">
        <v>3</v>
      </c>
      <c r="V28" s="8"/>
      <c r="W28" s="7"/>
      <c r="X28" s="7"/>
      <c r="Y28" s="7" t="s">
        <v>190</v>
      </c>
      <c r="Z28" s="9">
        <v>4</v>
      </c>
      <c r="AA28" s="10"/>
      <c r="AB28" s="9">
        <f>+Z28+1</f>
        <v>5</v>
      </c>
      <c r="AC28" s="10"/>
      <c r="AD28" s="9">
        <f>+Z28*2</f>
        <v>8</v>
      </c>
      <c r="AE28" s="10"/>
      <c r="AF28" s="7">
        <f>95.36+3.35/2</f>
        <v>97.034999999999997</v>
      </c>
      <c r="AG28" s="7">
        <v>328.89</v>
      </c>
      <c r="AH28" s="7"/>
      <c r="AI28" s="7">
        <v>474</v>
      </c>
      <c r="AJ28" s="11"/>
      <c r="AK28" s="12"/>
      <c r="AL28" s="13">
        <v>4316.25</v>
      </c>
      <c r="AM28" s="13">
        <f>+(95.36+3.35+328.89+474)/AL28</f>
        <v>0.20888502751230811</v>
      </c>
      <c r="AN28" s="13">
        <f>+(AF28+AG28+AI28)/AL28</f>
        <v>0.20849695916594266</v>
      </c>
      <c r="AO28" s="13"/>
      <c r="AP28" s="13">
        <v>29000000</v>
      </c>
      <c r="AQ28" s="67">
        <v>447231</v>
      </c>
      <c r="AR28" s="13" t="s">
        <v>38</v>
      </c>
      <c r="AS28" s="15" t="s">
        <v>191</v>
      </c>
      <c r="AT28" s="16">
        <v>45713</v>
      </c>
      <c r="AU28" s="17"/>
      <c r="AV28" s="18">
        <v>45688</v>
      </c>
      <c r="AW28" s="19"/>
      <c r="AX28" s="19"/>
      <c r="AY28" s="19"/>
      <c r="AZ28" s="19"/>
      <c r="BA28" s="19"/>
      <c r="BB28" s="19"/>
      <c r="BC28" s="19"/>
      <c r="BD28" s="19"/>
      <c r="BE28" s="19"/>
      <c r="BF28" s="19"/>
      <c r="BG28" s="19"/>
      <c r="BH28" s="20"/>
      <c r="BI28" s="20"/>
      <c r="BJ28" s="20"/>
      <c r="BK28" s="20"/>
      <c r="BL28" s="20"/>
      <c r="BM28" s="20"/>
      <c r="BN28" s="20"/>
      <c r="BO28" s="20"/>
      <c r="BP28" s="20"/>
      <c r="BQ28" s="20"/>
      <c r="BR28" s="20"/>
      <c r="BS28" s="20"/>
      <c r="BT28" s="20"/>
      <c r="BU28" s="20"/>
      <c r="BV28" s="20"/>
      <c r="BW28" s="20"/>
      <c r="IQ28" s="20"/>
      <c r="IR28" s="20"/>
      <c r="IS28" s="20"/>
      <c r="IT28" s="20"/>
      <c r="IU28" s="20"/>
      <c r="IV28" s="20"/>
      <c r="IW28" s="20"/>
    </row>
    <row r="29" spans="1:257" s="21" customFormat="1" ht="51">
      <c r="A29" s="65"/>
      <c r="B29" s="22">
        <v>27</v>
      </c>
      <c r="C29" s="68">
        <v>568805</v>
      </c>
      <c r="D29" s="4">
        <v>45644</v>
      </c>
      <c r="E29" s="5" t="s">
        <v>48</v>
      </c>
      <c r="F29" s="6">
        <v>62167</v>
      </c>
      <c r="G29" s="6">
        <v>134543</v>
      </c>
      <c r="H29" s="6">
        <v>31372</v>
      </c>
      <c r="I29" s="7">
        <v>310</v>
      </c>
      <c r="J29" s="7"/>
      <c r="K29" s="7">
        <v>3</v>
      </c>
      <c r="L29" s="7">
        <v>5</v>
      </c>
      <c r="M29" s="7" t="s">
        <v>41</v>
      </c>
      <c r="N29" s="7" t="s">
        <v>192</v>
      </c>
      <c r="O29" s="7" t="s">
        <v>193</v>
      </c>
      <c r="P29" s="7"/>
      <c r="Q29" s="7" t="s">
        <v>93</v>
      </c>
      <c r="R29" s="7" t="s">
        <v>93</v>
      </c>
      <c r="S29" s="7" t="s">
        <v>93</v>
      </c>
      <c r="T29" s="7" t="s">
        <v>194</v>
      </c>
      <c r="U29" s="7"/>
      <c r="V29" s="8">
        <v>1</v>
      </c>
      <c r="W29" s="7"/>
      <c r="X29" s="7"/>
      <c r="Y29" s="7" t="s">
        <v>37</v>
      </c>
      <c r="Z29" s="9"/>
      <c r="AA29" s="10">
        <v>2</v>
      </c>
      <c r="AB29" s="9"/>
      <c r="AC29" s="10">
        <f>+AA29+1</f>
        <v>3</v>
      </c>
      <c r="AD29" s="9"/>
      <c r="AE29" s="10">
        <f>+AA29*2</f>
        <v>4</v>
      </c>
      <c r="AF29" s="7"/>
      <c r="AG29" s="7"/>
      <c r="AH29" s="7"/>
      <c r="AI29" s="7"/>
      <c r="AJ29" s="11">
        <f>86.4+43.51/2</f>
        <v>108.155</v>
      </c>
      <c r="AK29" s="12"/>
      <c r="AL29" s="13">
        <v>964.12</v>
      </c>
      <c r="AM29" s="13">
        <f>+(86.4+43.51)/AL29</f>
        <v>0.13474463759697963</v>
      </c>
      <c r="AN29" s="13">
        <f>+AJ29/AL29</f>
        <v>0.11218001908476123</v>
      </c>
      <c r="AO29" s="13"/>
      <c r="AP29" s="13">
        <f>+(2*346505+277126*5+207874*7+138602*7)/21*AJ29</f>
        <v>23196528.174285714</v>
      </c>
      <c r="AQ29" s="67">
        <v>111134.01</v>
      </c>
      <c r="AR29" s="13" t="s">
        <v>45</v>
      </c>
      <c r="AS29" s="15" t="s">
        <v>195</v>
      </c>
      <c r="AT29" s="16">
        <v>45713</v>
      </c>
      <c r="AU29" s="17"/>
      <c r="AV29" s="18" t="s">
        <v>196</v>
      </c>
      <c r="AW29" s="19"/>
      <c r="AX29" s="19"/>
      <c r="AY29" s="19"/>
      <c r="AZ29" s="19"/>
      <c r="BA29" s="19"/>
      <c r="BB29" s="19"/>
      <c r="BC29" s="19"/>
      <c r="BD29" s="19"/>
      <c r="BE29" s="19"/>
      <c r="BF29" s="19"/>
      <c r="BG29" s="19"/>
      <c r="BH29" s="20"/>
      <c r="BI29" s="20"/>
      <c r="BJ29" s="20"/>
      <c r="BK29" s="20"/>
      <c r="BL29" s="20"/>
      <c r="BM29" s="20"/>
      <c r="BN29" s="20"/>
      <c r="BO29" s="20"/>
      <c r="BP29" s="20"/>
      <c r="BQ29" s="20"/>
      <c r="BR29" s="20"/>
      <c r="BS29" s="20"/>
      <c r="BT29" s="20"/>
      <c r="BU29" s="20"/>
      <c r="BV29" s="20"/>
      <c r="BW29" s="20"/>
      <c r="IQ29" s="20"/>
      <c r="IR29" s="20"/>
      <c r="IS29" s="20"/>
      <c r="IT29" s="20"/>
      <c r="IU29" s="20"/>
      <c r="IV29" s="20"/>
      <c r="IW29" s="20"/>
    </row>
    <row r="30" spans="1:257" s="21" customFormat="1" ht="76.5">
      <c r="A30" s="65"/>
      <c r="B30" s="22">
        <v>28</v>
      </c>
      <c r="C30" s="69" t="s">
        <v>197</v>
      </c>
      <c r="D30" s="4">
        <v>45652</v>
      </c>
      <c r="E30" s="5" t="s">
        <v>48</v>
      </c>
      <c r="F30" s="6">
        <v>5504</v>
      </c>
      <c r="G30" s="6">
        <v>468</v>
      </c>
      <c r="H30" s="6">
        <v>1236</v>
      </c>
      <c r="I30" s="7"/>
      <c r="J30" s="7"/>
      <c r="K30" s="7">
        <v>37</v>
      </c>
      <c r="L30" s="7">
        <v>12</v>
      </c>
      <c r="M30" s="7" t="s">
        <v>57</v>
      </c>
      <c r="N30" s="7" t="s">
        <v>198</v>
      </c>
      <c r="O30" s="7" t="s">
        <v>199</v>
      </c>
      <c r="P30" s="7"/>
      <c r="Q30" s="7" t="s">
        <v>113</v>
      </c>
      <c r="R30" s="7" t="s">
        <v>113</v>
      </c>
      <c r="S30" s="7" t="s">
        <v>113</v>
      </c>
      <c r="T30" s="7" t="s">
        <v>200</v>
      </c>
      <c r="U30" s="7"/>
      <c r="V30" s="8">
        <v>1</v>
      </c>
      <c r="W30" s="7"/>
      <c r="X30" s="7"/>
      <c r="Y30" s="7" t="s">
        <v>37</v>
      </c>
      <c r="Z30" s="9"/>
      <c r="AA30" s="10">
        <v>2</v>
      </c>
      <c r="AB30" s="9"/>
      <c r="AC30" s="10">
        <f>+AA30+1</f>
        <v>3</v>
      </c>
      <c r="AD30" s="9"/>
      <c r="AE30" s="10">
        <f>+AA30*2</f>
        <v>4</v>
      </c>
      <c r="AF30" s="7"/>
      <c r="AG30" s="7"/>
      <c r="AH30" s="7"/>
      <c r="AI30" s="7"/>
      <c r="AJ30" s="11">
        <f>125.5+96.3/2</f>
        <v>173.65</v>
      </c>
      <c r="AK30" s="12"/>
      <c r="AL30" s="13">
        <v>577.62</v>
      </c>
      <c r="AM30" s="13">
        <f>+(125.5+96.3)/AL30</f>
        <v>0.38398947404868256</v>
      </c>
      <c r="AN30" s="13">
        <f>+AJ30/AL30</f>
        <v>0.30063017208545412</v>
      </c>
      <c r="AO30" s="13"/>
      <c r="AP30" s="13">
        <f>+(11*346505+277126*6+207874*3+1*138602)/21*AJ30</f>
        <v>51570204.892857149</v>
      </c>
      <c r="AQ30" s="67">
        <v>204761.57</v>
      </c>
      <c r="AR30" s="13" t="s">
        <v>45</v>
      </c>
      <c r="AS30" s="15" t="s">
        <v>201</v>
      </c>
      <c r="AT30" s="16">
        <v>45713</v>
      </c>
      <c r="AU30" s="17"/>
      <c r="AV30" s="18" t="s">
        <v>202</v>
      </c>
      <c r="AW30" s="19"/>
      <c r="AX30" s="19"/>
      <c r="AY30" s="19"/>
      <c r="AZ30" s="19"/>
      <c r="BA30" s="19"/>
      <c r="BB30" s="19"/>
      <c r="BC30" s="19"/>
      <c r="BD30" s="19"/>
      <c r="BE30" s="19"/>
      <c r="BF30" s="19"/>
      <c r="BG30" s="19"/>
      <c r="BH30" s="20"/>
      <c r="BI30" s="20"/>
      <c r="BJ30" s="20"/>
      <c r="BK30" s="20"/>
      <c r="BL30" s="20"/>
      <c r="BM30" s="20"/>
      <c r="BN30" s="20"/>
      <c r="BO30" s="20"/>
      <c r="BP30" s="20"/>
      <c r="BQ30" s="20"/>
      <c r="BR30" s="20"/>
      <c r="BS30" s="20"/>
      <c r="BT30" s="20"/>
      <c r="BU30" s="20"/>
      <c r="BV30" s="20"/>
      <c r="BW30" s="20"/>
      <c r="IQ30" s="20"/>
      <c r="IR30" s="20"/>
      <c r="IS30" s="20"/>
      <c r="IT30" s="20"/>
      <c r="IU30" s="20"/>
      <c r="IV30" s="20"/>
      <c r="IW30" s="20"/>
    </row>
    <row r="31" spans="1:257" s="21" customFormat="1" ht="76.5">
      <c r="A31" s="65"/>
      <c r="B31" s="22">
        <v>29</v>
      </c>
      <c r="C31" s="69" t="s">
        <v>203</v>
      </c>
      <c r="D31" s="4">
        <v>45664</v>
      </c>
      <c r="E31" s="5" t="s">
        <v>32</v>
      </c>
      <c r="F31" s="6">
        <v>1</v>
      </c>
      <c r="G31" s="6">
        <v>168767</v>
      </c>
      <c r="H31" s="6">
        <v>33968</v>
      </c>
      <c r="I31" s="7">
        <v>327</v>
      </c>
      <c r="J31" s="7"/>
      <c r="K31" s="7">
        <v>5</v>
      </c>
      <c r="L31" s="7">
        <v>15</v>
      </c>
      <c r="M31" s="7" t="s">
        <v>33</v>
      </c>
      <c r="N31" s="7" t="s">
        <v>204</v>
      </c>
      <c r="O31" s="7" t="s">
        <v>205</v>
      </c>
      <c r="P31" s="7"/>
      <c r="Q31" s="7" t="s">
        <v>206</v>
      </c>
      <c r="R31" s="7"/>
      <c r="S31" s="7"/>
      <c r="T31" s="7"/>
      <c r="U31" s="7">
        <f>1+2</f>
        <v>3</v>
      </c>
      <c r="V31" s="8"/>
      <c r="W31" s="7"/>
      <c r="X31" s="7"/>
      <c r="Y31" s="7" t="s">
        <v>67</v>
      </c>
      <c r="Z31" s="9">
        <f>1+1+1</f>
        <v>3</v>
      </c>
      <c r="AA31" s="10"/>
      <c r="AB31" s="9">
        <f>+Z31</f>
        <v>3</v>
      </c>
      <c r="AC31" s="10"/>
      <c r="AD31" s="9">
        <f>+Z31*2</f>
        <v>6</v>
      </c>
      <c r="AE31" s="10"/>
      <c r="AF31" s="7">
        <f>36.72+22.32/2</f>
        <v>47.879999999999995</v>
      </c>
      <c r="AG31" s="7"/>
      <c r="AH31" s="7">
        <f>54.61+53.31/2</f>
        <v>81.265000000000001</v>
      </c>
      <c r="AI31" s="7"/>
      <c r="AJ31" s="11"/>
      <c r="AK31" s="12"/>
      <c r="AL31" s="13">
        <v>374.5</v>
      </c>
      <c r="AM31" s="13">
        <f>+(38.72+22.32+54.61+53.31)/AL31</f>
        <v>0.45116154873164221</v>
      </c>
      <c r="AN31" s="13">
        <f>+(AF31+AH31)/AL31</f>
        <v>0.34484646194926566</v>
      </c>
      <c r="AO31" s="13"/>
      <c r="AP31" s="13">
        <f>+(2*346505+3*277126+6*207874+9*138602)/20*AH31</f>
        <v>16330404.9125</v>
      </c>
      <c r="AQ31" s="67">
        <v>255660.18</v>
      </c>
      <c r="AR31" s="13" t="s">
        <v>45</v>
      </c>
      <c r="AS31" s="15" t="s">
        <v>207</v>
      </c>
      <c r="AT31" s="16">
        <v>45713</v>
      </c>
      <c r="AU31" s="17"/>
      <c r="AV31" s="18">
        <v>45666</v>
      </c>
      <c r="AW31" s="19"/>
      <c r="AX31" s="19"/>
      <c r="AY31" s="19"/>
      <c r="AZ31" s="19"/>
      <c r="BA31" s="19"/>
      <c r="BB31" s="19"/>
      <c r="BC31" s="19"/>
      <c r="BD31" s="19"/>
      <c r="BE31" s="19"/>
      <c r="BF31" s="19"/>
      <c r="BG31" s="19"/>
      <c r="BH31" s="20"/>
      <c r="BI31" s="20"/>
      <c r="BJ31" s="20"/>
      <c r="BK31" s="20"/>
      <c r="BL31" s="20"/>
      <c r="BM31" s="20"/>
      <c r="BN31" s="20"/>
      <c r="BO31" s="20"/>
      <c r="BP31" s="20"/>
      <c r="BQ31" s="20"/>
      <c r="BR31" s="20"/>
      <c r="BS31" s="20"/>
      <c r="BT31" s="20"/>
      <c r="BU31" s="20"/>
      <c r="BV31" s="20"/>
      <c r="BW31" s="20"/>
      <c r="IQ31" s="20"/>
      <c r="IR31" s="20"/>
      <c r="IS31" s="20"/>
      <c r="IT31" s="20"/>
      <c r="IU31" s="20"/>
      <c r="IV31" s="20"/>
      <c r="IW31" s="20"/>
    </row>
    <row r="32" spans="1:257" s="21" customFormat="1" ht="63.75">
      <c r="A32" s="65"/>
      <c r="B32" s="22">
        <v>30</v>
      </c>
      <c r="C32" s="70" t="s">
        <v>208</v>
      </c>
      <c r="D32" s="4">
        <v>45607</v>
      </c>
      <c r="E32" s="5" t="s">
        <v>48</v>
      </c>
      <c r="F32" s="6">
        <v>59731</v>
      </c>
      <c r="G32" s="6">
        <v>167964</v>
      </c>
      <c r="H32" s="6">
        <v>33872</v>
      </c>
      <c r="I32" s="7">
        <v>3</v>
      </c>
      <c r="J32" s="7"/>
      <c r="K32" s="7">
        <v>1</v>
      </c>
      <c r="L32" s="7">
        <v>32</v>
      </c>
      <c r="M32" s="7" t="s">
        <v>33</v>
      </c>
      <c r="N32" s="7" t="s">
        <v>49</v>
      </c>
      <c r="O32" s="7" t="s">
        <v>209</v>
      </c>
      <c r="P32" s="7"/>
      <c r="Q32" s="7" t="s">
        <v>210</v>
      </c>
      <c r="R32" s="7" t="s">
        <v>210</v>
      </c>
      <c r="S32" s="7" t="s">
        <v>210</v>
      </c>
      <c r="T32" s="7" t="s">
        <v>211</v>
      </c>
      <c r="U32" s="7"/>
      <c r="V32" s="8">
        <v>1</v>
      </c>
      <c r="W32" s="7"/>
      <c r="X32" s="7"/>
      <c r="Y32" s="7" t="s">
        <v>37</v>
      </c>
      <c r="Z32" s="9">
        <f>2+1</f>
        <v>3</v>
      </c>
      <c r="AA32" s="10"/>
      <c r="AB32" s="9">
        <f>+Z32+1</f>
        <v>4</v>
      </c>
      <c r="AC32" s="10"/>
      <c r="AD32" s="9">
        <f>+Z32*2</f>
        <v>6</v>
      </c>
      <c r="AE32" s="10"/>
      <c r="AF32" s="7"/>
      <c r="AG32" s="7"/>
      <c r="AH32" s="7"/>
      <c r="AI32" s="7"/>
      <c r="AJ32" s="11">
        <f>78.88/2+100.93+41.07</f>
        <v>181.44</v>
      </c>
      <c r="AK32" s="12"/>
      <c r="AL32" s="13">
        <v>800</v>
      </c>
      <c r="AM32" s="13">
        <f>+(78.88+100.93)/AL32</f>
        <v>0.2247625</v>
      </c>
      <c r="AN32" s="13">
        <f>+AJ32/AL32</f>
        <v>0.2268</v>
      </c>
      <c r="AO32" s="13"/>
      <c r="AP32" s="13">
        <f>+(16807950.55)</f>
        <v>16807950.550000001</v>
      </c>
      <c r="AQ32" s="67">
        <v>186794.21</v>
      </c>
      <c r="AR32" s="13"/>
      <c r="AS32" s="15" t="s">
        <v>212</v>
      </c>
      <c r="AT32" s="16">
        <v>45716</v>
      </c>
      <c r="AU32" s="17"/>
      <c r="AV32" s="18" t="s">
        <v>213</v>
      </c>
      <c r="AW32" s="19"/>
      <c r="AX32" s="19"/>
      <c r="AY32" s="19"/>
      <c r="AZ32" s="19"/>
      <c r="BA32" s="19"/>
      <c r="BB32" s="19"/>
      <c r="BC32" s="19"/>
      <c r="BD32" s="20"/>
      <c r="BE32" s="20"/>
      <c r="BF32" s="20"/>
      <c r="BG32" s="20"/>
      <c r="BH32" s="20"/>
      <c r="BI32" s="20"/>
      <c r="BJ32" s="20"/>
      <c r="BK32" s="20"/>
      <c r="BL32" s="20"/>
      <c r="BM32" s="20"/>
      <c r="BN32" s="20"/>
      <c r="BO32" s="20"/>
      <c r="BP32" s="20"/>
      <c r="BQ32" s="20"/>
      <c r="BR32" s="20"/>
      <c r="BS32" s="20"/>
      <c r="IM32" s="20"/>
      <c r="IN32" s="20"/>
      <c r="IO32" s="20"/>
      <c r="IP32" s="20"/>
      <c r="IQ32" s="20"/>
      <c r="IR32" s="20"/>
      <c r="IS32" s="20"/>
    </row>
    <row r="33" spans="1:257" s="46" customFormat="1" ht="51">
      <c r="A33" s="65"/>
      <c r="B33" s="163">
        <v>31</v>
      </c>
      <c r="C33" s="71" t="s">
        <v>214</v>
      </c>
      <c r="D33" s="24">
        <v>45435</v>
      </c>
      <c r="E33" s="145" t="s">
        <v>48</v>
      </c>
      <c r="F33" s="6">
        <v>49499</v>
      </c>
      <c r="G33" s="6">
        <v>474</v>
      </c>
      <c r="H33" s="6">
        <v>4187</v>
      </c>
      <c r="I33" s="7"/>
      <c r="J33" s="7"/>
      <c r="K33" s="26">
        <v>86</v>
      </c>
      <c r="L33" s="7">
        <v>10</v>
      </c>
      <c r="M33" s="26" t="s">
        <v>33</v>
      </c>
      <c r="N33" s="7" t="s">
        <v>215</v>
      </c>
      <c r="O33" s="26" t="s">
        <v>216</v>
      </c>
      <c r="P33" s="77" t="s">
        <v>217</v>
      </c>
      <c r="Q33" s="7" t="s">
        <v>218</v>
      </c>
      <c r="R33" s="7" t="s">
        <v>218</v>
      </c>
      <c r="S33" s="7" t="s">
        <v>218</v>
      </c>
      <c r="T33" s="7" t="s">
        <v>217</v>
      </c>
      <c r="U33" s="7"/>
      <c r="V33" s="8">
        <v>12</v>
      </c>
      <c r="W33" s="7"/>
      <c r="X33" s="7"/>
      <c r="Y33" s="26" t="s">
        <v>219</v>
      </c>
      <c r="Z33" s="9"/>
      <c r="AA33" s="10">
        <v>12</v>
      </c>
      <c r="AB33" s="9"/>
      <c r="AC33" s="10">
        <f>+AA33+12</f>
        <v>24</v>
      </c>
      <c r="AD33" s="9"/>
      <c r="AE33" s="10">
        <f>+AA33*2</f>
        <v>24</v>
      </c>
      <c r="AF33" s="7"/>
      <c r="AG33" s="7"/>
      <c r="AH33" s="7"/>
      <c r="AI33" s="7"/>
      <c r="AJ33" s="11">
        <f>229.51*4+(4.3/2)*4+(10.32/2)*4+18.4</f>
        <v>965.68</v>
      </c>
      <c r="AK33" s="12"/>
      <c r="AL33" s="13">
        <v>333.66</v>
      </c>
      <c r="AM33" s="13">
        <f>+(4.3+217.37+30.1+10.36)/AL33</f>
        <v>0.78562009230953656</v>
      </c>
      <c r="AN33" s="13">
        <f>+AJ33/AL33</f>
        <v>2.8942036803932143</v>
      </c>
      <c r="AO33" s="13"/>
      <c r="AP33" s="13"/>
      <c r="AQ33" s="67"/>
      <c r="AR33" s="13" t="s">
        <v>220</v>
      </c>
      <c r="AS33" s="15" t="s">
        <v>221</v>
      </c>
      <c r="AT33" s="16"/>
      <c r="AU33" s="17"/>
      <c r="AV33" s="18"/>
      <c r="AW33" s="44"/>
      <c r="AX33" s="44"/>
      <c r="AY33" s="44"/>
      <c r="AZ33" s="44"/>
      <c r="BA33" s="44"/>
      <c r="BB33" s="44"/>
      <c r="BC33" s="44"/>
      <c r="BD33" s="45"/>
      <c r="BE33" s="45"/>
      <c r="BF33" s="45"/>
      <c r="BG33" s="45"/>
      <c r="BH33" s="45"/>
      <c r="BI33" s="45"/>
      <c r="BJ33" s="45"/>
      <c r="BK33" s="45"/>
      <c r="BL33" s="45"/>
      <c r="BM33" s="45"/>
      <c r="BN33" s="45"/>
      <c r="BO33" s="45"/>
      <c r="BP33" s="45"/>
      <c r="BQ33" s="45"/>
      <c r="BR33" s="45"/>
      <c r="BS33" s="45"/>
      <c r="IM33" s="45"/>
      <c r="IN33" s="45"/>
      <c r="IO33" s="45"/>
      <c r="IP33" s="45"/>
      <c r="IQ33" s="45"/>
      <c r="IR33" s="45"/>
      <c r="IS33" s="45"/>
    </row>
    <row r="34" spans="1:257" s="21" customFormat="1" ht="76.5">
      <c r="A34" s="72"/>
      <c r="B34" s="2"/>
      <c r="C34" s="3"/>
      <c r="D34" s="73"/>
      <c r="E34" s="164"/>
      <c r="F34" s="6">
        <v>14195</v>
      </c>
      <c r="G34" s="6">
        <v>475</v>
      </c>
      <c r="H34" s="6">
        <v>4188</v>
      </c>
      <c r="I34" s="7"/>
      <c r="J34" s="7"/>
      <c r="K34" s="7">
        <v>86</v>
      </c>
      <c r="L34" s="7">
        <v>9</v>
      </c>
      <c r="M34" s="7" t="s">
        <v>33</v>
      </c>
      <c r="N34" s="7" t="s">
        <v>222</v>
      </c>
      <c r="O34" s="7" t="s">
        <v>223</v>
      </c>
      <c r="P34" s="164"/>
      <c r="Q34" s="7"/>
      <c r="R34" s="7"/>
      <c r="S34" s="7"/>
      <c r="T34" s="7"/>
      <c r="U34" s="7"/>
      <c r="V34" s="11">
        <v>18</v>
      </c>
      <c r="W34" s="7"/>
      <c r="X34" s="7"/>
      <c r="Y34" s="7" t="s">
        <v>67</v>
      </c>
      <c r="Z34" s="9"/>
      <c r="AA34" s="49">
        <f>5*2+6*2</f>
        <v>22</v>
      </c>
      <c r="AB34" s="9"/>
      <c r="AC34" s="49">
        <f>+AA34+18</f>
        <v>40</v>
      </c>
      <c r="AD34" s="9"/>
      <c r="AE34" s="49">
        <f>+AA34*2</f>
        <v>44</v>
      </c>
      <c r="AF34" s="7"/>
      <c r="AG34" s="7"/>
      <c r="AH34" s="7"/>
      <c r="AI34" s="7"/>
      <c r="AJ34" s="11">
        <f>164.61/2+12.8/2+4.34/2+((164.61+2.6/2+12.8/2)*4)</f>
        <v>780.11500000000012</v>
      </c>
      <c r="AK34" s="12"/>
      <c r="AL34" s="13">
        <v>479.82</v>
      </c>
      <c r="AM34" s="13">
        <f>+(164.61+4.34+12.8)/AL34</f>
        <v>0.37878787878787884</v>
      </c>
      <c r="AN34" s="13">
        <f>+((164.61+4.34/2+12.8/2)*4)/AL34</f>
        <v>1.4437080571881122</v>
      </c>
      <c r="AO34" s="13"/>
      <c r="AP34" s="13">
        <f>1750000+((2*118292+4*94607+12*70965+47317*3)/21*AJ34)</f>
        <v>61504691.545000009</v>
      </c>
      <c r="AQ34" s="67">
        <v>3210330.15</v>
      </c>
      <c r="AR34" s="13" t="s">
        <v>220</v>
      </c>
      <c r="AS34" s="15" t="s">
        <v>224</v>
      </c>
      <c r="AT34" s="16">
        <v>45716</v>
      </c>
      <c r="AU34" s="17"/>
      <c r="AV34" s="74" t="s">
        <v>225</v>
      </c>
      <c r="AW34" s="19"/>
      <c r="AX34" s="19"/>
      <c r="AY34" s="19"/>
      <c r="AZ34" s="19"/>
      <c r="BA34" s="19"/>
      <c r="BB34" s="19"/>
      <c r="BC34" s="19"/>
      <c r="BD34" s="20"/>
      <c r="BE34" s="20"/>
      <c r="BF34" s="20"/>
      <c r="BG34" s="20"/>
      <c r="BH34" s="20"/>
      <c r="BI34" s="20"/>
      <c r="BJ34" s="20"/>
      <c r="BK34" s="20"/>
      <c r="BL34" s="20"/>
      <c r="BM34" s="20"/>
      <c r="BN34" s="20"/>
      <c r="BO34" s="20"/>
      <c r="BP34" s="20"/>
      <c r="BQ34" s="20"/>
      <c r="BR34" s="20"/>
      <c r="BS34" s="20"/>
      <c r="IM34" s="20"/>
      <c r="IN34" s="20"/>
      <c r="IO34" s="20"/>
      <c r="IP34" s="20"/>
      <c r="IQ34" s="20"/>
      <c r="IR34" s="20"/>
      <c r="IS34" s="20"/>
    </row>
    <row r="35" spans="1:257" s="21" customFormat="1" ht="63.75">
      <c r="A35" s="75" t="s">
        <v>226</v>
      </c>
      <c r="B35" s="70">
        <v>32</v>
      </c>
      <c r="C35" s="68">
        <v>569713</v>
      </c>
      <c r="D35" s="4">
        <v>45679</v>
      </c>
      <c r="E35" s="5" t="s">
        <v>48</v>
      </c>
      <c r="F35" s="6">
        <v>60410</v>
      </c>
      <c r="G35" s="6">
        <v>158720</v>
      </c>
      <c r="H35" s="6">
        <v>32428</v>
      </c>
      <c r="I35" s="7">
        <v>111</v>
      </c>
      <c r="J35" s="7"/>
      <c r="K35" s="7">
        <v>5</v>
      </c>
      <c r="L35" s="7">
        <v>1</v>
      </c>
      <c r="M35" s="7" t="s">
        <v>75</v>
      </c>
      <c r="N35" s="7" t="s">
        <v>227</v>
      </c>
      <c r="O35" s="7" t="s">
        <v>228</v>
      </c>
      <c r="P35" s="7"/>
      <c r="Q35" s="7" t="s">
        <v>229</v>
      </c>
      <c r="R35" s="7" t="s">
        <v>229</v>
      </c>
      <c r="S35" s="7" t="s">
        <v>229</v>
      </c>
      <c r="T35" s="7" t="s">
        <v>230</v>
      </c>
      <c r="U35" s="7"/>
      <c r="V35" s="8">
        <v>1</v>
      </c>
      <c r="W35" s="7"/>
      <c r="X35" s="7"/>
      <c r="Y35" s="7" t="s">
        <v>37</v>
      </c>
      <c r="Z35" s="9"/>
      <c r="AA35" s="10">
        <v>1</v>
      </c>
      <c r="AB35" s="9"/>
      <c r="AC35" s="10">
        <f>+AA35+1</f>
        <v>2</v>
      </c>
      <c r="AD35" s="9"/>
      <c r="AE35" s="10">
        <f>+AA35*2</f>
        <v>2</v>
      </c>
      <c r="AF35" s="7"/>
      <c r="AG35" s="7"/>
      <c r="AH35" s="7"/>
      <c r="AI35" s="7"/>
      <c r="AJ35" s="11">
        <f>155.06+23.6/2</f>
        <v>166.86</v>
      </c>
      <c r="AK35" s="12"/>
      <c r="AL35" s="13">
        <v>2360</v>
      </c>
      <c r="AM35" s="13">
        <f>+(155.06+23.6)/AL35</f>
        <v>7.5703389830508477E-2</v>
      </c>
      <c r="AN35" s="13">
        <f>+AJ35/AL35</f>
        <v>7.0703389830508487E-2</v>
      </c>
      <c r="AO35" s="13">
        <f>+(12+6+8)/(6+2+2)</f>
        <v>2.6</v>
      </c>
      <c r="AP35" s="13" t="e">
        <f>+(9*330729+264509*6+3*198410+3*132292)/21*[1]Observados!#REF!</f>
        <v>#REF!</v>
      </c>
      <c r="AQ35" s="76">
        <v>176237.5</v>
      </c>
      <c r="AR35" s="13" t="s">
        <v>45</v>
      </c>
      <c r="AS35" s="15" t="s">
        <v>231</v>
      </c>
      <c r="AT35" s="16">
        <v>45734</v>
      </c>
      <c r="AU35" s="17"/>
      <c r="AV35" s="18" t="s">
        <v>232</v>
      </c>
      <c r="AW35" s="19"/>
      <c r="AX35" s="19"/>
      <c r="AY35" s="19"/>
      <c r="AZ35" s="19"/>
      <c r="BA35" s="19"/>
      <c r="BB35" s="19"/>
      <c r="BC35" s="19"/>
      <c r="BD35" s="20"/>
      <c r="BE35" s="20"/>
      <c r="BF35" s="20"/>
      <c r="BG35" s="20"/>
      <c r="BH35" s="20"/>
      <c r="BI35" s="20"/>
      <c r="BJ35" s="20"/>
      <c r="BK35" s="20"/>
      <c r="BL35" s="20"/>
      <c r="BM35" s="20"/>
      <c r="BN35" s="20"/>
      <c r="BO35" s="20"/>
      <c r="BP35" s="20"/>
      <c r="BQ35" s="20"/>
      <c r="BR35" s="20"/>
      <c r="BS35" s="20"/>
      <c r="IM35" s="20"/>
      <c r="IN35" s="20"/>
      <c r="IO35" s="20"/>
      <c r="IP35" s="20"/>
      <c r="IQ35" s="20"/>
      <c r="IR35" s="20"/>
      <c r="IS35" s="20"/>
    </row>
    <row r="36" spans="1:257" s="21" customFormat="1" ht="51">
      <c r="A36" s="75"/>
      <c r="B36" s="70">
        <v>33</v>
      </c>
      <c r="C36" s="68">
        <v>568783</v>
      </c>
      <c r="D36" s="4">
        <v>45643</v>
      </c>
      <c r="E36" s="5" t="s">
        <v>48</v>
      </c>
      <c r="F36" s="6">
        <v>51564</v>
      </c>
      <c r="G36" s="6">
        <v>161373</v>
      </c>
      <c r="H36" s="6">
        <v>32988</v>
      </c>
      <c r="I36" s="7">
        <v>2</v>
      </c>
      <c r="J36" s="7"/>
      <c r="K36" s="7">
        <v>6</v>
      </c>
      <c r="L36" s="7">
        <v>1</v>
      </c>
      <c r="M36" s="7" t="s">
        <v>41</v>
      </c>
      <c r="N36" s="7" t="s">
        <v>76</v>
      </c>
      <c r="O36" s="7" t="s">
        <v>233</v>
      </c>
      <c r="P36" s="7"/>
      <c r="Q36" s="7" t="s">
        <v>234</v>
      </c>
      <c r="R36" s="7"/>
      <c r="S36" s="7"/>
      <c r="T36" s="7"/>
      <c r="U36" s="7">
        <v>1</v>
      </c>
      <c r="V36" s="8"/>
      <c r="W36" s="7"/>
      <c r="X36" s="7"/>
      <c r="Y36" s="7" t="s">
        <v>37</v>
      </c>
      <c r="Z36" s="9">
        <v>1</v>
      </c>
      <c r="AA36" s="10"/>
      <c r="AB36" s="9">
        <f>+Z36+1</f>
        <v>2</v>
      </c>
      <c r="AC36" s="10"/>
      <c r="AD36" s="9">
        <f>+Z36*2</f>
        <v>2</v>
      </c>
      <c r="AE36" s="10"/>
      <c r="AF36" s="7"/>
      <c r="AG36" s="7"/>
      <c r="AH36" s="7">
        <v>60</v>
      </c>
      <c r="AI36" s="7"/>
      <c r="AJ36" s="11"/>
      <c r="AK36" s="12"/>
      <c r="AL36" s="13">
        <v>1600</v>
      </c>
      <c r="AM36" s="13">
        <f>+AH36/AL36</f>
        <v>3.7499999999999999E-2</v>
      </c>
      <c r="AN36" s="13">
        <f>+AM36</f>
        <v>3.7499999999999999E-2</v>
      </c>
      <c r="AO36" s="13">
        <f>+(2+18+8+12)/(1+6+2+2)</f>
        <v>3.6363636363636362</v>
      </c>
      <c r="AP36" s="13">
        <f>+(346505*2+6*277126+7*207874+5*138602)/20*AH36</f>
        <v>13511682</v>
      </c>
      <c r="AQ36" s="76">
        <v>213400.05</v>
      </c>
      <c r="AR36" s="13" t="s">
        <v>45</v>
      </c>
      <c r="AS36" s="15" t="s">
        <v>235</v>
      </c>
      <c r="AT36" s="16">
        <v>45734</v>
      </c>
      <c r="AU36" s="17"/>
      <c r="AV36" s="18">
        <v>45645</v>
      </c>
      <c r="AW36" s="19"/>
      <c r="AX36" s="19"/>
      <c r="AY36" s="19"/>
      <c r="AZ36" s="19"/>
      <c r="BA36" s="19"/>
      <c r="BB36" s="19"/>
      <c r="BC36" s="19"/>
      <c r="BD36" s="19"/>
      <c r="BE36" s="19"/>
      <c r="BF36" s="19"/>
      <c r="BG36" s="19"/>
      <c r="BH36" s="20"/>
      <c r="BI36" s="20"/>
      <c r="BJ36" s="20"/>
      <c r="BK36" s="20"/>
      <c r="BL36" s="20"/>
      <c r="BM36" s="20"/>
      <c r="BN36" s="20"/>
      <c r="BO36" s="20"/>
      <c r="BP36" s="20"/>
      <c r="BQ36" s="20"/>
      <c r="BR36" s="20"/>
      <c r="BS36" s="20"/>
      <c r="BT36" s="20"/>
      <c r="BU36" s="20"/>
      <c r="BV36" s="20"/>
      <c r="BW36" s="20"/>
      <c r="IQ36" s="20"/>
      <c r="IR36" s="20"/>
      <c r="IS36" s="20"/>
      <c r="IT36" s="20"/>
      <c r="IU36" s="20"/>
      <c r="IV36" s="20"/>
      <c r="IW36" s="20"/>
    </row>
    <row r="37" spans="1:257" s="21" customFormat="1" ht="51">
      <c r="A37" s="75"/>
      <c r="B37" s="70">
        <v>34</v>
      </c>
      <c r="C37" s="68" t="s">
        <v>236</v>
      </c>
      <c r="D37" s="4">
        <v>45636</v>
      </c>
      <c r="E37" s="5" t="s">
        <v>32</v>
      </c>
      <c r="F37" s="6">
        <v>48298</v>
      </c>
      <c r="G37" s="6">
        <v>119867</v>
      </c>
      <c r="H37" s="6">
        <v>6012</v>
      </c>
      <c r="I37" s="7"/>
      <c r="J37" s="7"/>
      <c r="K37" s="7">
        <v>6</v>
      </c>
      <c r="L37" s="7">
        <v>4</v>
      </c>
      <c r="M37" s="7" t="s">
        <v>57</v>
      </c>
      <c r="N37" s="7" t="s">
        <v>237</v>
      </c>
      <c r="O37" s="7" t="s">
        <v>238</v>
      </c>
      <c r="P37" s="7"/>
      <c r="Q37" s="7" t="s">
        <v>239</v>
      </c>
      <c r="R37" s="7"/>
      <c r="S37" s="7"/>
      <c r="T37" s="7"/>
      <c r="U37" s="7">
        <v>1</v>
      </c>
      <c r="V37" s="8"/>
      <c r="W37" s="7"/>
      <c r="X37" s="7"/>
      <c r="Y37" s="7" t="s">
        <v>37</v>
      </c>
      <c r="Z37" s="9">
        <v>1</v>
      </c>
      <c r="AA37" s="10"/>
      <c r="AB37" s="9"/>
      <c r="AC37" s="10"/>
      <c r="AD37" s="9">
        <f>+Z37*2</f>
        <v>2</v>
      </c>
      <c r="AE37" s="10"/>
      <c r="AF37" s="7"/>
      <c r="AG37" s="7"/>
      <c r="AH37" s="7">
        <f>35+13.3</f>
        <v>48.3</v>
      </c>
      <c r="AI37" s="7"/>
      <c r="AJ37" s="11"/>
      <c r="AK37" s="12"/>
      <c r="AL37" s="13">
        <v>394.82</v>
      </c>
      <c r="AM37" s="13">
        <v>0.12</v>
      </c>
      <c r="AN37" s="13">
        <f>+AH37/AL37</f>
        <v>0.12233422825591408</v>
      </c>
      <c r="AO37" s="13"/>
      <c r="AP37" s="13">
        <f>+(1*346505+277126*5+207874*6+9*138602)/20*AH37</f>
        <v>10207714.754999999</v>
      </c>
      <c r="AQ37" s="76">
        <v>142748.03</v>
      </c>
      <c r="AR37" s="13" t="s">
        <v>45</v>
      </c>
      <c r="AS37" s="15" t="s">
        <v>240</v>
      </c>
      <c r="AT37" s="16">
        <v>45734</v>
      </c>
      <c r="AU37" s="17"/>
      <c r="AV37" s="18">
        <v>45727</v>
      </c>
      <c r="AW37" s="19"/>
      <c r="AX37" s="19"/>
      <c r="AY37" s="19"/>
      <c r="AZ37" s="19"/>
      <c r="BA37" s="19"/>
      <c r="BB37" s="19"/>
      <c r="BC37" s="19"/>
      <c r="BD37" s="19"/>
      <c r="BE37" s="19"/>
      <c r="BF37" s="19"/>
      <c r="BG37" s="19"/>
      <c r="BH37" s="20"/>
      <c r="BI37" s="20"/>
      <c r="BJ37" s="20"/>
      <c r="BK37" s="20"/>
      <c r="BL37" s="20"/>
      <c r="BM37" s="20"/>
      <c r="BN37" s="20"/>
      <c r="BO37" s="20"/>
      <c r="BP37" s="20"/>
      <c r="BQ37" s="20"/>
      <c r="BR37" s="20"/>
      <c r="BS37" s="20"/>
      <c r="BT37" s="20"/>
      <c r="BU37" s="20"/>
      <c r="BV37" s="20"/>
      <c r="BW37" s="20"/>
      <c r="IQ37" s="20"/>
      <c r="IR37" s="20"/>
      <c r="IS37" s="20"/>
      <c r="IT37" s="20"/>
      <c r="IU37" s="20"/>
      <c r="IV37" s="20"/>
      <c r="IW37" s="20"/>
    </row>
    <row r="38" spans="1:257" s="21" customFormat="1" ht="63.75">
      <c r="A38" s="75"/>
      <c r="B38" s="22">
        <v>35</v>
      </c>
      <c r="C38" s="68">
        <v>566553</v>
      </c>
      <c r="D38" s="4">
        <v>45581</v>
      </c>
      <c r="E38" s="5" t="s">
        <v>32</v>
      </c>
      <c r="F38" s="6">
        <v>59848</v>
      </c>
      <c r="G38" s="6">
        <v>168064</v>
      </c>
      <c r="H38" s="6">
        <v>21420</v>
      </c>
      <c r="I38" s="7">
        <v>81</v>
      </c>
      <c r="J38" s="7"/>
      <c r="K38" s="7">
        <v>523</v>
      </c>
      <c r="L38" s="7">
        <v>13</v>
      </c>
      <c r="M38" s="7" t="s">
        <v>33</v>
      </c>
      <c r="N38" s="7" t="s">
        <v>241</v>
      </c>
      <c r="O38" s="7" t="s">
        <v>242</v>
      </c>
      <c r="P38" s="7"/>
      <c r="Q38" s="7" t="s">
        <v>243</v>
      </c>
      <c r="R38" s="7"/>
      <c r="S38" s="7"/>
      <c r="T38" s="7"/>
      <c r="U38" s="7">
        <v>1</v>
      </c>
      <c r="V38" s="8"/>
      <c r="W38" s="7"/>
      <c r="X38" s="7"/>
      <c r="Y38" s="7" t="s">
        <v>37</v>
      </c>
      <c r="Z38" s="9">
        <v>2</v>
      </c>
      <c r="AA38" s="10"/>
      <c r="AB38" s="9">
        <f>+Z38+1</f>
        <v>3</v>
      </c>
      <c r="AC38" s="10"/>
      <c r="AD38" s="9">
        <f>+Z38*2</f>
        <v>4</v>
      </c>
      <c r="AE38" s="10"/>
      <c r="AF38" s="7"/>
      <c r="AG38" s="7"/>
      <c r="AH38" s="7">
        <f>57.03+23.19/2+6.3/2+70.24</f>
        <v>142.01499999999999</v>
      </c>
      <c r="AI38" s="7"/>
      <c r="AJ38" s="11"/>
      <c r="AK38" s="12"/>
      <c r="AL38" s="13">
        <v>300</v>
      </c>
      <c r="AM38" s="13">
        <f>+(23.19+57.03)/AL38</f>
        <v>0.26739999999999997</v>
      </c>
      <c r="AN38" s="13">
        <f>+AH38/AL38</f>
        <v>0.47338333333333327</v>
      </c>
      <c r="AO38" s="13"/>
      <c r="AP38" s="13">
        <f>+(8*346505+6*277126+207874*6+2*138602)/22*AH38</f>
        <v>38468274.393636361</v>
      </c>
      <c r="AQ38" s="76">
        <v>569763.59</v>
      </c>
      <c r="AR38" s="13" t="s">
        <v>180</v>
      </c>
      <c r="AS38" s="15" t="s">
        <v>244</v>
      </c>
      <c r="AT38" s="16">
        <v>45734</v>
      </c>
      <c r="AU38" s="17"/>
      <c r="AV38" s="18"/>
      <c r="AW38" s="19"/>
      <c r="AX38" s="19"/>
      <c r="AY38" s="19"/>
      <c r="AZ38" s="19"/>
      <c r="BA38" s="19"/>
      <c r="BB38" s="19"/>
      <c r="BC38" s="19"/>
      <c r="BD38" s="19"/>
      <c r="BE38" s="19"/>
      <c r="BF38" s="19"/>
      <c r="BG38" s="19"/>
      <c r="BH38" s="20"/>
      <c r="BI38" s="20"/>
      <c r="BJ38" s="20"/>
      <c r="BK38" s="20"/>
      <c r="BL38" s="20"/>
      <c r="BM38" s="20"/>
      <c r="BN38" s="20"/>
      <c r="BO38" s="20"/>
      <c r="BP38" s="20"/>
      <c r="BQ38" s="20"/>
      <c r="BR38" s="20"/>
      <c r="BS38" s="20"/>
      <c r="BT38" s="20"/>
      <c r="BU38" s="20"/>
      <c r="BV38" s="20"/>
      <c r="BW38" s="20"/>
      <c r="IQ38" s="20"/>
      <c r="IR38" s="20"/>
      <c r="IS38" s="20"/>
      <c r="IT38" s="20"/>
      <c r="IU38" s="20"/>
      <c r="IV38" s="20"/>
      <c r="IW38" s="20"/>
    </row>
    <row r="39" spans="1:257" s="21" customFormat="1" ht="89.25">
      <c r="A39" s="75"/>
      <c r="B39" s="70">
        <v>36</v>
      </c>
      <c r="C39" s="68" t="s">
        <v>245</v>
      </c>
      <c r="D39" s="4">
        <v>45630</v>
      </c>
      <c r="E39" s="5" t="s">
        <v>32</v>
      </c>
      <c r="F39" s="6">
        <v>45501</v>
      </c>
      <c r="G39" s="6">
        <v>142714</v>
      </c>
      <c r="H39" s="6">
        <v>20808</v>
      </c>
      <c r="I39" s="7">
        <v>49</v>
      </c>
      <c r="J39" s="7"/>
      <c r="K39" s="7">
        <v>410</v>
      </c>
      <c r="L39" s="7">
        <v>2</v>
      </c>
      <c r="M39" s="7" t="s">
        <v>33</v>
      </c>
      <c r="N39" s="7" t="s">
        <v>246</v>
      </c>
      <c r="O39" s="7" t="s">
        <v>247</v>
      </c>
      <c r="P39" s="7"/>
      <c r="Q39" s="7" t="s">
        <v>101</v>
      </c>
      <c r="R39" s="7"/>
      <c r="S39" s="7"/>
      <c r="T39" s="7"/>
      <c r="U39" s="7">
        <v>5</v>
      </c>
      <c r="V39" s="8"/>
      <c r="W39" s="7"/>
      <c r="X39" s="7"/>
      <c r="Y39" s="7" t="s">
        <v>67</v>
      </c>
      <c r="Z39" s="9">
        <f>1+1+2+1+1</f>
        <v>6</v>
      </c>
      <c r="AA39" s="10"/>
      <c r="AB39" s="9"/>
      <c r="AC39" s="10"/>
      <c r="AD39" s="9">
        <f>+Z39*2</f>
        <v>12</v>
      </c>
      <c r="AE39" s="10"/>
      <c r="AF39" s="7"/>
      <c r="AG39" s="7"/>
      <c r="AH39" s="7">
        <f>140.87+62.02/2+55.42</f>
        <v>227.3</v>
      </c>
      <c r="AI39" s="7"/>
      <c r="AJ39" s="11"/>
      <c r="AK39" s="12"/>
      <c r="AL39" s="13">
        <v>307.5</v>
      </c>
      <c r="AM39" s="13">
        <f>+(140.87+62.02)/AL39</f>
        <v>0.65980487804878052</v>
      </c>
      <c r="AN39" s="13">
        <f>+AH39/AL39</f>
        <v>0.73918699186991876</v>
      </c>
      <c r="AO39" s="13"/>
      <c r="AP39" s="13">
        <f>+(8*2+5*3+7*4)/20*AH39</f>
        <v>670.53500000000008</v>
      </c>
      <c r="AQ39" s="76">
        <v>117567.26</v>
      </c>
      <c r="AR39" s="13" t="s">
        <v>45</v>
      </c>
      <c r="AS39" s="15" t="s">
        <v>248</v>
      </c>
      <c r="AT39" s="16">
        <v>45735</v>
      </c>
      <c r="AU39" s="17"/>
      <c r="AV39" s="18">
        <v>45729</v>
      </c>
      <c r="AW39" s="19"/>
      <c r="AX39" s="19"/>
      <c r="AY39" s="19"/>
      <c r="AZ39" s="19"/>
      <c r="BA39" s="19"/>
      <c r="BB39" s="19"/>
      <c r="BC39" s="19"/>
      <c r="BD39" s="19"/>
      <c r="BE39" s="19"/>
      <c r="BF39" s="19"/>
      <c r="BG39" s="19"/>
      <c r="BH39" s="20"/>
      <c r="BI39" s="20"/>
      <c r="BJ39" s="20"/>
      <c r="BK39" s="20"/>
      <c r="BL39" s="20"/>
      <c r="BM39" s="20"/>
      <c r="BN39" s="20"/>
      <c r="BO39" s="20"/>
      <c r="BP39" s="20"/>
      <c r="BQ39" s="20"/>
      <c r="BR39" s="20"/>
      <c r="BS39" s="20"/>
      <c r="BT39" s="20"/>
      <c r="BU39" s="20"/>
      <c r="BV39" s="20"/>
      <c r="BW39" s="20"/>
      <c r="IQ39" s="20"/>
      <c r="IR39" s="20"/>
      <c r="IS39" s="20"/>
      <c r="IT39" s="20"/>
      <c r="IU39" s="20"/>
      <c r="IV39" s="20"/>
      <c r="IW39" s="20"/>
    </row>
    <row r="40" spans="1:257" s="21" customFormat="1" ht="63.75">
      <c r="A40" s="75"/>
      <c r="B40" s="22">
        <v>37</v>
      </c>
      <c r="C40" s="68" t="s">
        <v>249</v>
      </c>
      <c r="D40" s="4">
        <v>45665</v>
      </c>
      <c r="E40" s="5" t="s">
        <v>32</v>
      </c>
      <c r="F40" s="6">
        <v>63371</v>
      </c>
      <c r="G40" s="6">
        <v>575</v>
      </c>
      <c r="H40" s="6">
        <v>4566</v>
      </c>
      <c r="I40" s="7"/>
      <c r="J40" s="7"/>
      <c r="K40" s="7">
        <v>169</v>
      </c>
      <c r="L40" s="7">
        <v>12</v>
      </c>
      <c r="M40" s="7" t="s">
        <v>57</v>
      </c>
      <c r="N40" s="7" t="s">
        <v>250</v>
      </c>
      <c r="O40" s="7" t="s">
        <v>251</v>
      </c>
      <c r="P40" s="7"/>
      <c r="Q40" s="7" t="s">
        <v>252</v>
      </c>
      <c r="R40" s="7"/>
      <c r="S40" s="7"/>
      <c r="T40" s="7"/>
      <c r="U40" s="7">
        <v>2</v>
      </c>
      <c r="V40" s="8"/>
      <c r="W40" s="7"/>
      <c r="X40" s="7"/>
      <c r="Y40" s="7" t="s">
        <v>85</v>
      </c>
      <c r="Z40" s="9"/>
      <c r="AA40" s="10"/>
      <c r="AB40" s="9"/>
      <c r="AC40" s="10"/>
      <c r="AD40" s="9"/>
      <c r="AE40" s="10"/>
      <c r="AF40" s="7"/>
      <c r="AG40" s="7">
        <v>214.5</v>
      </c>
      <c r="AH40" s="7"/>
      <c r="AI40" s="7">
        <f>400.57+10.33/2</f>
        <v>405.73500000000001</v>
      </c>
      <c r="AJ40" s="11"/>
      <c r="AK40" s="12"/>
      <c r="AL40" s="13">
        <v>688.07</v>
      </c>
      <c r="AM40" s="13">
        <f>+(400.57+10.33+214.5)/AL40</f>
        <v>0.90891915066780982</v>
      </c>
      <c r="AN40" s="13">
        <f>+(AG40+AI40)/AL40</f>
        <v>0.90141264696905832</v>
      </c>
      <c r="AO40" s="13"/>
      <c r="AP40" s="13">
        <v>105573005</v>
      </c>
      <c r="AQ40" s="76">
        <v>1538108.97</v>
      </c>
      <c r="AR40" s="13" t="s">
        <v>45</v>
      </c>
      <c r="AS40" s="15" t="s">
        <v>253</v>
      </c>
      <c r="AT40" s="16">
        <v>45735</v>
      </c>
      <c r="AU40" s="17"/>
      <c r="AV40" s="18" t="s">
        <v>254</v>
      </c>
      <c r="AW40" s="19"/>
      <c r="AX40" s="19"/>
      <c r="AY40" s="19"/>
      <c r="AZ40" s="19"/>
      <c r="BA40" s="19"/>
      <c r="BB40" s="19"/>
      <c r="BC40" s="19"/>
      <c r="BD40" s="19"/>
      <c r="BE40" s="19"/>
      <c r="BF40" s="19"/>
      <c r="BG40" s="19"/>
      <c r="BH40" s="20"/>
      <c r="BI40" s="20"/>
      <c r="BJ40" s="20"/>
      <c r="BK40" s="20"/>
      <c r="BL40" s="20"/>
      <c r="BM40" s="20"/>
      <c r="BN40" s="20"/>
      <c r="BO40" s="20"/>
      <c r="BP40" s="20"/>
      <c r="BQ40" s="20"/>
      <c r="BR40" s="20"/>
      <c r="BS40" s="20"/>
      <c r="BT40" s="20"/>
      <c r="BU40" s="20"/>
      <c r="BV40" s="20"/>
      <c r="BW40" s="20"/>
      <c r="IQ40" s="20"/>
      <c r="IR40" s="20"/>
      <c r="IS40" s="20"/>
      <c r="IT40" s="20"/>
      <c r="IU40" s="20"/>
      <c r="IV40" s="20"/>
      <c r="IW40" s="20"/>
    </row>
    <row r="41" spans="1:257" s="21" customFormat="1" ht="51">
      <c r="A41" s="75"/>
      <c r="B41" s="22">
        <v>38</v>
      </c>
      <c r="C41" s="68">
        <v>567483</v>
      </c>
      <c r="D41" s="4">
        <v>45602</v>
      </c>
      <c r="E41" s="5" t="s">
        <v>32</v>
      </c>
      <c r="F41" s="6">
        <v>56541</v>
      </c>
      <c r="G41" s="6">
        <v>149475</v>
      </c>
      <c r="H41" s="6">
        <v>20933</v>
      </c>
      <c r="I41" s="7">
        <v>27</v>
      </c>
      <c r="J41" s="7"/>
      <c r="K41" s="7">
        <v>338</v>
      </c>
      <c r="L41" s="7">
        <v>12</v>
      </c>
      <c r="M41" s="7" t="s">
        <v>33</v>
      </c>
      <c r="N41" s="7" t="s">
        <v>255</v>
      </c>
      <c r="O41" s="7" t="s">
        <v>256</v>
      </c>
      <c r="P41" s="7"/>
      <c r="Q41" s="7" t="s">
        <v>257</v>
      </c>
      <c r="R41" s="7"/>
      <c r="S41" s="7"/>
      <c r="T41" s="7"/>
      <c r="U41" s="7">
        <v>1</v>
      </c>
      <c r="V41" s="8"/>
      <c r="W41" s="7"/>
      <c r="X41" s="7"/>
      <c r="Y41" s="7" t="s">
        <v>37</v>
      </c>
      <c r="Z41" s="9">
        <v>1</v>
      </c>
      <c r="AA41" s="10"/>
      <c r="AB41" s="9">
        <f>+Z41+1</f>
        <v>2</v>
      </c>
      <c r="AC41" s="10"/>
      <c r="AD41" s="9">
        <f>+Z41*2</f>
        <v>2</v>
      </c>
      <c r="AE41" s="10"/>
      <c r="AF41" s="7"/>
      <c r="AG41" s="7"/>
      <c r="AH41" s="7">
        <f>30+18+24/2</f>
        <v>60</v>
      </c>
      <c r="AI41" s="7"/>
      <c r="AJ41" s="11"/>
      <c r="AK41" s="12"/>
      <c r="AL41" s="13">
        <v>310.22000000000003</v>
      </c>
      <c r="AM41" s="13">
        <f>+(24+30)/AL41</f>
        <v>0.17407001482818643</v>
      </c>
      <c r="AN41" s="13">
        <f>+AH41/AL41</f>
        <v>0.19341112758687382</v>
      </c>
      <c r="AO41" s="13">
        <f>+(2+15+8+5)/(1+5+2+1)</f>
        <v>3.3333333333333335</v>
      </c>
      <c r="AP41" s="13">
        <f>+(4*253374+9*202642+6*152003+2*101350)/21*AH41</f>
        <v>11291405.714285715</v>
      </c>
      <c r="AQ41" s="76">
        <v>240592.47</v>
      </c>
      <c r="AR41" s="13" t="s">
        <v>45</v>
      </c>
      <c r="AS41" s="15" t="s">
        <v>258</v>
      </c>
      <c r="AT41" s="16">
        <v>45735</v>
      </c>
      <c r="AU41" s="17"/>
      <c r="AV41" s="18">
        <v>45608</v>
      </c>
      <c r="AW41" s="19"/>
      <c r="AX41" s="19"/>
      <c r="AY41" s="19"/>
      <c r="AZ41" s="19"/>
      <c r="BA41" s="19"/>
      <c r="BB41" s="19"/>
      <c r="BC41" s="19"/>
      <c r="BD41" s="19"/>
      <c r="BE41" s="19"/>
      <c r="BF41" s="19"/>
      <c r="BG41" s="19"/>
      <c r="BH41" s="20"/>
      <c r="BI41" s="20"/>
      <c r="BJ41" s="20"/>
      <c r="BK41" s="20"/>
      <c r="BL41" s="20"/>
      <c r="BM41" s="20"/>
      <c r="BN41" s="20"/>
      <c r="BO41" s="20"/>
      <c r="BP41" s="20"/>
      <c r="BQ41" s="20"/>
      <c r="BR41" s="20"/>
      <c r="BS41" s="20"/>
      <c r="BT41" s="20"/>
      <c r="BU41" s="20"/>
      <c r="BV41" s="20"/>
      <c r="BW41" s="20"/>
      <c r="IQ41" s="20"/>
      <c r="IR41" s="20"/>
      <c r="IS41" s="20"/>
      <c r="IT41" s="20"/>
      <c r="IU41" s="20"/>
      <c r="IV41" s="20"/>
      <c r="IW41" s="20"/>
    </row>
    <row r="42" spans="1:257" s="21" customFormat="1" ht="63.75">
      <c r="A42" s="75"/>
      <c r="B42" s="70">
        <v>39</v>
      </c>
      <c r="C42" s="68">
        <v>569867</v>
      </c>
      <c r="D42" s="4">
        <v>45686</v>
      </c>
      <c r="E42" s="5" t="s">
        <v>32</v>
      </c>
      <c r="F42" s="6">
        <v>38675</v>
      </c>
      <c r="G42" s="6">
        <v>1114</v>
      </c>
      <c r="H42" s="6">
        <v>4840</v>
      </c>
      <c r="I42" s="7"/>
      <c r="J42" s="7"/>
      <c r="K42" s="7">
        <v>179</v>
      </c>
      <c r="L42" s="7">
        <v>9</v>
      </c>
      <c r="M42" s="7" t="s">
        <v>33</v>
      </c>
      <c r="N42" s="7" t="s">
        <v>259</v>
      </c>
      <c r="O42" s="7" t="s">
        <v>260</v>
      </c>
      <c r="P42" s="7"/>
      <c r="Q42" s="7" t="s">
        <v>261</v>
      </c>
      <c r="R42" s="7"/>
      <c r="S42" s="7"/>
      <c r="T42" s="7"/>
      <c r="U42" s="7">
        <v>2</v>
      </c>
      <c r="V42" s="8"/>
      <c r="W42" s="7"/>
      <c r="X42" s="7"/>
      <c r="Y42" s="7" t="s">
        <v>67</v>
      </c>
      <c r="Z42" s="9">
        <f>1+1</f>
        <v>2</v>
      </c>
      <c r="AA42" s="10"/>
      <c r="AB42" s="9">
        <f>+Z42+1</f>
        <v>3</v>
      </c>
      <c r="AC42" s="10"/>
      <c r="AD42" s="9">
        <f>+Z42*3</f>
        <v>6</v>
      </c>
      <c r="AE42" s="10"/>
      <c r="AF42" s="7"/>
      <c r="AG42" s="7"/>
      <c r="AH42" s="7">
        <f>69.36+38.31/2</f>
        <v>88.515000000000001</v>
      </c>
      <c r="AI42" s="7"/>
      <c r="AJ42" s="11"/>
      <c r="AK42" s="12"/>
      <c r="AL42" s="13">
        <v>327.2</v>
      </c>
      <c r="AM42" s="13">
        <f>+(69.36+38.31)/AL42</f>
        <v>0.32906479217603912</v>
      </c>
      <c r="AN42" s="13">
        <f>+AH42/AL42</f>
        <v>0.2705226161369193</v>
      </c>
      <c r="AO42" s="13">
        <f>+(2+36)/(1+9)</f>
        <v>3.8</v>
      </c>
      <c r="AP42" s="13">
        <f>+(346505+19*277126+207874*7+3*138602)/30*AH42</f>
        <v>22078069.261499997</v>
      </c>
      <c r="AQ42" s="15">
        <v>240391.65</v>
      </c>
      <c r="AR42" s="13" t="s">
        <v>45</v>
      </c>
      <c r="AS42" s="15" t="s">
        <v>262</v>
      </c>
      <c r="AT42" s="16">
        <v>45736</v>
      </c>
      <c r="AU42" s="17"/>
      <c r="AV42" s="18">
        <v>45693</v>
      </c>
      <c r="AW42" s="19"/>
      <c r="AX42" s="19"/>
      <c r="AY42" s="19"/>
      <c r="AZ42" s="19"/>
      <c r="BA42" s="19"/>
      <c r="BB42" s="19"/>
      <c r="BC42" s="19"/>
      <c r="BD42" s="19"/>
      <c r="BE42" s="19"/>
      <c r="BF42" s="19"/>
      <c r="BG42" s="19"/>
      <c r="BH42" s="20"/>
      <c r="BI42" s="20"/>
      <c r="BJ42" s="20"/>
      <c r="BK42" s="20"/>
      <c r="BL42" s="20"/>
      <c r="BM42" s="20"/>
      <c r="BN42" s="20"/>
      <c r="BO42" s="20"/>
      <c r="BP42" s="20"/>
      <c r="BQ42" s="20"/>
      <c r="BR42" s="20"/>
      <c r="BS42" s="20"/>
      <c r="BT42" s="20"/>
      <c r="BU42" s="20"/>
      <c r="BV42" s="20"/>
      <c r="BW42" s="20"/>
      <c r="IQ42" s="20"/>
      <c r="IR42" s="20"/>
      <c r="IS42" s="20"/>
      <c r="IT42" s="20"/>
      <c r="IU42" s="20"/>
      <c r="IV42" s="20"/>
      <c r="IW42" s="20"/>
    </row>
    <row r="43" spans="1:257" s="21" customFormat="1" ht="38.25">
      <c r="A43" s="75"/>
      <c r="B43" s="22">
        <v>40</v>
      </c>
      <c r="C43" s="68" t="s">
        <v>263</v>
      </c>
      <c r="D43" s="47">
        <v>45637</v>
      </c>
      <c r="E43" s="48" t="s">
        <v>264</v>
      </c>
      <c r="F43" s="6">
        <v>56038</v>
      </c>
      <c r="G43" s="6">
        <v>165051</v>
      </c>
      <c r="H43" s="6">
        <v>33564</v>
      </c>
      <c r="I43" s="7">
        <v>308</v>
      </c>
      <c r="J43" s="7"/>
      <c r="K43" s="7"/>
      <c r="L43" s="7">
        <v>20</v>
      </c>
      <c r="M43" s="7" t="s">
        <v>41</v>
      </c>
      <c r="N43" s="7" t="s">
        <v>76</v>
      </c>
      <c r="O43" s="7" t="s">
        <v>265</v>
      </c>
      <c r="P43" s="77"/>
      <c r="Q43" s="77" t="s">
        <v>120</v>
      </c>
      <c r="R43" s="77"/>
      <c r="S43" s="77"/>
      <c r="T43" s="77"/>
      <c r="U43" s="77">
        <v>1</v>
      </c>
      <c r="V43" s="78"/>
      <c r="W43" s="77"/>
      <c r="X43" s="77"/>
      <c r="Y43" s="77" t="s">
        <v>37</v>
      </c>
      <c r="Z43" s="79">
        <v>3</v>
      </c>
      <c r="AA43" s="80"/>
      <c r="AB43" s="79">
        <f>+Z43+1</f>
        <v>4</v>
      </c>
      <c r="AC43" s="80"/>
      <c r="AD43" s="79">
        <f>+Z43*2</f>
        <v>6</v>
      </c>
      <c r="AE43" s="80"/>
      <c r="AF43" s="77">
        <v>124.37</v>
      </c>
      <c r="AG43" s="77"/>
      <c r="AH43" s="77">
        <f>43.43+71.44/2</f>
        <v>79.150000000000006</v>
      </c>
      <c r="AI43" s="77"/>
      <c r="AJ43" s="81"/>
      <c r="AK43" s="82"/>
      <c r="AL43" s="83">
        <v>6775</v>
      </c>
      <c r="AM43" s="83">
        <f>+(AF43+43.43+71.44)/AL43</f>
        <v>3.5312177121771218E-2</v>
      </c>
      <c r="AN43" s="83">
        <f>+(AF43+AH43)/AL43</f>
        <v>3.0039852398523987E-2</v>
      </c>
      <c r="AO43" s="83"/>
      <c r="AP43" s="83">
        <f>8282784+38949602</f>
        <v>47232386</v>
      </c>
      <c r="AQ43" s="84">
        <v>708640.12</v>
      </c>
      <c r="AR43" s="83" t="s">
        <v>38</v>
      </c>
      <c r="AS43" s="85" t="s">
        <v>266</v>
      </c>
      <c r="AT43" s="86">
        <v>45736</v>
      </c>
      <c r="AU43" s="64"/>
      <c r="AV43" s="87" t="s">
        <v>267</v>
      </c>
      <c r="AW43" s="19"/>
      <c r="AX43" s="19"/>
      <c r="AY43" s="19"/>
      <c r="AZ43" s="19"/>
      <c r="BA43" s="19"/>
      <c r="BB43" s="19"/>
      <c r="BC43" s="19"/>
      <c r="BD43" s="19"/>
      <c r="BE43" s="19"/>
      <c r="BF43" s="19"/>
      <c r="BG43" s="19"/>
      <c r="BH43" s="20"/>
      <c r="BI43" s="20"/>
      <c r="BJ43" s="20"/>
      <c r="BK43" s="20"/>
      <c r="BL43" s="20"/>
      <c r="BM43" s="20"/>
      <c r="BN43" s="20"/>
      <c r="BO43" s="20"/>
      <c r="BP43" s="20"/>
      <c r="BQ43" s="20"/>
      <c r="BR43" s="20"/>
      <c r="BS43" s="20"/>
      <c r="BT43" s="20"/>
      <c r="BU43" s="20"/>
      <c r="BV43" s="20"/>
      <c r="BW43" s="20"/>
      <c r="IQ43" s="20"/>
      <c r="IR43" s="20"/>
      <c r="IS43" s="20"/>
      <c r="IT43" s="20"/>
      <c r="IU43" s="20"/>
      <c r="IV43" s="20"/>
      <c r="IW43" s="20"/>
    </row>
    <row r="44" spans="1:257" s="46" customFormat="1" ht="63.75">
      <c r="A44" s="75"/>
      <c r="B44" s="88">
        <v>41</v>
      </c>
      <c r="C44" s="89">
        <v>548481</v>
      </c>
      <c r="D44" s="28">
        <v>44901</v>
      </c>
      <c r="E44" s="5" t="s">
        <v>268</v>
      </c>
      <c r="F44" s="30">
        <v>55558</v>
      </c>
      <c r="G44" s="30">
        <v>164507</v>
      </c>
      <c r="H44" s="30">
        <v>33479</v>
      </c>
      <c r="I44" s="31">
        <v>247</v>
      </c>
      <c r="J44" s="31"/>
      <c r="K44" s="31"/>
      <c r="L44" s="31"/>
      <c r="M44" s="31" t="s">
        <v>269</v>
      </c>
      <c r="N44" s="31" t="s">
        <v>270</v>
      </c>
      <c r="O44" s="32" t="s">
        <v>271</v>
      </c>
      <c r="P44" s="31"/>
      <c r="Q44" s="31" t="s">
        <v>113</v>
      </c>
      <c r="R44" s="31"/>
      <c r="S44" s="31"/>
      <c r="T44" s="31"/>
      <c r="U44" s="31"/>
      <c r="V44" s="33"/>
      <c r="W44" s="31"/>
      <c r="X44" s="31"/>
      <c r="Y44" s="31" t="s">
        <v>37</v>
      </c>
      <c r="Z44" s="34"/>
      <c r="AA44" s="35"/>
      <c r="AB44" s="36"/>
      <c r="AC44" s="35"/>
      <c r="AD44" s="36"/>
      <c r="AE44" s="35"/>
      <c r="AF44" s="31">
        <f>109.86+14.27/2</f>
        <v>116.995</v>
      </c>
      <c r="AG44" s="31"/>
      <c r="AH44" s="31"/>
      <c r="AI44" s="31"/>
      <c r="AJ44" s="33"/>
      <c r="AK44" s="37"/>
      <c r="AL44" s="38">
        <v>450</v>
      </c>
      <c r="AM44" s="38">
        <v>0.2</v>
      </c>
      <c r="AN44" s="38">
        <f>+AF44/AL44</f>
        <v>0.25998888888888888</v>
      </c>
      <c r="AO44" s="38"/>
      <c r="AP44" s="38"/>
      <c r="AQ44" s="90">
        <v>29627</v>
      </c>
      <c r="AR44" s="38" t="s">
        <v>45</v>
      </c>
      <c r="AS44" s="40" t="s">
        <v>272</v>
      </c>
      <c r="AT44" s="41">
        <v>45736</v>
      </c>
      <c r="AU44" s="42"/>
      <c r="AV44" s="55"/>
      <c r="AW44" s="44"/>
      <c r="AX44" s="44"/>
      <c r="AY44" s="44"/>
      <c r="AZ44" s="44"/>
      <c r="BA44" s="44"/>
      <c r="BB44" s="44"/>
      <c r="BC44" s="44"/>
      <c r="BD44" s="44"/>
      <c r="BE44" s="44"/>
      <c r="BF44" s="44"/>
      <c r="BG44" s="44"/>
      <c r="BH44" s="45"/>
      <c r="BI44" s="45"/>
      <c r="BJ44" s="45"/>
      <c r="BK44" s="45"/>
      <c r="BL44" s="45"/>
      <c r="BM44" s="45"/>
      <c r="BN44" s="45"/>
      <c r="BO44" s="45"/>
      <c r="BP44" s="45"/>
      <c r="BQ44" s="45"/>
      <c r="BR44" s="45"/>
      <c r="BS44" s="45"/>
      <c r="BT44" s="45"/>
      <c r="BU44" s="45"/>
      <c r="BV44" s="45"/>
      <c r="BW44" s="45"/>
      <c r="IQ44" s="45"/>
      <c r="IR44" s="45"/>
      <c r="IS44" s="45"/>
      <c r="IT44" s="45"/>
      <c r="IU44" s="45"/>
      <c r="IV44" s="45"/>
      <c r="IW44" s="45"/>
    </row>
    <row r="45" spans="1:257" s="21" customFormat="1" ht="102">
      <c r="A45" s="75"/>
      <c r="B45" s="22">
        <v>42</v>
      </c>
      <c r="C45" s="68" t="s">
        <v>273</v>
      </c>
      <c r="D45" s="4">
        <v>45685</v>
      </c>
      <c r="E45" s="5" t="s">
        <v>32</v>
      </c>
      <c r="F45" s="6">
        <v>46801</v>
      </c>
      <c r="G45" s="6">
        <v>104063</v>
      </c>
      <c r="H45" s="6">
        <v>3351</v>
      </c>
      <c r="I45" s="7"/>
      <c r="J45" s="7"/>
      <c r="K45" s="7">
        <v>18</v>
      </c>
      <c r="L45" s="7">
        <v>18</v>
      </c>
      <c r="M45" s="7" t="s">
        <v>33</v>
      </c>
      <c r="N45" s="7" t="s">
        <v>274</v>
      </c>
      <c r="O45" s="7" t="s">
        <v>275</v>
      </c>
      <c r="P45" s="7"/>
      <c r="Q45" s="7" t="s">
        <v>276</v>
      </c>
      <c r="R45" s="7"/>
      <c r="S45" s="7"/>
      <c r="T45" s="7"/>
      <c r="U45" s="7">
        <f>1+1+1</f>
        <v>3</v>
      </c>
      <c r="V45" s="8"/>
      <c r="W45" s="7"/>
      <c r="X45" s="7"/>
      <c r="Y45" s="7" t="s">
        <v>67</v>
      </c>
      <c r="Z45" s="9">
        <f>1+1+2</f>
        <v>4</v>
      </c>
      <c r="AA45" s="10"/>
      <c r="AB45" s="9">
        <f>+Z45+1</f>
        <v>5</v>
      </c>
      <c r="AC45" s="10"/>
      <c r="AD45" s="9">
        <f>+Z45*2</f>
        <v>8</v>
      </c>
      <c r="AE45" s="10"/>
      <c r="AF45" s="7">
        <f>78+15.93+5.94/2</f>
        <v>96.9</v>
      </c>
      <c r="AG45" s="7"/>
      <c r="AH45" s="7">
        <f>62+50.6/2+27.7+8.5/2</f>
        <v>119.25</v>
      </c>
      <c r="AI45" s="7"/>
      <c r="AJ45" s="11"/>
      <c r="AK45" s="12"/>
      <c r="AL45" s="13">
        <v>406.25</v>
      </c>
      <c r="AM45" s="13">
        <f>+(78+15.93+5.94+62+50.6)/AL45</f>
        <v>0.5230030769230769</v>
      </c>
      <c r="AN45" s="13">
        <f>+(AF45+AH45)/AL45</f>
        <v>0.53206153846153847</v>
      </c>
      <c r="AO45" s="13"/>
      <c r="AP45" s="13">
        <f>+(1*346505+277126*4+8*207874+9*138602)/22*AH45</f>
        <v>23662555.261363637</v>
      </c>
      <c r="AQ45" s="76">
        <v>605656.17000000004</v>
      </c>
      <c r="AR45" s="13" t="s">
        <v>45</v>
      </c>
      <c r="AS45" s="15" t="s">
        <v>277</v>
      </c>
      <c r="AT45" s="16">
        <v>45736</v>
      </c>
      <c r="AU45" s="17"/>
      <c r="AV45" s="18">
        <v>45721</v>
      </c>
      <c r="AW45" s="19"/>
      <c r="AX45" s="19"/>
      <c r="AY45" s="19"/>
      <c r="AZ45" s="19"/>
      <c r="BA45" s="19"/>
      <c r="BB45" s="19"/>
      <c r="BC45" s="19"/>
      <c r="BD45" s="19"/>
      <c r="BE45" s="19"/>
      <c r="BF45" s="19"/>
      <c r="BG45" s="19"/>
      <c r="BH45" s="20"/>
      <c r="BI45" s="20"/>
      <c r="BJ45" s="20"/>
      <c r="BK45" s="20"/>
      <c r="BL45" s="20"/>
      <c r="BM45" s="20"/>
      <c r="BN45" s="20"/>
      <c r="BO45" s="20"/>
      <c r="BP45" s="20"/>
      <c r="BQ45" s="20"/>
      <c r="BR45" s="20"/>
      <c r="BS45" s="20"/>
      <c r="BT45" s="20"/>
      <c r="BU45" s="20"/>
      <c r="BV45" s="20"/>
      <c r="BW45" s="20"/>
      <c r="IQ45" s="20"/>
      <c r="IR45" s="20"/>
      <c r="IS45" s="20"/>
      <c r="IT45" s="20"/>
      <c r="IU45" s="20"/>
      <c r="IV45" s="20"/>
      <c r="IW45" s="20"/>
    </row>
    <row r="46" spans="1:257" s="21" customFormat="1" ht="76.5">
      <c r="A46" s="75"/>
      <c r="B46" s="22">
        <v>43</v>
      </c>
      <c r="C46" s="68" t="s">
        <v>278</v>
      </c>
      <c r="D46" s="4">
        <v>45600</v>
      </c>
      <c r="E46" s="5" t="s">
        <v>32</v>
      </c>
      <c r="F46" s="6">
        <v>52470</v>
      </c>
      <c r="G46" s="6">
        <v>162050</v>
      </c>
      <c r="H46" s="6">
        <v>33112</v>
      </c>
      <c r="I46" s="7">
        <v>2</v>
      </c>
      <c r="J46" s="7"/>
      <c r="K46" s="7"/>
      <c r="L46" s="7">
        <v>137</v>
      </c>
      <c r="M46" s="7" t="s">
        <v>41</v>
      </c>
      <c r="N46" s="7" t="s">
        <v>279</v>
      </c>
      <c r="O46" s="7" t="s">
        <v>280</v>
      </c>
      <c r="P46" s="7"/>
      <c r="Q46" s="7" t="s">
        <v>281</v>
      </c>
      <c r="R46" s="7"/>
      <c r="S46" s="7"/>
      <c r="T46" s="7"/>
      <c r="U46" s="7">
        <v>6</v>
      </c>
      <c r="V46" s="8"/>
      <c r="W46" s="7"/>
      <c r="X46" s="7"/>
      <c r="Y46" s="7" t="s">
        <v>67</v>
      </c>
      <c r="Z46" s="9">
        <f>1+1+1+1+1+1</f>
        <v>6</v>
      </c>
      <c r="AA46" s="10"/>
      <c r="AB46" s="9"/>
      <c r="AC46" s="10"/>
      <c r="AD46" s="9">
        <f>+Z46*2</f>
        <v>12</v>
      </c>
      <c r="AE46" s="10"/>
      <c r="AF46" s="7">
        <f>282.09+104.06</f>
        <v>386.15</v>
      </c>
      <c r="AG46" s="7"/>
      <c r="AH46" s="7">
        <v>87.96</v>
      </c>
      <c r="AI46" s="7"/>
      <c r="AJ46" s="11"/>
      <c r="AK46" s="12"/>
      <c r="AL46" s="13">
        <v>1251.6600000000001</v>
      </c>
      <c r="AM46" s="13">
        <v>0.26</v>
      </c>
      <c r="AN46" s="13">
        <f>+AH46/AL46</f>
        <v>7.0274675231292827E-2</v>
      </c>
      <c r="AO46" s="13"/>
      <c r="AP46" s="13">
        <f>+(2*346505+277126*5+207874*6+8*138602)/21*(AH46)</f>
        <v>18575057.714285713</v>
      </c>
      <c r="AQ46" s="76">
        <v>705747.88</v>
      </c>
      <c r="AR46" s="13" t="s">
        <v>38</v>
      </c>
      <c r="AS46" s="15" t="s">
        <v>282</v>
      </c>
      <c r="AT46" s="16">
        <v>45737</v>
      </c>
      <c r="AU46" s="17"/>
      <c r="AV46" s="18">
        <v>45663</v>
      </c>
      <c r="AW46" s="19"/>
      <c r="AX46" s="19"/>
      <c r="AY46" s="19"/>
      <c r="AZ46" s="19"/>
      <c r="BA46" s="19"/>
      <c r="BB46" s="19"/>
      <c r="BC46" s="19"/>
      <c r="BD46" s="19"/>
      <c r="BE46" s="19"/>
      <c r="BF46" s="19"/>
      <c r="BG46" s="19"/>
      <c r="BH46" s="20"/>
      <c r="BI46" s="20"/>
      <c r="BJ46" s="20"/>
      <c r="BK46" s="20"/>
      <c r="BL46" s="20"/>
      <c r="BM46" s="20"/>
      <c r="BN46" s="20"/>
      <c r="BO46" s="20"/>
      <c r="BP46" s="20"/>
      <c r="BQ46" s="20"/>
      <c r="BR46" s="20"/>
      <c r="BS46" s="20"/>
      <c r="BT46" s="20"/>
      <c r="BU46" s="20"/>
      <c r="BV46" s="20"/>
      <c r="BW46" s="20"/>
      <c r="IQ46" s="20"/>
      <c r="IR46" s="20"/>
      <c r="IS46" s="20"/>
      <c r="IT46" s="20"/>
      <c r="IU46" s="20"/>
      <c r="IV46" s="20"/>
      <c r="IW46" s="20"/>
    </row>
    <row r="47" spans="1:257" s="21" customFormat="1" ht="51">
      <c r="A47" s="75"/>
      <c r="B47" s="22">
        <v>44</v>
      </c>
      <c r="C47" s="68" t="s">
        <v>283</v>
      </c>
      <c r="D47" s="4">
        <v>45568</v>
      </c>
      <c r="E47" s="5" t="s">
        <v>32</v>
      </c>
      <c r="F47" s="6">
        <v>26374</v>
      </c>
      <c r="G47" s="6">
        <v>119714</v>
      </c>
      <c r="H47" s="6">
        <v>5983</v>
      </c>
      <c r="I47" s="7"/>
      <c r="J47" s="7"/>
      <c r="K47" s="7">
        <v>736</v>
      </c>
      <c r="L47" s="7">
        <v>3</v>
      </c>
      <c r="M47" s="7" t="s">
        <v>33</v>
      </c>
      <c r="N47" s="7" t="s">
        <v>284</v>
      </c>
      <c r="O47" s="7" t="s">
        <v>285</v>
      </c>
      <c r="P47" s="7" t="s">
        <v>286</v>
      </c>
      <c r="Q47" s="7" t="s">
        <v>287</v>
      </c>
      <c r="R47" s="7"/>
      <c r="S47" s="7"/>
      <c r="T47" s="7"/>
      <c r="U47" s="7">
        <v>2</v>
      </c>
      <c r="V47" s="8"/>
      <c r="W47" s="7"/>
      <c r="X47" s="7"/>
      <c r="Y47" s="7" t="s">
        <v>288</v>
      </c>
      <c r="Z47" s="9">
        <f>1+1</f>
        <v>2</v>
      </c>
      <c r="AA47" s="10"/>
      <c r="AB47" s="9"/>
      <c r="AC47" s="10"/>
      <c r="AD47" s="9">
        <f>+Z47*2</f>
        <v>4</v>
      </c>
      <c r="AE47" s="10"/>
      <c r="AF47" s="7"/>
      <c r="AG47" s="7"/>
      <c r="AH47" s="7">
        <f>27.14+8.63/2</f>
        <v>31.455000000000002</v>
      </c>
      <c r="AI47" s="7"/>
      <c r="AJ47" s="11"/>
      <c r="AK47" s="12"/>
      <c r="AL47" s="13">
        <v>432.6</v>
      </c>
      <c r="AM47" s="13">
        <f>+(27.14+8.63)/AL47</f>
        <v>8.2686084142394825E-2</v>
      </c>
      <c r="AN47" s="13">
        <f>+AH47/AL47</f>
        <v>7.2711511789181699E-2</v>
      </c>
      <c r="AO47" s="13"/>
      <c r="AP47" s="13">
        <f>+(4*277126+207874*2+14*138602)/20*AH47</f>
        <v>5449075.4700000007</v>
      </c>
      <c r="AQ47" s="76">
        <v>101012.06</v>
      </c>
      <c r="AR47" s="13" t="s">
        <v>38</v>
      </c>
      <c r="AS47" s="15" t="s">
        <v>289</v>
      </c>
      <c r="AT47" s="16">
        <v>45737</v>
      </c>
      <c r="AU47" s="17"/>
      <c r="AV47" s="18">
        <v>45721</v>
      </c>
      <c r="AW47" s="19"/>
      <c r="AX47" s="19"/>
      <c r="AY47" s="19"/>
      <c r="AZ47" s="19"/>
      <c r="BA47" s="19"/>
      <c r="BB47" s="19"/>
      <c r="BC47" s="19"/>
      <c r="BD47" s="19"/>
      <c r="BE47" s="19"/>
      <c r="BF47" s="19"/>
      <c r="BG47" s="19"/>
      <c r="BH47" s="20"/>
      <c r="BI47" s="20"/>
      <c r="BJ47" s="20"/>
      <c r="BK47" s="20"/>
      <c r="BL47" s="20"/>
      <c r="BM47" s="20"/>
      <c r="BN47" s="20"/>
      <c r="BO47" s="20"/>
      <c r="BP47" s="20"/>
      <c r="BQ47" s="20"/>
      <c r="BR47" s="20"/>
      <c r="BS47" s="20"/>
      <c r="BT47" s="20"/>
      <c r="BU47" s="20"/>
      <c r="BV47" s="20"/>
      <c r="BW47" s="20"/>
      <c r="IQ47" s="20"/>
      <c r="IR47" s="20"/>
      <c r="IS47" s="20"/>
      <c r="IT47" s="20"/>
      <c r="IU47" s="20"/>
      <c r="IV47" s="20"/>
      <c r="IW47" s="20"/>
    </row>
    <row r="48" spans="1:257" s="21" customFormat="1" ht="51">
      <c r="A48" s="75"/>
      <c r="B48" s="70">
        <v>45</v>
      </c>
      <c r="C48" s="68">
        <v>570992</v>
      </c>
      <c r="D48" s="4">
        <v>45727</v>
      </c>
      <c r="E48" s="5" t="s">
        <v>48</v>
      </c>
      <c r="F48" s="6">
        <v>39625</v>
      </c>
      <c r="G48" s="6">
        <v>138348</v>
      </c>
      <c r="H48" s="6">
        <v>31594</v>
      </c>
      <c r="I48" s="7"/>
      <c r="J48" s="7"/>
      <c r="K48" s="7">
        <v>6</v>
      </c>
      <c r="L48" s="7">
        <v>3</v>
      </c>
      <c r="M48" s="7" t="s">
        <v>33</v>
      </c>
      <c r="N48" s="7" t="s">
        <v>290</v>
      </c>
      <c r="O48" s="7" t="s">
        <v>291</v>
      </c>
      <c r="P48" s="7"/>
      <c r="Q48" s="7" t="s">
        <v>292</v>
      </c>
      <c r="R48" s="7" t="s">
        <v>292</v>
      </c>
      <c r="S48" s="7" t="s">
        <v>292</v>
      </c>
      <c r="T48" s="7" t="s">
        <v>293</v>
      </c>
      <c r="U48" s="7"/>
      <c r="V48" s="8"/>
      <c r="W48" s="7">
        <v>1</v>
      </c>
      <c r="X48" s="7"/>
      <c r="Y48" s="7" t="s">
        <v>37</v>
      </c>
      <c r="Z48" s="9"/>
      <c r="AA48" s="10"/>
      <c r="AB48" s="9"/>
      <c r="AC48" s="10"/>
      <c r="AD48" s="9"/>
      <c r="AE48" s="10"/>
      <c r="AF48" s="7">
        <f>118.17+79.92/2+80.54+26.88/2</f>
        <v>252.11</v>
      </c>
      <c r="AG48" s="7"/>
      <c r="AH48" s="7"/>
      <c r="AI48" s="7"/>
      <c r="AJ48" s="11"/>
      <c r="AK48" s="12"/>
      <c r="AL48" s="13">
        <v>827.33</v>
      </c>
      <c r="AM48" s="13">
        <f>+(118.17+79.92)/AL48</f>
        <v>0.23943287442737479</v>
      </c>
      <c r="AN48" s="13">
        <f>+AF48/AL48</f>
        <v>0.3047272551460723</v>
      </c>
      <c r="AO48" s="13"/>
      <c r="AP48" s="13">
        <f>5942901+605163</f>
        <v>6548064</v>
      </c>
      <c r="AQ48" s="15">
        <v>344316.2</v>
      </c>
      <c r="AR48" s="13" t="s">
        <v>45</v>
      </c>
      <c r="AS48" s="15" t="s">
        <v>294</v>
      </c>
      <c r="AT48" s="16">
        <v>45742</v>
      </c>
      <c r="AU48" s="17"/>
      <c r="AV48" s="18" t="s">
        <v>295</v>
      </c>
      <c r="AW48" s="19"/>
      <c r="AX48" s="19"/>
      <c r="AY48" s="19"/>
      <c r="AZ48" s="19"/>
      <c r="BA48" s="19"/>
      <c r="BB48" s="19"/>
      <c r="BC48" s="19"/>
      <c r="BD48" s="19"/>
      <c r="BE48" s="19"/>
      <c r="BF48" s="19"/>
      <c r="BG48" s="19"/>
      <c r="BH48" s="20"/>
      <c r="BI48" s="20"/>
      <c r="BJ48" s="20"/>
      <c r="BK48" s="20"/>
      <c r="BL48" s="20"/>
      <c r="BM48" s="20"/>
      <c r="BN48" s="20"/>
      <c r="BO48" s="20"/>
      <c r="BP48" s="20"/>
      <c r="BQ48" s="20"/>
      <c r="BR48" s="20"/>
      <c r="BS48" s="20"/>
      <c r="BT48" s="20"/>
      <c r="BU48" s="20"/>
      <c r="BV48" s="20"/>
      <c r="BW48" s="20"/>
      <c r="IQ48" s="20"/>
      <c r="IR48" s="20"/>
      <c r="IS48" s="20"/>
      <c r="IT48" s="20"/>
      <c r="IU48" s="20"/>
      <c r="IV48" s="20"/>
      <c r="IW48" s="20"/>
    </row>
    <row r="49" spans="1:257" s="21" customFormat="1" ht="89.25">
      <c r="A49" s="91"/>
      <c r="B49" s="70">
        <v>46</v>
      </c>
      <c r="C49" s="68">
        <v>570790</v>
      </c>
      <c r="D49" s="4">
        <v>45721</v>
      </c>
      <c r="E49" s="5" t="s">
        <v>32</v>
      </c>
      <c r="F49" s="5"/>
      <c r="G49" s="6">
        <v>167803</v>
      </c>
      <c r="H49" s="6">
        <v>33825</v>
      </c>
      <c r="I49" s="7">
        <v>271</v>
      </c>
      <c r="J49" s="7"/>
      <c r="K49" s="7">
        <v>2</v>
      </c>
      <c r="L49" s="7">
        <v>15</v>
      </c>
      <c r="M49" s="7" t="s">
        <v>41</v>
      </c>
      <c r="N49" s="7" t="s">
        <v>131</v>
      </c>
      <c r="O49" s="7" t="s">
        <v>296</v>
      </c>
      <c r="P49" s="7"/>
      <c r="Q49" s="7" t="s">
        <v>292</v>
      </c>
      <c r="R49" s="7"/>
      <c r="S49" s="7"/>
      <c r="T49" s="7"/>
      <c r="U49" s="7">
        <v>1</v>
      </c>
      <c r="V49" s="8"/>
      <c r="W49" s="7"/>
      <c r="X49" s="7"/>
      <c r="Y49" s="7" t="s">
        <v>37</v>
      </c>
      <c r="Z49" s="9">
        <v>3</v>
      </c>
      <c r="AA49" s="10"/>
      <c r="AB49" s="9">
        <f>+Z49+1</f>
        <v>4</v>
      </c>
      <c r="AC49" s="10"/>
      <c r="AD49" s="9">
        <f>+Z49*2</f>
        <v>6</v>
      </c>
      <c r="AE49" s="10"/>
      <c r="AF49" s="7"/>
      <c r="AG49" s="7"/>
      <c r="AH49" s="7">
        <f>97.86+46.3/2</f>
        <v>121.00999999999999</v>
      </c>
      <c r="AI49" s="7"/>
      <c r="AJ49" s="11"/>
      <c r="AK49" s="12"/>
      <c r="AL49" s="13">
        <v>231.1</v>
      </c>
      <c r="AM49" s="13">
        <f>+(97.86+46.3)/AL49</f>
        <v>0.62379922111639985</v>
      </c>
      <c r="AN49" s="13">
        <f>+AH49/AL49</f>
        <v>0.52362613587191686</v>
      </c>
      <c r="AO49" s="13"/>
      <c r="AP49" s="13">
        <f>241434+((5*346505+4*277126+9*207874+138602*2)/20*AH49)</f>
        <v>30427977.499499999</v>
      </c>
      <c r="AQ49" s="76">
        <v>761731.16</v>
      </c>
      <c r="AR49" s="13" t="s">
        <v>45</v>
      </c>
      <c r="AS49" s="15" t="s">
        <v>297</v>
      </c>
      <c r="AT49" s="16">
        <v>45742</v>
      </c>
      <c r="AU49" s="17"/>
      <c r="AV49" s="18">
        <v>45726</v>
      </c>
      <c r="AW49" s="19"/>
      <c r="AX49" s="19"/>
      <c r="AY49" s="19"/>
      <c r="AZ49" s="19"/>
      <c r="BA49" s="19"/>
      <c r="BB49" s="19"/>
      <c r="BC49" s="19"/>
      <c r="BD49" s="19"/>
      <c r="BE49" s="19"/>
      <c r="BF49" s="19"/>
      <c r="BG49" s="19"/>
      <c r="BH49" s="20"/>
      <c r="BI49" s="20"/>
      <c r="BJ49" s="20"/>
      <c r="BK49" s="20"/>
      <c r="BL49" s="20"/>
      <c r="BM49" s="20"/>
      <c r="BN49" s="20"/>
      <c r="BO49" s="20"/>
      <c r="BP49" s="20"/>
      <c r="BQ49" s="20"/>
      <c r="BR49" s="20"/>
      <c r="BS49" s="20"/>
      <c r="BT49" s="20"/>
      <c r="BU49" s="20"/>
      <c r="BV49" s="20"/>
      <c r="BW49" s="20"/>
      <c r="IQ49" s="20"/>
      <c r="IR49" s="20"/>
      <c r="IS49" s="20"/>
      <c r="IT49" s="20"/>
      <c r="IU49" s="20"/>
      <c r="IV49" s="20"/>
      <c r="IW49" s="20"/>
    </row>
    <row r="50" spans="1:257" s="21" customFormat="1" ht="89.25">
      <c r="A50" s="92" t="s">
        <v>298</v>
      </c>
      <c r="B50" s="70">
        <v>47</v>
      </c>
      <c r="C50" s="68">
        <v>568976</v>
      </c>
      <c r="D50" s="4">
        <v>45652</v>
      </c>
      <c r="E50" s="5" t="s">
        <v>32</v>
      </c>
      <c r="F50" s="6">
        <v>11946</v>
      </c>
      <c r="G50" s="6">
        <v>103312</v>
      </c>
      <c r="H50" s="6">
        <v>30394</v>
      </c>
      <c r="I50" s="7">
        <v>203</v>
      </c>
      <c r="J50" s="7"/>
      <c r="K50" s="7"/>
      <c r="L50" s="7">
        <v>2</v>
      </c>
      <c r="M50" s="7" t="s">
        <v>299</v>
      </c>
      <c r="N50" s="7" t="s">
        <v>300</v>
      </c>
      <c r="O50" s="7" t="s">
        <v>301</v>
      </c>
      <c r="P50" s="7"/>
      <c r="Q50" s="7" t="s">
        <v>243</v>
      </c>
      <c r="R50" s="7"/>
      <c r="S50" s="7"/>
      <c r="T50" s="7"/>
      <c r="U50" s="7">
        <v>2</v>
      </c>
      <c r="V50" s="8"/>
      <c r="W50" s="7"/>
      <c r="X50" s="7"/>
      <c r="Y50" s="7" t="s">
        <v>302</v>
      </c>
      <c r="Z50" s="9">
        <f>2+3</f>
        <v>5</v>
      </c>
      <c r="AA50" s="10"/>
      <c r="AB50" s="9">
        <f>+Z50+1+1</f>
        <v>7</v>
      </c>
      <c r="AC50" s="10"/>
      <c r="AD50" s="9">
        <f>+Y2992+2+8+7</f>
        <v>17</v>
      </c>
      <c r="AE50" s="10"/>
      <c r="AF50" s="7"/>
      <c r="AG50" s="7"/>
      <c r="AH50" s="7">
        <f>544.31+92.2/12</f>
        <v>551.99333333333323</v>
      </c>
      <c r="AI50" s="7"/>
      <c r="AJ50" s="11"/>
      <c r="AK50" s="12"/>
      <c r="AL50" s="13">
        <v>48568.46</v>
      </c>
      <c r="AM50" s="13"/>
      <c r="AN50" s="13"/>
      <c r="AO50" s="13"/>
      <c r="AP50" s="13">
        <f>+(8*346505+277126*7+6*207874)/22*AH50</f>
        <v>149519086.55575755</v>
      </c>
      <c r="AQ50" s="15">
        <v>2576432.59</v>
      </c>
      <c r="AR50" s="13" t="s">
        <v>303</v>
      </c>
      <c r="AS50" s="15" t="s">
        <v>304</v>
      </c>
      <c r="AT50" s="16">
        <v>45748</v>
      </c>
      <c r="AU50" s="17"/>
      <c r="AV50" s="18">
        <v>45670</v>
      </c>
      <c r="AW50" s="19"/>
      <c r="AX50" s="19"/>
      <c r="AY50" s="19"/>
      <c r="AZ50" s="19"/>
      <c r="BA50" s="19"/>
      <c r="BB50" s="19"/>
      <c r="BC50" s="19"/>
      <c r="BD50" s="19"/>
      <c r="BE50" s="19"/>
      <c r="BF50" s="19"/>
      <c r="BG50" s="19"/>
      <c r="BH50" s="20"/>
      <c r="BI50" s="20"/>
      <c r="BJ50" s="20"/>
      <c r="BK50" s="20"/>
      <c r="BL50" s="20"/>
      <c r="BM50" s="20"/>
      <c r="BN50" s="20"/>
      <c r="BO50" s="20"/>
      <c r="BP50" s="20"/>
      <c r="BQ50" s="20"/>
      <c r="BR50" s="20"/>
      <c r="BS50" s="20"/>
      <c r="BT50" s="20"/>
      <c r="BU50" s="20"/>
      <c r="BV50" s="20"/>
      <c r="BW50" s="20"/>
      <c r="IQ50" s="20"/>
      <c r="IR50" s="20"/>
      <c r="IS50" s="20"/>
      <c r="IT50" s="20"/>
      <c r="IU50" s="20"/>
      <c r="IV50" s="20"/>
      <c r="IW50" s="20"/>
    </row>
    <row r="51" spans="1:257" s="21" customFormat="1" ht="76.5">
      <c r="A51" s="92"/>
      <c r="B51" s="70">
        <v>48</v>
      </c>
      <c r="C51" s="68" t="s">
        <v>305</v>
      </c>
      <c r="D51" s="4">
        <v>45636</v>
      </c>
      <c r="E51" s="5" t="s">
        <v>32</v>
      </c>
      <c r="F51" s="6">
        <v>51973</v>
      </c>
      <c r="G51" s="6">
        <v>161658</v>
      </c>
      <c r="H51" s="6">
        <v>33073</v>
      </c>
      <c r="I51" s="7">
        <v>310</v>
      </c>
      <c r="J51" s="7"/>
      <c r="K51" s="7">
        <v>1</v>
      </c>
      <c r="L51" s="7">
        <v>11</v>
      </c>
      <c r="M51" s="7" t="s">
        <v>75</v>
      </c>
      <c r="N51" s="7" t="s">
        <v>306</v>
      </c>
      <c r="O51" s="7" t="s">
        <v>307</v>
      </c>
      <c r="P51" s="7"/>
      <c r="Q51" s="7" t="s">
        <v>287</v>
      </c>
      <c r="R51" s="7"/>
      <c r="S51" s="7"/>
      <c r="T51" s="7"/>
      <c r="U51" s="7">
        <v>1</v>
      </c>
      <c r="V51" s="8"/>
      <c r="W51" s="7"/>
      <c r="X51" s="7"/>
      <c r="Y51" s="7" t="s">
        <v>37</v>
      </c>
      <c r="Z51" s="9">
        <v>2</v>
      </c>
      <c r="AA51" s="10"/>
      <c r="AB51" s="9">
        <f>+Z51+1</f>
        <v>3</v>
      </c>
      <c r="AC51" s="10"/>
      <c r="AD51" s="9">
        <f>+Z51*2</f>
        <v>4</v>
      </c>
      <c r="AE51" s="10"/>
      <c r="AF51" s="7"/>
      <c r="AG51" s="7"/>
      <c r="AH51" s="7">
        <f>82.82+56.75/2</f>
        <v>111.19499999999999</v>
      </c>
      <c r="AI51" s="7"/>
      <c r="AJ51" s="11"/>
      <c r="AK51" s="12"/>
      <c r="AL51" s="13">
        <v>618.70000000000005</v>
      </c>
      <c r="AM51" s="13">
        <f>+(82.82+56.75)/AL51</f>
        <v>0.22558590593179245</v>
      </c>
      <c r="AN51" s="13">
        <f>+AH51/AL51</f>
        <v>0.1797236140294165</v>
      </c>
      <c r="AO51" s="13"/>
      <c r="AP51" s="13">
        <f>+(7*346505+277126*5+7*207874+138602*1)/20*AH51</f>
        <v>30049809.378749996</v>
      </c>
      <c r="AQ51" s="15">
        <v>430573.66</v>
      </c>
      <c r="AR51" s="13" t="s">
        <v>38</v>
      </c>
      <c r="AS51" s="15" t="s">
        <v>308</v>
      </c>
      <c r="AT51" s="16">
        <v>45748</v>
      </c>
      <c r="AU51" s="17"/>
      <c r="AV51" s="18">
        <v>45743</v>
      </c>
      <c r="AW51" s="19"/>
      <c r="AX51" s="19"/>
      <c r="AY51" s="19"/>
      <c r="AZ51" s="19"/>
      <c r="BA51" s="19"/>
      <c r="BB51" s="19"/>
      <c r="BC51" s="19"/>
      <c r="BD51" s="19"/>
      <c r="BE51" s="19"/>
      <c r="BF51" s="19"/>
      <c r="BG51" s="19"/>
      <c r="BH51" s="20"/>
      <c r="BI51" s="20"/>
      <c r="BJ51" s="20"/>
      <c r="BK51" s="20"/>
      <c r="BL51" s="20"/>
      <c r="BM51" s="20"/>
      <c r="BN51" s="20"/>
      <c r="BO51" s="20"/>
      <c r="BP51" s="20"/>
      <c r="BQ51" s="20"/>
      <c r="BR51" s="20"/>
      <c r="BS51" s="20"/>
      <c r="BT51" s="20"/>
      <c r="BU51" s="20"/>
      <c r="BV51" s="20"/>
      <c r="BW51" s="20"/>
      <c r="IQ51" s="20"/>
      <c r="IR51" s="20"/>
      <c r="IS51" s="20"/>
      <c r="IT51" s="20"/>
      <c r="IU51" s="20"/>
      <c r="IV51" s="20"/>
      <c r="IW51" s="20"/>
    </row>
    <row r="52" spans="1:257" s="21" customFormat="1" ht="51">
      <c r="A52" s="92"/>
      <c r="B52" s="70">
        <v>49</v>
      </c>
      <c r="C52" s="68" t="s">
        <v>309</v>
      </c>
      <c r="D52" s="4">
        <v>45642</v>
      </c>
      <c r="E52" s="5" t="s">
        <v>32</v>
      </c>
      <c r="F52" s="6">
        <v>54461</v>
      </c>
      <c r="G52" s="6">
        <v>163772</v>
      </c>
      <c r="H52" s="6">
        <v>33419</v>
      </c>
      <c r="I52" s="7">
        <v>331</v>
      </c>
      <c r="J52" s="7"/>
      <c r="K52" s="7">
        <v>2</v>
      </c>
      <c r="L52" s="7">
        <v>16</v>
      </c>
      <c r="M52" s="7" t="s">
        <v>41</v>
      </c>
      <c r="N52" s="7" t="s">
        <v>310</v>
      </c>
      <c r="O52" s="7" t="s">
        <v>311</v>
      </c>
      <c r="P52" s="7"/>
      <c r="Q52" s="7" t="s">
        <v>101</v>
      </c>
      <c r="R52" s="7"/>
      <c r="S52" s="7"/>
      <c r="T52" s="7"/>
      <c r="U52" s="7">
        <v>1</v>
      </c>
      <c r="V52" s="8"/>
      <c r="W52" s="7"/>
      <c r="X52" s="7"/>
      <c r="Y52" s="7" t="s">
        <v>37</v>
      </c>
      <c r="Z52" s="9">
        <v>1</v>
      </c>
      <c r="AA52" s="10"/>
      <c r="AB52" s="9">
        <f>+Z52+1</f>
        <v>2</v>
      </c>
      <c r="AC52" s="10"/>
      <c r="AD52" s="9">
        <f>+Z52*2</f>
        <v>2</v>
      </c>
      <c r="AE52" s="10"/>
      <c r="AF52" s="7"/>
      <c r="AG52" s="7"/>
      <c r="AH52" s="7">
        <f>89+32.7/2</f>
        <v>105.35</v>
      </c>
      <c r="AI52" s="7"/>
      <c r="AJ52" s="11"/>
      <c r="AK52" s="12"/>
      <c r="AL52" s="13">
        <v>430.86</v>
      </c>
      <c r="AM52" s="13">
        <f>+(89+32.7)/AL52</f>
        <v>0.28245833913568213</v>
      </c>
      <c r="AN52" s="13">
        <f>+AH52/AL52</f>
        <v>0.24451097804391214</v>
      </c>
      <c r="AO52" s="13"/>
      <c r="AP52" s="13">
        <f>+(6*277126+207874*6+138602*3)/21*AH52</f>
        <v>16684460.1</v>
      </c>
      <c r="AQ52" s="15">
        <v>374898.97</v>
      </c>
      <c r="AR52" s="13" t="s">
        <v>45</v>
      </c>
      <c r="AS52" s="15" t="s">
        <v>312</v>
      </c>
      <c r="AT52" s="16">
        <v>45754</v>
      </c>
      <c r="AU52" s="17"/>
      <c r="AV52" s="18">
        <v>45750</v>
      </c>
      <c r="AW52" s="19"/>
      <c r="AX52" s="19"/>
      <c r="AY52" s="19"/>
      <c r="AZ52" s="19"/>
      <c r="BA52" s="19"/>
      <c r="BB52" s="19"/>
      <c r="BC52" s="19"/>
      <c r="BD52" s="19"/>
      <c r="BE52" s="19"/>
      <c r="BF52" s="19"/>
      <c r="BG52" s="19"/>
      <c r="BH52" s="20"/>
      <c r="BI52" s="20"/>
      <c r="BJ52" s="20"/>
      <c r="BK52" s="20"/>
      <c r="BL52" s="20"/>
      <c r="BM52" s="20"/>
      <c r="BN52" s="20"/>
      <c r="BO52" s="20"/>
      <c r="BP52" s="20"/>
      <c r="BQ52" s="20"/>
      <c r="BR52" s="20"/>
      <c r="BS52" s="20"/>
      <c r="BT52" s="20"/>
      <c r="BU52" s="20"/>
      <c r="BV52" s="20"/>
      <c r="BW52" s="20"/>
      <c r="IQ52" s="20"/>
      <c r="IR52" s="20"/>
      <c r="IS52" s="20"/>
      <c r="IT52" s="20"/>
      <c r="IU52" s="20"/>
      <c r="IV52" s="20"/>
      <c r="IW52" s="20"/>
    </row>
    <row r="53" spans="1:257" s="21" customFormat="1" ht="38.25">
      <c r="A53" s="92"/>
      <c r="B53" s="70">
        <v>50</v>
      </c>
      <c r="C53" s="68" t="s">
        <v>313</v>
      </c>
      <c r="D53" s="4">
        <v>45601</v>
      </c>
      <c r="E53" s="5" t="s">
        <v>32</v>
      </c>
      <c r="F53" s="6">
        <v>11998</v>
      </c>
      <c r="G53" s="6">
        <v>103349</v>
      </c>
      <c r="H53" s="6">
        <v>1139</v>
      </c>
      <c r="I53" s="7"/>
      <c r="J53" s="7"/>
      <c r="K53" s="7">
        <v>170</v>
      </c>
      <c r="L53" s="7">
        <v>1</v>
      </c>
      <c r="M53" s="7" t="s">
        <v>57</v>
      </c>
      <c r="N53" s="7" t="s">
        <v>314</v>
      </c>
      <c r="O53" s="7" t="s">
        <v>315</v>
      </c>
      <c r="P53" s="7"/>
      <c r="Q53" s="7" t="s">
        <v>120</v>
      </c>
      <c r="R53" s="7"/>
      <c r="S53" s="7"/>
      <c r="T53" s="7"/>
      <c r="U53" s="7">
        <v>1</v>
      </c>
      <c r="V53" s="8"/>
      <c r="W53" s="7"/>
      <c r="X53" s="7"/>
      <c r="Y53" s="7" t="s">
        <v>316</v>
      </c>
      <c r="Z53" s="9"/>
      <c r="AA53" s="10"/>
      <c r="AB53" s="9"/>
      <c r="AC53" s="10"/>
      <c r="AD53" s="9"/>
      <c r="AE53" s="10"/>
      <c r="AF53" s="7"/>
      <c r="AG53" s="7"/>
      <c r="AH53" s="7"/>
      <c r="AI53" s="7">
        <f>57.46+5.6/2</f>
        <v>60.26</v>
      </c>
      <c r="AJ53" s="11"/>
      <c r="AK53" s="12"/>
      <c r="AL53" s="13">
        <v>109.8</v>
      </c>
      <c r="AM53" s="13">
        <f>+(54.46+5.6)/AL53</f>
        <v>0.54699453551912569</v>
      </c>
      <c r="AN53" s="13">
        <f>+AI53/AL53</f>
        <v>0.54881602914389804</v>
      </c>
      <c r="AO53" s="13"/>
      <c r="AP53" s="13">
        <f>+AI53*202534</f>
        <v>12204698.84</v>
      </c>
      <c r="AQ53" s="15">
        <v>153401</v>
      </c>
      <c r="AR53" s="13" t="s">
        <v>38</v>
      </c>
      <c r="AS53" s="15" t="s">
        <v>317</v>
      </c>
      <c r="AT53" s="16">
        <v>45754</v>
      </c>
      <c r="AU53" s="17"/>
      <c r="AV53" s="18">
        <v>45751</v>
      </c>
      <c r="AW53" s="19"/>
      <c r="AX53" s="19"/>
      <c r="AY53" s="19"/>
      <c r="AZ53" s="19"/>
      <c r="BA53" s="19"/>
      <c r="BB53" s="19"/>
      <c r="BC53" s="19"/>
      <c r="BD53" s="19"/>
      <c r="BE53" s="19"/>
      <c r="BF53" s="19"/>
      <c r="BG53" s="19"/>
      <c r="BH53" s="20"/>
      <c r="BI53" s="20"/>
      <c r="BJ53" s="20"/>
      <c r="BK53" s="20"/>
      <c r="BL53" s="20"/>
      <c r="BM53" s="20"/>
      <c r="BN53" s="20"/>
      <c r="BO53" s="20"/>
      <c r="BP53" s="20"/>
      <c r="BQ53" s="20"/>
      <c r="BR53" s="20"/>
      <c r="BS53" s="20"/>
      <c r="BT53" s="20"/>
      <c r="BU53" s="20"/>
      <c r="BV53" s="20"/>
      <c r="BW53" s="20"/>
      <c r="IQ53" s="20"/>
      <c r="IR53" s="20"/>
      <c r="IS53" s="20"/>
      <c r="IT53" s="20"/>
      <c r="IU53" s="20"/>
      <c r="IV53" s="20"/>
      <c r="IW53" s="20"/>
    </row>
    <row r="54" spans="1:257" s="21" customFormat="1" ht="25.5">
      <c r="A54" s="92"/>
      <c r="B54" s="70">
        <v>51</v>
      </c>
      <c r="C54" s="68">
        <v>571459</v>
      </c>
      <c r="D54" s="4">
        <v>45741</v>
      </c>
      <c r="E54" s="5" t="s">
        <v>48</v>
      </c>
      <c r="F54" s="6">
        <v>58190</v>
      </c>
      <c r="G54" s="6">
        <v>166571</v>
      </c>
      <c r="H54" s="6">
        <v>33789</v>
      </c>
      <c r="I54" s="7">
        <v>223</v>
      </c>
      <c r="J54" s="7"/>
      <c r="K54" s="7">
        <v>8</v>
      </c>
      <c r="L54" s="7">
        <v>13</v>
      </c>
      <c r="M54" s="7" t="s">
        <v>41</v>
      </c>
      <c r="N54" s="7" t="s">
        <v>318</v>
      </c>
      <c r="O54" s="7" t="s">
        <v>319</v>
      </c>
      <c r="P54" s="7"/>
      <c r="Q54" s="7" t="s">
        <v>320</v>
      </c>
      <c r="R54" s="7" t="s">
        <v>320</v>
      </c>
      <c r="S54" s="7" t="s">
        <v>320</v>
      </c>
      <c r="T54" s="7" t="s">
        <v>211</v>
      </c>
      <c r="U54" s="7"/>
      <c r="V54" s="8">
        <v>1</v>
      </c>
      <c r="W54" s="7"/>
      <c r="X54" s="7"/>
      <c r="Y54" s="7" t="s">
        <v>37</v>
      </c>
      <c r="Z54" s="9"/>
      <c r="AA54" s="10">
        <v>2</v>
      </c>
      <c r="AB54" s="9"/>
      <c r="AC54" s="10">
        <f>+AA54+1</f>
        <v>3</v>
      </c>
      <c r="AD54" s="9"/>
      <c r="AE54" s="10">
        <f>+AA54*2</f>
        <v>4</v>
      </c>
      <c r="AF54" s="7"/>
      <c r="AG54" s="7"/>
      <c r="AH54" s="7"/>
      <c r="AI54" s="7"/>
      <c r="AJ54" s="11">
        <f>99.22+2.6/2</f>
        <v>100.52</v>
      </c>
      <c r="AK54" s="12"/>
      <c r="AL54" s="13">
        <v>510</v>
      </c>
      <c r="AM54" s="13">
        <f>+(99.22+2.6)/AL54</f>
        <v>0.1996470588235294</v>
      </c>
      <c r="AN54" s="13">
        <f>+AJ54/AL54</f>
        <v>0.19709803921568628</v>
      </c>
      <c r="AO54" s="13"/>
      <c r="AP54" s="13">
        <f>+(1*346505+277126*11+4*207874+138602*4)/20*AJ54</f>
        <v>24028275.669999998</v>
      </c>
      <c r="AQ54" s="15">
        <v>87288.31</v>
      </c>
      <c r="AR54" s="13" t="s">
        <v>180</v>
      </c>
      <c r="AS54" s="15" t="s">
        <v>321</v>
      </c>
      <c r="AT54" s="16">
        <v>45755</v>
      </c>
      <c r="AU54" s="17"/>
      <c r="AV54" s="18">
        <v>45750</v>
      </c>
      <c r="AW54" s="19"/>
      <c r="AX54" s="19"/>
      <c r="AY54" s="19"/>
      <c r="AZ54" s="19"/>
      <c r="BA54" s="19"/>
      <c r="BB54" s="19"/>
      <c r="BC54" s="19"/>
      <c r="BD54" s="19"/>
      <c r="BE54" s="19"/>
      <c r="BF54" s="19"/>
      <c r="BG54" s="19"/>
      <c r="BH54" s="20"/>
      <c r="BI54" s="20"/>
      <c r="BJ54" s="20"/>
      <c r="BK54" s="20"/>
      <c r="BL54" s="20"/>
      <c r="BM54" s="20"/>
      <c r="BN54" s="20"/>
      <c r="BO54" s="20"/>
      <c r="BP54" s="20"/>
      <c r="BQ54" s="20"/>
      <c r="BR54" s="20"/>
      <c r="BS54" s="20"/>
      <c r="BT54" s="20"/>
      <c r="BU54" s="20"/>
      <c r="BV54" s="20"/>
      <c r="BW54" s="20"/>
      <c r="IQ54" s="20"/>
      <c r="IR54" s="20"/>
      <c r="IS54" s="20"/>
      <c r="IT54" s="20"/>
      <c r="IU54" s="20"/>
      <c r="IV54" s="20"/>
      <c r="IW54" s="20"/>
    </row>
    <row r="55" spans="1:257" s="21" customFormat="1" ht="76.5">
      <c r="A55" s="92"/>
      <c r="B55" s="70">
        <v>52</v>
      </c>
      <c r="C55" s="68" t="s">
        <v>322</v>
      </c>
      <c r="D55" s="4">
        <v>45672</v>
      </c>
      <c r="E55" s="5" t="s">
        <v>32</v>
      </c>
      <c r="F55" s="6">
        <v>23901</v>
      </c>
      <c r="G55" s="6">
        <v>117373</v>
      </c>
      <c r="H55" s="6">
        <v>41</v>
      </c>
      <c r="I55" s="7"/>
      <c r="J55" s="7"/>
      <c r="K55" s="7">
        <v>115</v>
      </c>
      <c r="L55" s="7">
        <v>9</v>
      </c>
      <c r="M55" s="7" t="s">
        <v>57</v>
      </c>
      <c r="N55" s="7" t="s">
        <v>323</v>
      </c>
      <c r="O55" s="7" t="s">
        <v>324</v>
      </c>
      <c r="P55" s="7"/>
      <c r="Q55" s="7" t="s">
        <v>44</v>
      </c>
      <c r="R55" s="7"/>
      <c r="S55" s="7"/>
      <c r="T55" s="7"/>
      <c r="U55" s="7">
        <v>1</v>
      </c>
      <c r="V55" s="8"/>
      <c r="W55" s="7"/>
      <c r="X55" s="7"/>
      <c r="Y55" s="7" t="s">
        <v>85</v>
      </c>
      <c r="Z55" s="9"/>
      <c r="AA55" s="10"/>
      <c r="AB55" s="9"/>
      <c r="AC55" s="10"/>
      <c r="AD55" s="9"/>
      <c r="AE55" s="10"/>
      <c r="AF55" s="7"/>
      <c r="AG55" s="7"/>
      <c r="AH55" s="7"/>
      <c r="AI55" s="7">
        <v>126.57</v>
      </c>
      <c r="AJ55" s="11"/>
      <c r="AK55" s="12"/>
      <c r="AL55" s="13">
        <v>136.91</v>
      </c>
      <c r="AM55" s="13">
        <f>+AI55/AL55</f>
        <v>0.92447593309473375</v>
      </c>
      <c r="AN55" s="13">
        <f>+AI55/AL55</f>
        <v>0.92447593309473375</v>
      </c>
      <c r="AO55" s="13"/>
      <c r="AP55" s="13"/>
      <c r="AQ55" s="15"/>
      <c r="AR55" s="13" t="s">
        <v>45</v>
      </c>
      <c r="AS55" s="15" t="s">
        <v>325</v>
      </c>
      <c r="AT55" s="16"/>
      <c r="AU55" s="17"/>
      <c r="AV55" s="18"/>
      <c r="AW55" s="19"/>
      <c r="AX55" s="19"/>
      <c r="AY55" s="19"/>
      <c r="AZ55" s="19"/>
      <c r="BA55" s="19"/>
      <c r="BB55" s="19"/>
      <c r="BC55" s="19"/>
      <c r="BD55" s="19"/>
      <c r="BE55" s="19"/>
      <c r="BF55" s="19"/>
      <c r="BG55" s="19"/>
      <c r="BH55" s="20"/>
      <c r="BI55" s="20"/>
      <c r="BJ55" s="20"/>
      <c r="BK55" s="20"/>
      <c r="BL55" s="20"/>
      <c r="BM55" s="20"/>
      <c r="BN55" s="20"/>
      <c r="BO55" s="20"/>
      <c r="BP55" s="20"/>
      <c r="BQ55" s="20"/>
      <c r="BR55" s="20"/>
      <c r="BS55" s="20"/>
      <c r="BT55" s="20"/>
      <c r="BU55" s="20"/>
      <c r="BV55" s="20"/>
      <c r="BW55" s="20"/>
      <c r="IQ55" s="20"/>
      <c r="IR55" s="20"/>
      <c r="IS55" s="20"/>
      <c r="IT55" s="20"/>
      <c r="IU55" s="20"/>
      <c r="IV55" s="20"/>
      <c r="IW55" s="20"/>
    </row>
    <row r="56" spans="1:257" s="21" customFormat="1" ht="51">
      <c r="A56" s="92"/>
      <c r="B56" s="163">
        <v>53</v>
      </c>
      <c r="C56" s="146" t="s">
        <v>326</v>
      </c>
      <c r="D56" s="144">
        <v>45665</v>
      </c>
      <c r="E56" s="145" t="s">
        <v>32</v>
      </c>
      <c r="F56" s="6">
        <v>45875</v>
      </c>
      <c r="G56" s="6">
        <v>316</v>
      </c>
      <c r="H56" s="6">
        <v>4198</v>
      </c>
      <c r="I56" s="7"/>
      <c r="J56" s="7"/>
      <c r="K56" s="7">
        <v>183</v>
      </c>
      <c r="L56" s="7">
        <v>26</v>
      </c>
      <c r="M56" s="7" t="s">
        <v>33</v>
      </c>
      <c r="N56" s="7" t="s">
        <v>327</v>
      </c>
      <c r="O56" s="7" t="s">
        <v>328</v>
      </c>
      <c r="P56" s="7"/>
      <c r="Q56" s="7" t="s">
        <v>329</v>
      </c>
      <c r="R56" s="7"/>
      <c r="S56" s="7"/>
      <c r="T56" s="7"/>
      <c r="U56" s="7" t="s">
        <v>330</v>
      </c>
      <c r="V56" s="8"/>
      <c r="W56" s="7"/>
      <c r="X56" s="7"/>
      <c r="Y56" s="7" t="s">
        <v>67</v>
      </c>
      <c r="Z56" s="9">
        <f>1*2+2</f>
        <v>4</v>
      </c>
      <c r="AA56" s="10"/>
      <c r="AB56" s="9">
        <f>+Z56+1</f>
        <v>5</v>
      </c>
      <c r="AC56" s="10"/>
      <c r="AD56" s="9">
        <f>+Z56*2</f>
        <v>8</v>
      </c>
      <c r="AE56" s="10"/>
      <c r="AF56" s="7">
        <f>60.27+7.37/2+7.31/2</f>
        <v>67.61</v>
      </c>
      <c r="AG56" s="7"/>
      <c r="AH56" s="7">
        <f>38.6/2+65.52</f>
        <v>84.82</v>
      </c>
      <c r="AI56" s="7"/>
      <c r="AJ56" s="11"/>
      <c r="AK56" s="12"/>
      <c r="AL56" s="13">
        <v>242.39</v>
      </c>
      <c r="AM56" s="13">
        <f>+(60.27+7.37+38.6+7.31)/AL56</f>
        <v>0.46845991996369496</v>
      </c>
      <c r="AN56" s="13">
        <f>+(AF56+AH56)/AL56</f>
        <v>0.62886257683897862</v>
      </c>
      <c r="AO56" s="13"/>
      <c r="AP56" s="13"/>
      <c r="AQ56" s="15"/>
      <c r="AR56" s="13" t="s">
        <v>180</v>
      </c>
      <c r="AS56" s="15" t="s">
        <v>331</v>
      </c>
      <c r="AT56" s="86">
        <v>45755</v>
      </c>
      <c r="AU56" s="17"/>
      <c r="AV56" s="147">
        <v>45754</v>
      </c>
      <c r="AW56" s="19"/>
      <c r="AX56" s="19"/>
      <c r="AY56" s="19"/>
      <c r="AZ56" s="19"/>
      <c r="BA56" s="19"/>
      <c r="BB56" s="19"/>
      <c r="BC56" s="19"/>
      <c r="BD56" s="19"/>
      <c r="BE56" s="19"/>
      <c r="BF56" s="19"/>
      <c r="BG56" s="19"/>
      <c r="BH56" s="20"/>
      <c r="BI56" s="20"/>
      <c r="BJ56" s="20"/>
      <c r="BK56" s="20"/>
      <c r="BL56" s="20"/>
      <c r="BM56" s="20"/>
      <c r="BN56" s="20"/>
      <c r="BO56" s="20"/>
      <c r="BP56" s="20"/>
      <c r="BQ56" s="20"/>
      <c r="BR56" s="20"/>
      <c r="BS56" s="20"/>
      <c r="BT56" s="20"/>
      <c r="BU56" s="20"/>
      <c r="BV56" s="20"/>
      <c r="BW56" s="20"/>
      <c r="IQ56" s="20"/>
      <c r="IR56" s="20"/>
      <c r="IS56" s="20"/>
      <c r="IT56" s="20"/>
      <c r="IU56" s="20"/>
      <c r="IV56" s="20"/>
      <c r="IW56" s="20"/>
    </row>
    <row r="57" spans="1:257" s="21" customFormat="1" ht="63.75">
      <c r="A57" s="92"/>
      <c r="B57" s="2"/>
      <c r="C57" s="164"/>
      <c r="D57" s="164"/>
      <c r="E57" s="164"/>
      <c r="F57" s="6">
        <v>45876</v>
      </c>
      <c r="G57" s="6">
        <v>148948</v>
      </c>
      <c r="H57" s="6">
        <v>9067</v>
      </c>
      <c r="I57" s="7"/>
      <c r="J57" s="7"/>
      <c r="K57" s="7">
        <v>183</v>
      </c>
      <c r="L57" s="7">
        <v>3</v>
      </c>
      <c r="M57" s="7" t="s">
        <v>33</v>
      </c>
      <c r="N57" s="7" t="s">
        <v>327</v>
      </c>
      <c r="O57" s="7" t="s">
        <v>328</v>
      </c>
      <c r="P57" s="7"/>
      <c r="Q57" s="7" t="s">
        <v>329</v>
      </c>
      <c r="R57" s="7"/>
      <c r="S57" s="7"/>
      <c r="T57" s="7"/>
      <c r="U57" s="7" t="s">
        <v>332</v>
      </c>
      <c r="V57" s="8"/>
      <c r="W57" s="7"/>
      <c r="X57" s="7"/>
      <c r="Y57" s="7" t="s">
        <v>67</v>
      </c>
      <c r="Z57" s="9">
        <f>1*4</f>
        <v>4</v>
      </c>
      <c r="AA57" s="10"/>
      <c r="AB57" s="9">
        <f>+Z57</f>
        <v>4</v>
      </c>
      <c r="AC57" s="10"/>
      <c r="AD57" s="9">
        <f>+Z57*2</f>
        <v>8</v>
      </c>
      <c r="AE57" s="10"/>
      <c r="AF57" s="7">
        <f>60.27+7.97/2</f>
        <v>64.25500000000001</v>
      </c>
      <c r="AG57" s="7"/>
      <c r="AH57" s="7">
        <v>67.22</v>
      </c>
      <c r="AI57" s="7"/>
      <c r="AJ57" s="11"/>
      <c r="AK57" s="12"/>
      <c r="AL57" s="13">
        <v>242.39</v>
      </c>
      <c r="AM57" s="13">
        <f>+(60.27+7.97)/AL57</f>
        <v>0.28152976607945879</v>
      </c>
      <c r="AN57" s="13">
        <f>+(AF57+AH57)/AL57</f>
        <v>0.54241099055241571</v>
      </c>
      <c r="AO57" s="13"/>
      <c r="AP57" s="13">
        <f>5150000+2800000</f>
        <v>7950000</v>
      </c>
      <c r="AQ57" s="15">
        <v>680351.37</v>
      </c>
      <c r="AR57" s="13" t="s">
        <v>180</v>
      </c>
      <c r="AS57" s="15" t="s">
        <v>333</v>
      </c>
      <c r="AT57" s="164"/>
      <c r="AU57" s="17"/>
      <c r="AV57" s="164"/>
      <c r="AW57" s="19"/>
      <c r="AX57" s="19"/>
      <c r="AY57" s="19"/>
      <c r="AZ57" s="19"/>
      <c r="BA57" s="19"/>
      <c r="BB57" s="19"/>
      <c r="BC57" s="19"/>
      <c r="BD57" s="19"/>
      <c r="BE57" s="19"/>
      <c r="BF57" s="19"/>
      <c r="BG57" s="19"/>
      <c r="BH57" s="20"/>
      <c r="BI57" s="20"/>
      <c r="BJ57" s="20"/>
      <c r="BK57" s="20"/>
      <c r="BL57" s="20"/>
      <c r="BM57" s="20"/>
      <c r="BN57" s="20"/>
      <c r="BO57" s="20"/>
      <c r="BP57" s="20"/>
      <c r="BQ57" s="20"/>
      <c r="BR57" s="20"/>
      <c r="BS57" s="20"/>
      <c r="BT57" s="20"/>
      <c r="BU57" s="20"/>
      <c r="BV57" s="20"/>
      <c r="BW57" s="20"/>
      <c r="IQ57" s="20"/>
      <c r="IR57" s="20"/>
      <c r="IS57" s="20"/>
      <c r="IT57" s="20"/>
      <c r="IU57" s="20"/>
      <c r="IV57" s="20"/>
      <c r="IW57" s="20"/>
    </row>
    <row r="58" spans="1:257" s="21" customFormat="1" ht="38.25">
      <c r="A58" s="92"/>
      <c r="B58" s="70">
        <v>54</v>
      </c>
      <c r="C58" s="68" t="s">
        <v>334</v>
      </c>
      <c r="D58" s="4">
        <v>45636</v>
      </c>
      <c r="E58" s="5" t="s">
        <v>32</v>
      </c>
      <c r="F58" s="6">
        <v>24318</v>
      </c>
      <c r="G58" s="6">
        <v>118007</v>
      </c>
      <c r="H58" s="6">
        <v>5447</v>
      </c>
      <c r="I58" s="7"/>
      <c r="J58" s="7"/>
      <c r="K58" s="7">
        <v>165</v>
      </c>
      <c r="L58" s="7">
        <v>16</v>
      </c>
      <c r="M58" s="7" t="s">
        <v>33</v>
      </c>
      <c r="N58" s="7" t="s">
        <v>335</v>
      </c>
      <c r="O58" s="7" t="s">
        <v>336</v>
      </c>
      <c r="P58" s="7"/>
      <c r="Q58" s="7" t="s">
        <v>329</v>
      </c>
      <c r="R58" s="7"/>
      <c r="S58" s="7"/>
      <c r="T58" s="7"/>
      <c r="U58" s="7">
        <f>1+1+1</f>
        <v>3</v>
      </c>
      <c r="V58" s="8"/>
      <c r="W58" s="7"/>
      <c r="X58" s="7"/>
      <c r="Y58" s="7" t="s">
        <v>67</v>
      </c>
      <c r="Z58" s="9">
        <f>2+2+2</f>
        <v>6</v>
      </c>
      <c r="AA58" s="10"/>
      <c r="AB58" s="9">
        <f>+Z58+1+1+1</f>
        <v>9</v>
      </c>
      <c r="AC58" s="10"/>
      <c r="AD58" s="9">
        <f>+Z58*2</f>
        <v>12</v>
      </c>
      <c r="AE58" s="10"/>
      <c r="AF58" s="7">
        <f>133.98+19.85/2+78.71+4.09/2</f>
        <v>224.66</v>
      </c>
      <c r="AG58" s="7"/>
      <c r="AH58" s="7">
        <v>0.48</v>
      </c>
      <c r="AI58" s="7"/>
      <c r="AJ58" s="11"/>
      <c r="AK58" s="12"/>
      <c r="AL58" s="13">
        <v>219.96</v>
      </c>
      <c r="AM58" s="13">
        <f>+(133.98+19.85+6.48)/AL58</f>
        <v>0.72881432987815953</v>
      </c>
      <c r="AN58" s="13">
        <f>+(AF58+AH58)/AL58</f>
        <v>1.0235497363156936</v>
      </c>
      <c r="AO58" s="13"/>
      <c r="AP58" s="13">
        <f>+(2*346505+5*277126+13*207874+138602*3)/23*AH58</f>
        <v>108455.12347826087</v>
      </c>
      <c r="AQ58" s="15">
        <v>65818.33</v>
      </c>
      <c r="AR58" s="13" t="s">
        <v>303</v>
      </c>
      <c r="AS58" s="15" t="s">
        <v>337</v>
      </c>
      <c r="AT58" s="16">
        <v>45755</v>
      </c>
      <c r="AU58" s="17"/>
      <c r="AV58" s="18">
        <v>45754</v>
      </c>
      <c r="AW58" s="19"/>
      <c r="AX58" s="19"/>
      <c r="AY58" s="19"/>
      <c r="AZ58" s="19"/>
      <c r="BA58" s="19"/>
      <c r="BB58" s="19"/>
      <c r="BC58" s="19"/>
      <c r="BD58" s="19"/>
      <c r="BE58" s="19"/>
      <c r="BF58" s="19"/>
      <c r="BG58" s="19"/>
      <c r="BH58" s="20"/>
      <c r="BI58" s="20"/>
      <c r="BJ58" s="20"/>
      <c r="BK58" s="20"/>
      <c r="BL58" s="20"/>
      <c r="BM58" s="20"/>
      <c r="BN58" s="20"/>
      <c r="BO58" s="20"/>
      <c r="BP58" s="20"/>
      <c r="BQ58" s="20"/>
      <c r="BR58" s="20"/>
      <c r="BS58" s="20"/>
      <c r="BT58" s="20"/>
      <c r="BU58" s="20"/>
      <c r="BV58" s="20"/>
      <c r="BW58" s="20"/>
      <c r="IQ58" s="20"/>
      <c r="IR58" s="20"/>
      <c r="IS58" s="20"/>
      <c r="IT58" s="20"/>
      <c r="IU58" s="20"/>
      <c r="IV58" s="20"/>
      <c r="IW58" s="20"/>
    </row>
    <row r="59" spans="1:257" s="21" customFormat="1" ht="63.75">
      <c r="A59" s="92"/>
      <c r="B59" s="70">
        <v>55</v>
      </c>
      <c r="C59" s="68" t="s">
        <v>338</v>
      </c>
      <c r="D59" s="4">
        <v>45566</v>
      </c>
      <c r="E59" s="5" t="s">
        <v>32</v>
      </c>
      <c r="F59" s="6">
        <v>5451</v>
      </c>
      <c r="G59" s="6">
        <v>163457</v>
      </c>
      <c r="H59" s="6">
        <v>33339</v>
      </c>
      <c r="I59" s="7"/>
      <c r="J59" s="7"/>
      <c r="K59" s="7">
        <v>6</v>
      </c>
      <c r="L59" s="7">
        <v>3</v>
      </c>
      <c r="M59" s="7" t="s">
        <v>41</v>
      </c>
      <c r="N59" s="7" t="s">
        <v>339</v>
      </c>
      <c r="O59" s="7" t="s">
        <v>340</v>
      </c>
      <c r="P59" s="7"/>
      <c r="Q59" s="7" t="s">
        <v>341</v>
      </c>
      <c r="R59" s="7"/>
      <c r="S59" s="7"/>
      <c r="T59" s="7"/>
      <c r="U59" s="7">
        <v>1</v>
      </c>
      <c r="V59" s="8"/>
      <c r="W59" s="7"/>
      <c r="X59" s="7"/>
      <c r="Y59" s="7" t="s">
        <v>37</v>
      </c>
      <c r="Z59" s="9">
        <v>2</v>
      </c>
      <c r="AA59" s="10"/>
      <c r="AB59" s="9">
        <f>+Z59+1</f>
        <v>3</v>
      </c>
      <c r="AC59" s="10"/>
      <c r="AD59" s="9">
        <f>+Z59*2</f>
        <v>4</v>
      </c>
      <c r="AE59" s="10"/>
      <c r="AF59" s="7"/>
      <c r="AG59" s="7"/>
      <c r="AH59" s="7">
        <f>53.55+8.45/2</f>
        <v>57.774999999999999</v>
      </c>
      <c r="AI59" s="7"/>
      <c r="AJ59" s="11"/>
      <c r="AK59" s="12"/>
      <c r="AL59" s="13">
        <v>600</v>
      </c>
      <c r="AM59" s="13">
        <f>+(53.55+8.45)/AL59</f>
        <v>0.10333333333333333</v>
      </c>
      <c r="AN59" s="13">
        <f>+AH59/AL59</f>
        <v>9.6291666666666664E-2</v>
      </c>
      <c r="AO59" s="13">
        <f>+(28+15)/(7+3)</f>
        <v>4.3</v>
      </c>
      <c r="AP59" s="13">
        <f>+(9*277126+6*207874+138602*5)/20*AH59</f>
        <v>12809838.334999999</v>
      </c>
      <c r="AQ59" s="15">
        <v>243533.54</v>
      </c>
      <c r="AR59" s="13" t="s">
        <v>180</v>
      </c>
      <c r="AS59" s="15" t="s">
        <v>342</v>
      </c>
      <c r="AT59" s="16">
        <v>45755</v>
      </c>
      <c r="AU59" s="17"/>
      <c r="AV59" s="18"/>
      <c r="AW59" s="19"/>
      <c r="AX59" s="19"/>
      <c r="AY59" s="19"/>
      <c r="AZ59" s="19"/>
      <c r="BA59" s="19"/>
      <c r="BB59" s="19"/>
      <c r="BC59" s="19"/>
      <c r="BD59" s="19"/>
      <c r="BE59" s="19"/>
      <c r="BF59" s="19"/>
      <c r="BG59" s="19"/>
      <c r="BH59" s="20"/>
      <c r="BI59" s="20"/>
      <c r="BJ59" s="20"/>
      <c r="BK59" s="20"/>
      <c r="BL59" s="20"/>
      <c r="BM59" s="20"/>
      <c r="BN59" s="20"/>
      <c r="BO59" s="20"/>
      <c r="BP59" s="20"/>
      <c r="BQ59" s="20"/>
      <c r="BR59" s="20"/>
      <c r="BS59" s="20"/>
      <c r="BT59" s="20"/>
      <c r="BU59" s="20"/>
      <c r="BV59" s="20"/>
      <c r="BW59" s="20"/>
      <c r="IQ59" s="20"/>
      <c r="IR59" s="20"/>
      <c r="IS59" s="20"/>
      <c r="IT59" s="20"/>
      <c r="IU59" s="20"/>
      <c r="IV59" s="20"/>
      <c r="IW59" s="20"/>
    </row>
    <row r="60" spans="1:257" s="21" customFormat="1" ht="76.5">
      <c r="A60" s="92"/>
      <c r="B60" s="70">
        <v>56</v>
      </c>
      <c r="C60" s="68">
        <v>566242</v>
      </c>
      <c r="D60" s="4">
        <v>45572</v>
      </c>
      <c r="E60" s="5" t="s">
        <v>48</v>
      </c>
      <c r="F60" s="6">
        <v>57682</v>
      </c>
      <c r="G60" s="6">
        <v>1034</v>
      </c>
      <c r="H60" s="6">
        <v>4449</v>
      </c>
      <c r="I60" s="7"/>
      <c r="J60" s="7"/>
      <c r="K60" s="7">
        <v>215</v>
      </c>
      <c r="L60" s="7">
        <v>9</v>
      </c>
      <c r="M60" s="7" t="s">
        <v>57</v>
      </c>
      <c r="N60" s="7" t="s">
        <v>343</v>
      </c>
      <c r="O60" s="7" t="s">
        <v>344</v>
      </c>
      <c r="P60" s="7" t="s">
        <v>345</v>
      </c>
      <c r="Q60" s="7" t="s">
        <v>44</v>
      </c>
      <c r="R60" s="7" t="s">
        <v>44</v>
      </c>
      <c r="S60" s="7" t="s">
        <v>44</v>
      </c>
      <c r="T60" s="7" t="s">
        <v>346</v>
      </c>
      <c r="U60" s="7"/>
      <c r="V60" s="8">
        <v>19</v>
      </c>
      <c r="W60" s="7"/>
      <c r="X60" s="7"/>
      <c r="Y60" s="7" t="s">
        <v>67</v>
      </c>
      <c r="Z60" s="9"/>
      <c r="AA60" s="10">
        <f>+(2*10)+(9*1)</f>
        <v>29</v>
      </c>
      <c r="AB60" s="9"/>
      <c r="AC60" s="10">
        <f>19+AA60</f>
        <v>48</v>
      </c>
      <c r="AD60" s="9"/>
      <c r="AE60" s="10">
        <f>+AA60*2</f>
        <v>58</v>
      </c>
      <c r="AF60" s="7"/>
      <c r="AG60" s="7"/>
      <c r="AH60" s="7"/>
      <c r="AI60" s="7"/>
      <c r="AJ60" s="11">
        <f>368.58/2+48.35+33.07/2+21.63+338.5+22.45/2+22.42/2+294.79+21.63+30.52/2+49.45/2+49.35/2+21.63+247.44+22.42/2+35.41/2+21.63+114.3+37.35/2</f>
        <v>1465.4100000000003</v>
      </c>
      <c r="AK60" s="12"/>
      <c r="AL60" s="13">
        <v>582.01</v>
      </c>
      <c r="AM60" s="13"/>
      <c r="AN60" s="13">
        <f>+AJ60/AL60</f>
        <v>2.5178433360251549</v>
      </c>
      <c r="AO60" s="13"/>
      <c r="AP60" s="13">
        <f>+(9*346505+277126*6+8*207874+138602*2)/25*AJ60</f>
        <v>393989956.75080007</v>
      </c>
      <c r="AQ60" s="15">
        <v>1371666.9</v>
      </c>
      <c r="AR60" s="13" t="s">
        <v>45</v>
      </c>
      <c r="AS60" s="15" t="s">
        <v>347</v>
      </c>
      <c r="AT60" s="16">
        <v>45756</v>
      </c>
      <c r="AU60" s="17"/>
      <c r="AV60" s="18" t="s">
        <v>348</v>
      </c>
      <c r="AW60" s="19"/>
      <c r="AX60" s="19"/>
      <c r="AY60" s="19"/>
      <c r="AZ60" s="19"/>
      <c r="BA60" s="19"/>
      <c r="BB60" s="19"/>
      <c r="BC60" s="19"/>
      <c r="BD60" s="19"/>
      <c r="BE60" s="19"/>
      <c r="BF60" s="19"/>
      <c r="BG60" s="19"/>
      <c r="BH60" s="20"/>
      <c r="BI60" s="20"/>
      <c r="BJ60" s="20"/>
      <c r="BK60" s="20"/>
      <c r="BL60" s="20"/>
      <c r="BM60" s="20"/>
      <c r="BN60" s="20"/>
      <c r="BO60" s="20"/>
      <c r="BP60" s="20"/>
      <c r="BQ60" s="20"/>
      <c r="BR60" s="20"/>
      <c r="BS60" s="20"/>
      <c r="BT60" s="20"/>
      <c r="BU60" s="20"/>
      <c r="BV60" s="20"/>
      <c r="BW60" s="20"/>
      <c r="IQ60" s="20"/>
      <c r="IR60" s="20"/>
      <c r="IS60" s="20"/>
      <c r="IT60" s="20"/>
      <c r="IU60" s="20"/>
      <c r="IV60" s="20"/>
      <c r="IW60" s="20"/>
    </row>
    <row r="61" spans="1:257" s="21" customFormat="1" ht="63.75">
      <c r="A61" s="92"/>
      <c r="B61" s="70">
        <v>57</v>
      </c>
      <c r="C61" s="68" t="s">
        <v>349</v>
      </c>
      <c r="D61" s="4">
        <v>45621</v>
      </c>
      <c r="E61" s="5" t="s">
        <v>32</v>
      </c>
      <c r="F61" s="6">
        <v>30531</v>
      </c>
      <c r="G61" s="6">
        <v>1320</v>
      </c>
      <c r="H61" s="6">
        <v>818</v>
      </c>
      <c r="I61" s="7"/>
      <c r="J61" s="7"/>
      <c r="K61" s="7">
        <v>170</v>
      </c>
      <c r="L61" s="7">
        <v>13</v>
      </c>
      <c r="M61" s="7" t="s">
        <v>33</v>
      </c>
      <c r="N61" s="7" t="s">
        <v>350</v>
      </c>
      <c r="O61" s="7" t="s">
        <v>351</v>
      </c>
      <c r="P61" s="7"/>
      <c r="Q61" s="7" t="s">
        <v>120</v>
      </c>
      <c r="R61" s="7"/>
      <c r="S61" s="7"/>
      <c r="T61" s="7"/>
      <c r="U61" s="7">
        <v>1</v>
      </c>
      <c r="V61" s="8"/>
      <c r="W61" s="7"/>
      <c r="X61" s="7"/>
      <c r="Y61" s="7" t="s">
        <v>85</v>
      </c>
      <c r="Z61" s="9"/>
      <c r="AA61" s="10"/>
      <c r="AB61" s="9"/>
      <c r="AC61" s="10"/>
      <c r="AD61" s="9"/>
      <c r="AE61" s="10"/>
      <c r="AF61" s="7"/>
      <c r="AG61" s="7"/>
      <c r="AH61" s="7">
        <f>186.15+23.76+19.89</f>
        <v>229.8</v>
      </c>
      <c r="AI61" s="7">
        <f>41.55+41.55+47.34/2</f>
        <v>106.77</v>
      </c>
      <c r="AJ61" s="11"/>
      <c r="AK61" s="12"/>
      <c r="AL61" s="13">
        <v>311.94</v>
      </c>
      <c r="AM61" s="13">
        <f>+(47.34+41.55+23.76+186.15)/AL61</f>
        <v>0.95787651471436819</v>
      </c>
      <c r="AN61" s="13">
        <f>+(AH61+AI61)/AL61</f>
        <v>1.0789574918253511</v>
      </c>
      <c r="AO61" s="13"/>
      <c r="AP61" s="13">
        <f>+((7*346505+277126*3+9*207874+138602*5)/24*AI61)+103858588</f>
        <v>129753823.06375</v>
      </c>
      <c r="AQ61" s="15">
        <v>1793980.45</v>
      </c>
      <c r="AR61" s="13" t="s">
        <v>38</v>
      </c>
      <c r="AS61" s="15" t="s">
        <v>352</v>
      </c>
      <c r="AT61" s="16">
        <v>45757</v>
      </c>
      <c r="AU61" s="17"/>
      <c r="AV61" s="18">
        <v>45751</v>
      </c>
      <c r="AW61" s="19"/>
      <c r="AX61" s="19"/>
      <c r="AY61" s="19"/>
      <c r="AZ61" s="19"/>
      <c r="BA61" s="19"/>
      <c r="BB61" s="19"/>
      <c r="BC61" s="19"/>
      <c r="BD61" s="19"/>
      <c r="BE61" s="19"/>
      <c r="BF61" s="19"/>
      <c r="BG61" s="19"/>
      <c r="BH61" s="20"/>
      <c r="BI61" s="20"/>
      <c r="BJ61" s="20"/>
      <c r="BK61" s="20"/>
      <c r="BL61" s="20"/>
      <c r="BM61" s="20"/>
      <c r="BN61" s="20"/>
      <c r="BO61" s="20"/>
      <c r="BP61" s="20"/>
      <c r="BQ61" s="20"/>
      <c r="BR61" s="20"/>
      <c r="BS61" s="20"/>
      <c r="BT61" s="20"/>
      <c r="BU61" s="20"/>
      <c r="BV61" s="20"/>
      <c r="BW61" s="20"/>
      <c r="IQ61" s="20"/>
      <c r="IR61" s="20"/>
      <c r="IS61" s="20"/>
      <c r="IT61" s="20"/>
      <c r="IU61" s="20"/>
      <c r="IV61" s="20"/>
      <c r="IW61" s="20"/>
    </row>
    <row r="62" spans="1:257" s="21" customFormat="1" ht="63.75">
      <c r="A62" s="92"/>
      <c r="B62" s="163">
        <v>58</v>
      </c>
      <c r="C62" s="146">
        <v>570974</v>
      </c>
      <c r="D62" s="144">
        <v>45727</v>
      </c>
      <c r="E62" s="145" t="s">
        <v>32</v>
      </c>
      <c r="F62" s="6">
        <v>53327</v>
      </c>
      <c r="G62" s="6">
        <v>162651</v>
      </c>
      <c r="H62" s="6">
        <v>33216</v>
      </c>
      <c r="I62" s="77">
        <v>231</v>
      </c>
      <c r="J62" s="7"/>
      <c r="K62" s="7"/>
      <c r="L62" s="7">
        <v>7</v>
      </c>
      <c r="M62" s="77" t="s">
        <v>41</v>
      </c>
      <c r="N62" s="7" t="s">
        <v>353</v>
      </c>
      <c r="O62" s="77" t="s">
        <v>354</v>
      </c>
      <c r="P62" s="7"/>
      <c r="Q62" s="77" t="s">
        <v>120</v>
      </c>
      <c r="R62" s="7"/>
      <c r="S62" s="7"/>
      <c r="T62" s="7"/>
      <c r="U62" s="7">
        <v>2</v>
      </c>
      <c r="V62" s="8"/>
      <c r="W62" s="7"/>
      <c r="X62" s="7"/>
      <c r="Y62" s="7" t="s">
        <v>355</v>
      </c>
      <c r="Z62" s="9">
        <v>1</v>
      </c>
      <c r="AA62" s="10"/>
      <c r="AB62" s="9">
        <v>0</v>
      </c>
      <c r="AC62" s="10"/>
      <c r="AD62" s="9">
        <f>+Z62*2</f>
        <v>2</v>
      </c>
      <c r="AE62" s="10"/>
      <c r="AF62" s="7"/>
      <c r="AG62" s="7"/>
      <c r="AH62" s="7">
        <f>42.94+9.85/2</f>
        <v>47.864999999999995</v>
      </c>
      <c r="AI62" s="7"/>
      <c r="AJ62" s="11"/>
      <c r="AK62" s="12"/>
      <c r="AL62" s="13">
        <v>999.98</v>
      </c>
      <c r="AM62" s="13">
        <f>+(42.94+9.85)/AL62</f>
        <v>5.2791055821116421E-2</v>
      </c>
      <c r="AN62" s="13">
        <f>+AH62/AL62</f>
        <v>4.7865957319146377E-2</v>
      </c>
      <c r="AO62" s="13"/>
      <c r="AP62" s="13">
        <f>+(3*346505+3*277126+11*207874+138602*3)/20*AH62</f>
        <v>10945081.337249998</v>
      </c>
      <c r="AQ62" s="15"/>
      <c r="AR62" s="83" t="s">
        <v>38</v>
      </c>
      <c r="AS62" s="15" t="s">
        <v>356</v>
      </c>
      <c r="AT62" s="86">
        <v>45758</v>
      </c>
      <c r="AU62" s="17"/>
      <c r="AV62" s="147">
        <v>45729</v>
      </c>
      <c r="AW62" s="19"/>
      <c r="AX62" s="19"/>
      <c r="AY62" s="19"/>
      <c r="AZ62" s="19"/>
      <c r="BA62" s="19"/>
      <c r="BB62" s="19"/>
      <c r="BC62" s="19"/>
      <c r="BD62" s="19"/>
      <c r="BE62" s="19"/>
      <c r="BF62" s="19"/>
      <c r="BG62" s="19"/>
      <c r="BH62" s="20"/>
      <c r="BI62" s="20"/>
      <c r="BJ62" s="20"/>
      <c r="BK62" s="20"/>
      <c r="BL62" s="20"/>
      <c r="BM62" s="20"/>
      <c r="BN62" s="20"/>
      <c r="BO62" s="20"/>
      <c r="BP62" s="20"/>
      <c r="BQ62" s="20"/>
      <c r="BR62" s="20"/>
      <c r="BS62" s="20"/>
      <c r="BT62" s="20"/>
      <c r="BU62" s="20"/>
      <c r="BV62" s="20"/>
      <c r="BW62" s="20"/>
      <c r="IQ62" s="20"/>
      <c r="IR62" s="20"/>
      <c r="IS62" s="20"/>
      <c r="IT62" s="20"/>
      <c r="IU62" s="20"/>
      <c r="IV62" s="20"/>
      <c r="IW62" s="20"/>
    </row>
    <row r="63" spans="1:257" s="21" customFormat="1" ht="25.5">
      <c r="A63" s="92"/>
      <c r="B63" s="2"/>
      <c r="C63" s="164"/>
      <c r="D63" s="164"/>
      <c r="E63" s="164"/>
      <c r="F63" s="6">
        <v>57846</v>
      </c>
      <c r="G63" s="6">
        <v>166357</v>
      </c>
      <c r="H63" s="6">
        <v>33764</v>
      </c>
      <c r="I63" s="164"/>
      <c r="J63" s="7"/>
      <c r="K63" s="7"/>
      <c r="L63" s="7">
        <v>10</v>
      </c>
      <c r="M63" s="164"/>
      <c r="N63" s="7"/>
      <c r="O63" s="164"/>
      <c r="P63" s="7"/>
      <c r="Q63" s="164"/>
      <c r="R63" s="7"/>
      <c r="S63" s="7"/>
      <c r="T63" s="7"/>
      <c r="U63" s="7"/>
      <c r="V63" s="8"/>
      <c r="W63" s="7"/>
      <c r="X63" s="7"/>
      <c r="Y63" s="7" t="s">
        <v>37</v>
      </c>
      <c r="Z63" s="9">
        <v>3</v>
      </c>
      <c r="AA63" s="10"/>
      <c r="AB63" s="9">
        <v>1</v>
      </c>
      <c r="AC63" s="10"/>
      <c r="AD63" s="9">
        <f>+Z63*2</f>
        <v>6</v>
      </c>
      <c r="AE63" s="10"/>
      <c r="AF63" s="7"/>
      <c r="AG63" s="7"/>
      <c r="AH63" s="7">
        <f>160.47+27.07/2</f>
        <v>174.005</v>
      </c>
      <c r="AI63" s="7"/>
      <c r="AJ63" s="11"/>
      <c r="AK63" s="12"/>
      <c r="AL63" s="13">
        <v>646</v>
      </c>
      <c r="AM63" s="13">
        <f>+(160.47+27.07)/AL63</f>
        <v>0.29030959752321978</v>
      </c>
      <c r="AN63" s="13">
        <f>+AH63/AL63</f>
        <v>0.2693575851393189</v>
      </c>
      <c r="AO63" s="13"/>
      <c r="AP63" s="13">
        <f>+(6*346505+5*277126+207874*7+3*138602)/21*AH63</f>
        <v>44210394.948571429</v>
      </c>
      <c r="AQ63" s="15">
        <v>830877.24</v>
      </c>
      <c r="AR63" s="164"/>
      <c r="AS63" s="15" t="s">
        <v>357</v>
      </c>
      <c r="AT63" s="164"/>
      <c r="AU63" s="17"/>
      <c r="AV63" s="164"/>
      <c r="AW63" s="19"/>
      <c r="AX63" s="19"/>
      <c r="AY63" s="19"/>
      <c r="AZ63" s="19"/>
      <c r="BA63" s="19"/>
      <c r="BB63" s="19"/>
      <c r="BC63" s="19"/>
      <c r="BD63" s="19"/>
      <c r="BE63" s="19"/>
      <c r="BF63" s="19"/>
      <c r="BG63" s="19"/>
      <c r="BH63" s="20"/>
      <c r="BI63" s="20"/>
      <c r="BJ63" s="20"/>
      <c r="BK63" s="20"/>
      <c r="BL63" s="20"/>
      <c r="BM63" s="20"/>
      <c r="BN63" s="20"/>
      <c r="BO63" s="20"/>
      <c r="BP63" s="20"/>
      <c r="BQ63" s="20"/>
      <c r="BR63" s="20"/>
      <c r="BS63" s="20"/>
      <c r="BT63" s="20"/>
      <c r="BU63" s="20"/>
      <c r="BV63" s="20"/>
      <c r="BW63" s="20"/>
      <c r="IQ63" s="20"/>
      <c r="IR63" s="20"/>
      <c r="IS63" s="20"/>
      <c r="IT63" s="20"/>
      <c r="IU63" s="20"/>
      <c r="IV63" s="20"/>
      <c r="IW63" s="20"/>
    </row>
    <row r="64" spans="1:257" s="21" customFormat="1" ht="38.25">
      <c r="A64" s="92"/>
      <c r="B64" s="70">
        <v>59</v>
      </c>
      <c r="C64" s="68">
        <v>571265</v>
      </c>
      <c r="D64" s="4">
        <v>45735</v>
      </c>
      <c r="E64" s="5" t="s">
        <v>48</v>
      </c>
      <c r="F64" s="6">
        <v>63542</v>
      </c>
      <c r="G64" s="6">
        <v>170849</v>
      </c>
      <c r="H64" s="6">
        <v>34346</v>
      </c>
      <c r="I64" s="7">
        <v>327</v>
      </c>
      <c r="J64" s="7"/>
      <c r="K64" s="7">
        <v>7</v>
      </c>
      <c r="L64" s="7">
        <v>4</v>
      </c>
      <c r="M64" s="7" t="s">
        <v>41</v>
      </c>
      <c r="N64" s="7" t="s">
        <v>358</v>
      </c>
      <c r="O64" s="7" t="s">
        <v>359</v>
      </c>
      <c r="P64" s="7"/>
      <c r="Q64" s="7" t="s">
        <v>360</v>
      </c>
      <c r="R64" s="7" t="s">
        <v>360</v>
      </c>
      <c r="S64" s="7" t="s">
        <v>360</v>
      </c>
      <c r="T64" s="7" t="s">
        <v>84</v>
      </c>
      <c r="U64" s="7"/>
      <c r="V64" s="8">
        <v>1</v>
      </c>
      <c r="W64" s="7"/>
      <c r="X64" s="7"/>
      <c r="Y64" s="7" t="s">
        <v>37</v>
      </c>
      <c r="Z64" s="9"/>
      <c r="AA64" s="10">
        <v>2</v>
      </c>
      <c r="AB64" s="9"/>
      <c r="AC64" s="10">
        <f>+AA64+1</f>
        <v>3</v>
      </c>
      <c r="AD64" s="9"/>
      <c r="AE64" s="10">
        <f>+AA64*2</f>
        <v>4</v>
      </c>
      <c r="AF64" s="7"/>
      <c r="AG64" s="7"/>
      <c r="AH64" s="7"/>
      <c r="AI64" s="7"/>
      <c r="AJ64" s="11">
        <f>52.5+8.06/2</f>
        <v>56.53</v>
      </c>
      <c r="AK64" s="12"/>
      <c r="AL64" s="13">
        <v>316.10000000000002</v>
      </c>
      <c r="AM64" s="13">
        <f>+(52.5+8.06)/AL64</f>
        <v>0.19158494147421701</v>
      </c>
      <c r="AN64" s="13">
        <f>+AJ64/AL64</f>
        <v>0.17883581145207211</v>
      </c>
      <c r="AO64" s="13"/>
      <c r="AP64" s="13">
        <f>+(2*346505+277126*11+5*207874+138602*2)/20*AJ64</f>
        <v>14296352.205</v>
      </c>
      <c r="AQ64" s="15">
        <v>69089.63</v>
      </c>
      <c r="AR64" s="13" t="s">
        <v>45</v>
      </c>
      <c r="AS64" s="15" t="s">
        <v>361</v>
      </c>
      <c r="AT64" s="16">
        <v>45758</v>
      </c>
      <c r="AU64" s="17"/>
      <c r="AV64" s="18" t="s">
        <v>362</v>
      </c>
      <c r="AW64" s="19"/>
      <c r="AX64" s="19"/>
      <c r="AY64" s="19"/>
      <c r="AZ64" s="19"/>
      <c r="BA64" s="19"/>
      <c r="BB64" s="19"/>
      <c r="BC64" s="19"/>
      <c r="BD64" s="19"/>
      <c r="BE64" s="19"/>
      <c r="BF64" s="19"/>
      <c r="BG64" s="19"/>
      <c r="BH64" s="20"/>
      <c r="BI64" s="20"/>
      <c r="BJ64" s="20"/>
      <c r="BK64" s="20"/>
      <c r="BL64" s="20"/>
      <c r="BM64" s="20"/>
      <c r="BN64" s="20"/>
      <c r="BO64" s="20"/>
      <c r="BP64" s="20"/>
      <c r="BQ64" s="20"/>
      <c r="BR64" s="20"/>
      <c r="BS64" s="20"/>
      <c r="BT64" s="20"/>
      <c r="BU64" s="20"/>
      <c r="BV64" s="20"/>
      <c r="BW64" s="20"/>
      <c r="IQ64" s="20"/>
      <c r="IR64" s="20"/>
      <c r="IS64" s="20"/>
      <c r="IT64" s="20"/>
      <c r="IU64" s="20"/>
      <c r="IV64" s="20"/>
      <c r="IW64" s="20"/>
    </row>
    <row r="65" spans="1:257 16384:16384" s="21" customFormat="1" ht="89.25">
      <c r="A65" s="92"/>
      <c r="B65" s="70">
        <v>60</v>
      </c>
      <c r="C65" s="68" t="s">
        <v>363</v>
      </c>
      <c r="D65" s="93">
        <v>45512</v>
      </c>
      <c r="E65" s="48" t="s">
        <v>48</v>
      </c>
      <c r="F65" s="6">
        <v>23550</v>
      </c>
      <c r="G65" s="6">
        <v>1214</v>
      </c>
      <c r="H65" s="6">
        <v>976</v>
      </c>
      <c r="I65" s="7"/>
      <c r="J65" s="7"/>
      <c r="K65" s="7">
        <v>112</v>
      </c>
      <c r="L65" s="7">
        <v>19</v>
      </c>
      <c r="M65" s="7" t="s">
        <v>33</v>
      </c>
      <c r="N65" s="7" t="s">
        <v>364</v>
      </c>
      <c r="O65" s="7" t="s">
        <v>365</v>
      </c>
      <c r="P65" s="7"/>
      <c r="Q65" s="7" t="s">
        <v>366</v>
      </c>
      <c r="R65" s="7" t="s">
        <v>366</v>
      </c>
      <c r="S65" s="7" t="s">
        <v>366</v>
      </c>
      <c r="T65" s="7" t="s">
        <v>367</v>
      </c>
      <c r="U65" s="7"/>
      <c r="V65" s="7">
        <v>1</v>
      </c>
      <c r="W65" s="7"/>
      <c r="X65" s="7"/>
      <c r="Y65" s="7" t="s">
        <v>37</v>
      </c>
      <c r="Z65" s="9"/>
      <c r="AA65" s="9">
        <v>4</v>
      </c>
      <c r="AB65" s="9"/>
      <c r="AC65" s="9">
        <f>+AA65+1</f>
        <v>5</v>
      </c>
      <c r="AD65" s="9"/>
      <c r="AE65" s="9">
        <f>+AA65*2</f>
        <v>8</v>
      </c>
      <c r="AF65" s="7"/>
      <c r="AG65" s="7"/>
      <c r="AH65" s="7"/>
      <c r="AI65" s="7"/>
      <c r="AJ65" s="7">
        <f>143.4+80.24+0</f>
        <v>223.64</v>
      </c>
      <c r="AK65" s="13"/>
      <c r="AL65" s="13">
        <v>281.67</v>
      </c>
      <c r="AM65" s="13">
        <f>+(143.4)/AL65</f>
        <v>0.50910640110767924</v>
      </c>
      <c r="AN65" s="13">
        <f>+AJ65/AL65</f>
        <v>0.79397876948201784</v>
      </c>
      <c r="AO65" s="13"/>
      <c r="AP65" s="13">
        <f>3051512.8+121864343.32</f>
        <v>124915856.11999999</v>
      </c>
      <c r="AQ65" s="15">
        <v>1027914.61</v>
      </c>
      <c r="AR65" s="13" t="s">
        <v>45</v>
      </c>
      <c r="AS65" s="15" t="s">
        <v>368</v>
      </c>
      <c r="AT65" s="16">
        <v>45764</v>
      </c>
      <c r="AU65" s="17"/>
      <c r="AV65" s="50" t="s">
        <v>369</v>
      </c>
      <c r="AW65" s="19"/>
      <c r="AX65" s="19">
        <f>86.32+23.03/2</f>
        <v>97.834999999999994</v>
      </c>
      <c r="AY65" s="19">
        <f>+(5*346505+277126*12+207874*5)/22*AJ65</f>
        <v>61982913.703636363</v>
      </c>
      <c r="AZ65" s="19"/>
      <c r="BA65" s="19"/>
      <c r="BB65" s="19"/>
      <c r="BC65" s="19"/>
      <c r="BD65" s="19"/>
      <c r="BE65" s="19"/>
      <c r="BF65" s="19"/>
      <c r="BG65" s="19"/>
      <c r="BH65" s="20"/>
      <c r="BI65" s="20"/>
      <c r="BJ65" s="20"/>
      <c r="BK65" s="20"/>
      <c r="BL65" s="20"/>
      <c r="BM65" s="20"/>
      <c r="BN65" s="20"/>
      <c r="BO65" s="20"/>
      <c r="BP65" s="20"/>
      <c r="BQ65" s="20"/>
      <c r="BR65" s="20"/>
      <c r="BS65" s="20"/>
      <c r="BT65" s="20"/>
      <c r="BU65" s="20"/>
      <c r="BV65" s="20"/>
      <c r="BW65" s="20"/>
      <c r="IQ65" s="20"/>
      <c r="IR65" s="20"/>
      <c r="IS65" s="20"/>
      <c r="IT65" s="20"/>
      <c r="IU65" s="20"/>
      <c r="IV65" s="20"/>
      <c r="IW65" s="20"/>
    </row>
    <row r="66" spans="1:257 16384:16384" s="21" customFormat="1" ht="63.75">
      <c r="A66" s="92"/>
      <c r="B66" s="94">
        <v>61</v>
      </c>
      <c r="C66" s="68">
        <v>569629</v>
      </c>
      <c r="D66" s="4">
        <v>45677</v>
      </c>
      <c r="E66" s="5" t="s">
        <v>48</v>
      </c>
      <c r="F66" s="6">
        <v>52546</v>
      </c>
      <c r="G66" s="6">
        <v>106855</v>
      </c>
      <c r="H66" s="6">
        <v>3863</v>
      </c>
      <c r="I66" s="7"/>
      <c r="J66" s="7"/>
      <c r="K66" s="7">
        <v>613</v>
      </c>
      <c r="L66" s="7">
        <v>6</v>
      </c>
      <c r="M66" s="7" t="s">
        <v>57</v>
      </c>
      <c r="N66" s="7" t="s">
        <v>370</v>
      </c>
      <c r="O66" s="7" t="s">
        <v>371</v>
      </c>
      <c r="P66" s="7"/>
      <c r="Q66" s="7" t="s">
        <v>372</v>
      </c>
      <c r="R66" s="7" t="s">
        <v>372</v>
      </c>
      <c r="S66" s="7" t="s">
        <v>372</v>
      </c>
      <c r="T66" s="7"/>
      <c r="U66" s="7"/>
      <c r="V66" s="8"/>
      <c r="W66" s="7">
        <v>1</v>
      </c>
      <c r="X66" s="7"/>
      <c r="Y66" s="7" t="s">
        <v>373</v>
      </c>
      <c r="Z66" s="9"/>
      <c r="AA66" s="10"/>
      <c r="AB66" s="9"/>
      <c r="AC66" s="10"/>
      <c r="AD66" s="9"/>
      <c r="AE66" s="10"/>
      <c r="AF66" s="7"/>
      <c r="AG66" s="7">
        <f>275/2</f>
        <v>137.5</v>
      </c>
      <c r="AH66" s="7"/>
      <c r="AI66" s="7">
        <v>45.9</v>
      </c>
      <c r="AJ66" s="11"/>
      <c r="AK66" s="12">
        <v>134.94999999999999</v>
      </c>
      <c r="AL66" s="13">
        <v>138.75</v>
      </c>
      <c r="AM66" s="13">
        <v>1</v>
      </c>
      <c r="AN66" s="13">
        <f>+(AG66+AK66)/AL66</f>
        <v>1.9636036036036035</v>
      </c>
      <c r="AO66" s="13"/>
      <c r="AP66" s="13">
        <f>756250+10012760</f>
        <v>10769010</v>
      </c>
      <c r="AQ66" s="15">
        <v>115573.61</v>
      </c>
      <c r="AR66" s="13" t="s">
        <v>45</v>
      </c>
      <c r="AS66" s="15" t="s">
        <v>374</v>
      </c>
      <c r="AT66" s="16">
        <v>45763</v>
      </c>
      <c r="AU66" s="17"/>
      <c r="AV66" s="18" t="s">
        <v>375</v>
      </c>
      <c r="AW66" s="19"/>
      <c r="AX66" s="19"/>
      <c r="AY66" s="19"/>
      <c r="AZ66" s="19"/>
      <c r="BA66" s="19"/>
      <c r="BB66" s="19"/>
      <c r="BC66" s="19"/>
      <c r="BD66" s="19"/>
      <c r="BE66" s="19"/>
      <c r="BF66" s="19"/>
      <c r="BG66" s="19"/>
      <c r="BH66" s="20"/>
      <c r="BI66" s="20"/>
      <c r="BJ66" s="20"/>
      <c r="BK66" s="20"/>
      <c r="BL66" s="20"/>
      <c r="BM66" s="20"/>
      <c r="BN66" s="20"/>
      <c r="BO66" s="20"/>
      <c r="BP66" s="20"/>
      <c r="BQ66" s="20"/>
      <c r="BR66" s="20"/>
      <c r="BS66" s="20"/>
      <c r="BT66" s="20"/>
      <c r="BU66" s="20"/>
      <c r="BV66" s="20"/>
      <c r="BW66" s="20"/>
      <c r="IQ66" s="20"/>
      <c r="IR66" s="20"/>
      <c r="IS66" s="20"/>
      <c r="IT66" s="20"/>
      <c r="IU66" s="20"/>
      <c r="IV66" s="20"/>
      <c r="IW66" s="20"/>
    </row>
    <row r="67" spans="1:257 16384:16384" s="21" customFormat="1" ht="38.25">
      <c r="A67" s="92"/>
      <c r="B67" s="94">
        <v>62</v>
      </c>
      <c r="C67" s="68" t="s">
        <v>376</v>
      </c>
      <c r="D67" s="4">
        <v>45572</v>
      </c>
      <c r="E67" s="5" t="s">
        <v>32</v>
      </c>
      <c r="F67" s="6">
        <v>48500</v>
      </c>
      <c r="G67" s="6">
        <v>137631</v>
      </c>
      <c r="H67" s="6">
        <v>31506</v>
      </c>
      <c r="I67" s="7"/>
      <c r="J67" s="7"/>
      <c r="K67" s="7"/>
      <c r="L67" s="7">
        <v>65</v>
      </c>
      <c r="M67" s="7" t="s">
        <v>41</v>
      </c>
      <c r="N67" s="7" t="s">
        <v>377</v>
      </c>
      <c r="O67" s="7" t="s">
        <v>378</v>
      </c>
      <c r="P67" s="7" t="s">
        <v>379</v>
      </c>
      <c r="Q67" s="7" t="s">
        <v>380</v>
      </c>
      <c r="R67" s="7" t="s">
        <v>380</v>
      </c>
      <c r="S67" s="7" t="s">
        <v>380</v>
      </c>
      <c r="T67" s="7" t="s">
        <v>381</v>
      </c>
      <c r="U67" s="7"/>
      <c r="V67" s="8"/>
      <c r="W67" s="7">
        <v>1</v>
      </c>
      <c r="X67" s="7"/>
      <c r="Y67" s="7" t="s">
        <v>382</v>
      </c>
      <c r="Z67" s="9"/>
      <c r="AA67" s="10"/>
      <c r="AB67" s="9"/>
      <c r="AC67" s="10"/>
      <c r="AD67" s="9"/>
      <c r="AE67" s="10"/>
      <c r="AF67" s="7"/>
      <c r="AG67" s="7">
        <f>314.85+594.8/2</f>
        <v>612.25</v>
      </c>
      <c r="AH67" s="7"/>
      <c r="AI67" s="7">
        <f>63.9+15.1/2</f>
        <v>71.45</v>
      </c>
      <c r="AJ67" s="11"/>
      <c r="AK67" s="12">
        <f>43.6+20.7/2</f>
        <v>53.95</v>
      </c>
      <c r="AL67" s="13">
        <v>72170</v>
      </c>
      <c r="AM67" s="13">
        <v>0.15</v>
      </c>
      <c r="AN67" s="13">
        <v>0.1</v>
      </c>
      <c r="AO67" s="13"/>
      <c r="AP67" s="13">
        <v>25700000</v>
      </c>
      <c r="AQ67" s="15">
        <v>472437</v>
      </c>
      <c r="AR67" s="13" t="s">
        <v>45</v>
      </c>
      <c r="AS67" s="15" t="s">
        <v>383</v>
      </c>
      <c r="AT67" s="16">
        <v>45768</v>
      </c>
      <c r="AU67" s="17"/>
      <c r="AV67" s="18" t="s">
        <v>384</v>
      </c>
      <c r="AW67" s="19"/>
      <c r="AX67" s="19"/>
      <c r="AY67" s="19"/>
      <c r="AZ67" s="19"/>
      <c r="BA67" s="19"/>
      <c r="BB67" s="19"/>
      <c r="BC67" s="19"/>
      <c r="BD67" s="19"/>
      <c r="BE67" s="19"/>
      <c r="BF67" s="19"/>
      <c r="BG67" s="19"/>
      <c r="BH67" s="20"/>
      <c r="BI67" s="20"/>
      <c r="BJ67" s="20"/>
      <c r="BK67" s="20"/>
      <c r="BL67" s="20"/>
      <c r="BM67" s="20"/>
      <c r="BN67" s="20"/>
      <c r="BO67" s="20"/>
      <c r="BP67" s="20"/>
      <c r="BQ67" s="20"/>
      <c r="BR67" s="20"/>
      <c r="BS67" s="20"/>
      <c r="BT67" s="20"/>
      <c r="BU67" s="20"/>
      <c r="BV67" s="20"/>
      <c r="BW67" s="20"/>
      <c r="IQ67" s="20"/>
      <c r="IR67" s="20"/>
      <c r="IS67" s="20"/>
      <c r="IT67" s="20"/>
      <c r="IU67" s="20"/>
      <c r="IV67" s="20"/>
      <c r="IW67" s="20"/>
    </row>
    <row r="68" spans="1:257 16384:16384" s="21" customFormat="1" ht="76.5">
      <c r="A68" s="92"/>
      <c r="B68" s="94">
        <v>63</v>
      </c>
      <c r="C68" s="68" t="s">
        <v>385</v>
      </c>
      <c r="D68" s="4">
        <v>45580</v>
      </c>
      <c r="E68" s="5" t="s">
        <v>48</v>
      </c>
      <c r="F68" s="6">
        <v>7635</v>
      </c>
      <c r="G68" s="6">
        <v>1029</v>
      </c>
      <c r="H68" s="6">
        <v>887</v>
      </c>
      <c r="I68" s="7">
        <v>34</v>
      </c>
      <c r="J68" s="7"/>
      <c r="K68" s="7">
        <v>172</v>
      </c>
      <c r="L68" s="7">
        <v>9</v>
      </c>
      <c r="M68" s="7" t="s">
        <v>57</v>
      </c>
      <c r="N68" s="7" t="s">
        <v>386</v>
      </c>
      <c r="O68" s="7" t="s">
        <v>387</v>
      </c>
      <c r="P68" s="7"/>
      <c r="Q68" s="7" t="s">
        <v>257</v>
      </c>
      <c r="R68" s="7" t="s">
        <v>257</v>
      </c>
      <c r="S68" s="7" t="s">
        <v>257</v>
      </c>
      <c r="T68" s="7" t="s">
        <v>388</v>
      </c>
      <c r="U68" s="7"/>
      <c r="V68" s="8"/>
      <c r="W68" s="7">
        <v>1</v>
      </c>
      <c r="X68" s="7"/>
      <c r="Y68" s="7" t="s">
        <v>389</v>
      </c>
      <c r="Z68" s="9"/>
      <c r="AA68" s="10"/>
      <c r="AB68" s="9"/>
      <c r="AC68" s="10"/>
      <c r="AD68" s="9"/>
      <c r="AE68" s="10"/>
      <c r="AF68" s="7"/>
      <c r="AG68" s="7">
        <f>152.26+22.42/2</f>
        <v>163.47</v>
      </c>
      <c r="AH68" s="7"/>
      <c r="AI68" s="7"/>
      <c r="AJ68" s="11"/>
      <c r="AK68" s="12">
        <f>192.53+1.14/2</f>
        <v>193.1</v>
      </c>
      <c r="AL68" s="13">
        <v>756.68</v>
      </c>
      <c r="AM68" s="13">
        <f>+(152.26+22.42+192.53+1.14)/AL68</f>
        <v>0.48679758946978913</v>
      </c>
      <c r="AN68" s="13">
        <f>+(AG68+AK68)/AL68</f>
        <v>0.47122958185758845</v>
      </c>
      <c r="AO68" s="13"/>
      <c r="AP68" s="13">
        <v>58092000</v>
      </c>
      <c r="AQ68" s="15">
        <v>746165.48</v>
      </c>
      <c r="AR68" s="13" t="s">
        <v>45</v>
      </c>
      <c r="AS68" s="15" t="s">
        <v>390</v>
      </c>
      <c r="AT68" s="16">
        <v>45768</v>
      </c>
      <c r="AU68" s="17"/>
      <c r="AV68" s="18" t="s">
        <v>391</v>
      </c>
      <c r="AW68" s="19"/>
      <c r="AX68" s="19"/>
      <c r="AY68" s="19"/>
      <c r="AZ68" s="19"/>
      <c r="BA68" s="19"/>
      <c r="BB68" s="19"/>
      <c r="BC68" s="19"/>
      <c r="BD68" s="19"/>
      <c r="BE68" s="19"/>
      <c r="BF68" s="19"/>
      <c r="BG68" s="19"/>
      <c r="BH68" s="20"/>
      <c r="BI68" s="20"/>
      <c r="BJ68" s="20"/>
      <c r="BK68" s="20"/>
      <c r="BL68" s="20"/>
      <c r="BM68" s="20"/>
      <c r="BN68" s="20"/>
      <c r="BO68" s="20"/>
      <c r="BP68" s="20"/>
      <c r="BQ68" s="20"/>
      <c r="BR68" s="20"/>
      <c r="BS68" s="20"/>
      <c r="BT68" s="20"/>
      <c r="BU68" s="20"/>
      <c r="BV68" s="20"/>
      <c r="BW68" s="20"/>
      <c r="IQ68" s="20"/>
      <c r="IR68" s="20"/>
      <c r="IS68" s="20"/>
      <c r="IT68" s="20"/>
      <c r="IU68" s="20"/>
      <c r="IV68" s="20"/>
      <c r="IW68" s="20"/>
    </row>
    <row r="69" spans="1:257 16384:16384" s="21" customFormat="1" ht="51">
      <c r="A69" s="92"/>
      <c r="B69" s="94">
        <v>64</v>
      </c>
      <c r="C69" s="68">
        <v>570897</v>
      </c>
      <c r="D69" s="4">
        <v>45695</v>
      </c>
      <c r="E69" s="5" t="s">
        <v>32</v>
      </c>
      <c r="F69" s="6">
        <v>48086</v>
      </c>
      <c r="G69" s="6">
        <v>158653</v>
      </c>
      <c r="H69" s="6">
        <v>32455</v>
      </c>
      <c r="I69" s="7">
        <v>327</v>
      </c>
      <c r="J69" s="7"/>
      <c r="K69" s="7">
        <v>11</v>
      </c>
      <c r="L69" s="7">
        <v>2</v>
      </c>
      <c r="M69" s="7" t="s">
        <v>33</v>
      </c>
      <c r="N69" s="7" t="s">
        <v>392</v>
      </c>
      <c r="O69" s="7" t="s">
        <v>393</v>
      </c>
      <c r="P69" s="7"/>
      <c r="Q69" s="7" t="s">
        <v>257</v>
      </c>
      <c r="R69" s="7"/>
      <c r="S69" s="7"/>
      <c r="T69" s="7"/>
      <c r="U69" s="7">
        <v>1</v>
      </c>
      <c r="V69" s="8"/>
      <c r="W69" s="7"/>
      <c r="X69" s="7"/>
      <c r="Y69" s="7" t="s">
        <v>394</v>
      </c>
      <c r="Z69" s="9"/>
      <c r="AA69" s="10"/>
      <c r="AB69" s="9"/>
      <c r="AC69" s="10"/>
      <c r="AD69" s="9"/>
      <c r="AE69" s="10"/>
      <c r="AF69" s="7"/>
      <c r="AG69" s="7"/>
      <c r="AH69" s="7"/>
      <c r="AI69" s="7"/>
      <c r="AJ69" s="11"/>
      <c r="AK69" s="12"/>
      <c r="AL69" s="13">
        <v>830</v>
      </c>
      <c r="AM69" s="13">
        <v>0</v>
      </c>
      <c r="AN69" s="13"/>
      <c r="AO69" s="13"/>
      <c r="AP69" s="13">
        <v>13911800</v>
      </c>
      <c r="AQ69" s="15">
        <v>221330.64</v>
      </c>
      <c r="AR69" s="13" t="s">
        <v>45</v>
      </c>
      <c r="AS69" s="15" t="s">
        <v>395</v>
      </c>
      <c r="AT69" s="16">
        <v>45768</v>
      </c>
      <c r="AU69" s="17"/>
      <c r="AV69" s="18">
        <v>45727</v>
      </c>
      <c r="AW69" s="19"/>
      <c r="AX69" s="19"/>
      <c r="AY69" s="19"/>
      <c r="AZ69" s="19"/>
      <c r="BA69" s="19"/>
      <c r="BB69" s="19"/>
      <c r="BC69" s="19"/>
      <c r="BD69" s="19"/>
      <c r="BE69" s="19"/>
      <c r="BF69" s="19"/>
      <c r="BG69" s="19"/>
      <c r="BH69" s="20"/>
      <c r="BI69" s="20"/>
      <c r="BJ69" s="20"/>
      <c r="BK69" s="20"/>
      <c r="BL69" s="20"/>
      <c r="BM69" s="20"/>
      <c r="BN69" s="20"/>
      <c r="BO69" s="20"/>
      <c r="BP69" s="20"/>
      <c r="BQ69" s="20"/>
      <c r="BR69" s="20"/>
      <c r="BS69" s="20"/>
      <c r="BT69" s="20"/>
      <c r="BU69" s="20"/>
      <c r="BV69" s="20"/>
      <c r="BW69" s="20"/>
      <c r="IQ69" s="20"/>
      <c r="IR69" s="20"/>
      <c r="IS69" s="20"/>
      <c r="IT69" s="20"/>
      <c r="IU69" s="20"/>
      <c r="IV69" s="20"/>
      <c r="IW69" s="20"/>
    </row>
    <row r="70" spans="1:257 16384:16384" s="21" customFormat="1" ht="63.75">
      <c r="A70" s="92"/>
      <c r="B70" s="56">
        <v>65</v>
      </c>
      <c r="C70" s="95" t="s">
        <v>396</v>
      </c>
      <c r="D70" s="96">
        <v>45649</v>
      </c>
      <c r="E70" s="5" t="s">
        <v>268</v>
      </c>
      <c r="F70" s="97">
        <v>40123</v>
      </c>
      <c r="G70" s="97">
        <v>138718</v>
      </c>
      <c r="H70" s="97">
        <v>31669</v>
      </c>
      <c r="I70" s="77">
        <v>268</v>
      </c>
      <c r="J70" s="77"/>
      <c r="K70" s="77"/>
      <c r="L70" s="77">
        <v>11</v>
      </c>
      <c r="M70" s="77" t="s">
        <v>41</v>
      </c>
      <c r="N70" s="77" t="s">
        <v>397</v>
      </c>
      <c r="O70" s="77" t="s">
        <v>398</v>
      </c>
      <c r="P70" s="77"/>
      <c r="Q70" s="77" t="s">
        <v>152</v>
      </c>
      <c r="R70" s="77" t="s">
        <v>152</v>
      </c>
      <c r="S70" s="77" t="s">
        <v>152</v>
      </c>
      <c r="T70" s="77" t="s">
        <v>399</v>
      </c>
      <c r="U70" s="77">
        <v>1</v>
      </c>
      <c r="V70" s="77">
        <v>7</v>
      </c>
      <c r="W70" s="77"/>
      <c r="X70" s="77"/>
      <c r="Y70" s="77" t="s">
        <v>67</v>
      </c>
      <c r="Z70" s="79">
        <f>1+1</f>
        <v>2</v>
      </c>
      <c r="AA70" s="79">
        <f>1*4+2+2*2</f>
        <v>10</v>
      </c>
      <c r="AB70" s="79">
        <f>+Z70+1+1</f>
        <v>4</v>
      </c>
      <c r="AC70" s="79">
        <f>+AA70+2</f>
        <v>12</v>
      </c>
      <c r="AD70" s="79">
        <f>+Z70*2</f>
        <v>4</v>
      </c>
      <c r="AE70" s="79">
        <f>+AA70*2</f>
        <v>20</v>
      </c>
      <c r="AF70" s="77">
        <f>162.62+36.31/2+109.84</f>
        <v>290.61500000000001</v>
      </c>
      <c r="AG70" s="77"/>
      <c r="AH70" s="77">
        <f>48+320+42.02/2+87.17+22/2</f>
        <v>487.18</v>
      </c>
      <c r="AI70" s="77"/>
      <c r="AJ70" s="11"/>
      <c r="AK70" s="12"/>
      <c r="AL70" s="83">
        <v>6255.64</v>
      </c>
      <c r="AM70" s="83">
        <f>+(162.62+36.31+109.84+48+320+42.02+87.17+22)/AL70</f>
        <v>0.13235416360276483</v>
      </c>
      <c r="AN70" s="83">
        <f>+(AF70+AH70+AJ70)/AL70</f>
        <v>0.12433500009591346</v>
      </c>
      <c r="AO70" s="83"/>
      <c r="AP70" s="83">
        <f>+((2*1+4*2+12*3+1*4)/19*109.84)+((2*1+3*2+11*3+3*4)/19*109.84)+((2*1+3*2+11*3+3*4)/19*98.17)+((2*1+3*2+11*3+3*4)/19*53.12)+((2*1+3*2+11*3+3*4)/19*64.26)+2133871.7</f>
        <v>2135068.4194736844</v>
      </c>
      <c r="AQ70" s="98">
        <v>45565</v>
      </c>
      <c r="AR70" s="83" t="s">
        <v>45</v>
      </c>
      <c r="AS70" s="85" t="s">
        <v>400</v>
      </c>
      <c r="AT70" s="86">
        <v>45771</v>
      </c>
      <c r="AU70" s="64"/>
      <c r="AV70" s="87" t="s">
        <v>401</v>
      </c>
      <c r="AW70" s="19"/>
      <c r="AX70" s="19"/>
      <c r="AY70" s="19"/>
      <c r="AZ70" s="19"/>
      <c r="BA70" s="19"/>
      <c r="BB70" s="19"/>
      <c r="BC70" s="19"/>
      <c r="BD70" s="19"/>
      <c r="BE70" s="19"/>
      <c r="BF70" s="19"/>
      <c r="BG70" s="19"/>
      <c r="BH70" s="20"/>
      <c r="BI70" s="20"/>
      <c r="BJ70" s="20"/>
      <c r="BK70" s="20"/>
      <c r="BL70" s="20"/>
      <c r="BM70" s="20"/>
      <c r="BN70" s="20"/>
      <c r="BO70" s="20"/>
      <c r="BP70" s="20"/>
      <c r="BQ70" s="20"/>
      <c r="BR70" s="20"/>
      <c r="BS70" s="20"/>
      <c r="BT70" s="20"/>
      <c r="BU70" s="20"/>
      <c r="BV70" s="20"/>
      <c r="BW70" s="20"/>
      <c r="IQ70" s="20"/>
      <c r="IR70" s="20"/>
      <c r="IS70" s="20"/>
      <c r="IT70" s="20"/>
      <c r="IU70" s="20"/>
      <c r="IV70" s="20"/>
      <c r="IW70" s="20"/>
    </row>
    <row r="71" spans="1:257 16384:16384" s="21" customFormat="1" ht="38.25">
      <c r="A71" s="92"/>
      <c r="B71" s="70">
        <v>66</v>
      </c>
      <c r="C71" s="68">
        <v>571822</v>
      </c>
      <c r="D71" s="4">
        <v>45755</v>
      </c>
      <c r="E71" s="5" t="s">
        <v>402</v>
      </c>
      <c r="F71" s="6">
        <v>35690</v>
      </c>
      <c r="G71" s="6">
        <v>1544</v>
      </c>
      <c r="H71" s="6">
        <v>167</v>
      </c>
      <c r="I71" s="7"/>
      <c r="J71" s="7"/>
      <c r="K71" s="7">
        <v>20</v>
      </c>
      <c r="L71" s="7">
        <v>6</v>
      </c>
      <c r="M71" s="7" t="s">
        <v>57</v>
      </c>
      <c r="N71" s="7" t="s">
        <v>403</v>
      </c>
      <c r="O71" s="7" t="s">
        <v>404</v>
      </c>
      <c r="P71" s="7"/>
      <c r="Q71" s="7" t="s">
        <v>134</v>
      </c>
      <c r="R71" s="7"/>
      <c r="S71" s="7"/>
      <c r="T71" s="7"/>
      <c r="U71" s="7"/>
      <c r="V71" s="8">
        <v>1</v>
      </c>
      <c r="W71" s="7"/>
      <c r="X71" s="7"/>
      <c r="Y71" s="7" t="s">
        <v>37</v>
      </c>
      <c r="Z71" s="9"/>
      <c r="AA71" s="10"/>
      <c r="AB71" s="9"/>
      <c r="AC71" s="10"/>
      <c r="AD71" s="9"/>
      <c r="AE71" s="10"/>
      <c r="AF71" s="7"/>
      <c r="AG71" s="7"/>
      <c r="AH71" s="7"/>
      <c r="AI71" s="7"/>
      <c r="AJ71" s="11"/>
      <c r="AK71" s="12"/>
      <c r="AL71" s="13"/>
      <c r="AM71" s="13"/>
      <c r="AN71" s="13"/>
      <c r="AO71" s="13"/>
      <c r="AP71" s="13">
        <v>650000</v>
      </c>
      <c r="AQ71" s="15">
        <v>65031</v>
      </c>
      <c r="AR71" s="13" t="s">
        <v>45</v>
      </c>
      <c r="AS71" s="15" t="s">
        <v>405</v>
      </c>
      <c r="AT71" s="16">
        <v>45771</v>
      </c>
      <c r="AU71" s="17"/>
      <c r="AV71" s="18">
        <v>45756</v>
      </c>
      <c r="AW71" s="19"/>
      <c r="AX71" s="19"/>
      <c r="AY71" s="19"/>
      <c r="AZ71" s="19"/>
      <c r="BA71" s="19"/>
      <c r="BB71" s="19"/>
      <c r="BC71" s="19"/>
      <c r="BD71" s="19"/>
      <c r="BE71" s="19"/>
      <c r="BF71" s="19"/>
      <c r="BG71" s="19"/>
      <c r="BH71" s="20"/>
      <c r="BI71" s="20"/>
      <c r="BJ71" s="20"/>
      <c r="BK71" s="20"/>
      <c r="BL71" s="20"/>
      <c r="BM71" s="20"/>
      <c r="BN71" s="20"/>
      <c r="BO71" s="20"/>
      <c r="BP71" s="20"/>
      <c r="BQ71" s="20"/>
      <c r="BR71" s="20"/>
      <c r="BS71" s="20"/>
      <c r="BT71" s="20"/>
      <c r="BU71" s="20"/>
      <c r="BV71" s="20"/>
      <c r="BW71" s="20"/>
      <c r="IQ71" s="20"/>
      <c r="IR71" s="20"/>
      <c r="IS71" s="20"/>
      <c r="IT71" s="20"/>
      <c r="IU71" s="20"/>
      <c r="IV71" s="20"/>
      <c r="IW71" s="20"/>
    </row>
    <row r="72" spans="1:257 16384:16384" s="21" customFormat="1" ht="51">
      <c r="A72" s="92"/>
      <c r="B72" s="70">
        <v>67</v>
      </c>
      <c r="C72" s="68">
        <v>567345</v>
      </c>
      <c r="D72" s="4">
        <v>45597</v>
      </c>
      <c r="E72" s="5" t="s">
        <v>48</v>
      </c>
      <c r="F72" s="6">
        <v>61379</v>
      </c>
      <c r="G72" s="6">
        <v>707</v>
      </c>
      <c r="H72" s="6">
        <v>728</v>
      </c>
      <c r="I72" s="7"/>
      <c r="J72" s="7"/>
      <c r="K72" s="7">
        <v>129</v>
      </c>
      <c r="L72" s="7">
        <v>13</v>
      </c>
      <c r="M72" s="7" t="s">
        <v>57</v>
      </c>
      <c r="N72" s="7" t="s">
        <v>406</v>
      </c>
      <c r="O72" s="7" t="s">
        <v>407</v>
      </c>
      <c r="P72" s="7"/>
      <c r="Q72" s="7" t="s">
        <v>189</v>
      </c>
      <c r="R72" s="7" t="s">
        <v>189</v>
      </c>
      <c r="S72" s="7" t="s">
        <v>189</v>
      </c>
      <c r="T72" s="7" t="s">
        <v>114</v>
      </c>
      <c r="U72" s="7"/>
      <c r="V72" s="8">
        <v>1</v>
      </c>
      <c r="W72" s="7"/>
      <c r="X72" s="7"/>
      <c r="Y72" s="7" t="s">
        <v>85</v>
      </c>
      <c r="Z72" s="9"/>
      <c r="AA72" s="10"/>
      <c r="AB72" s="9"/>
      <c r="AC72" s="10"/>
      <c r="AD72" s="9"/>
      <c r="AE72" s="10"/>
      <c r="AF72" s="7"/>
      <c r="AG72" s="7"/>
      <c r="AH72" s="7"/>
      <c r="AI72" s="7"/>
      <c r="AJ72" s="11"/>
      <c r="AK72" s="12">
        <f>186.24+76.74</f>
        <v>262.98</v>
      </c>
      <c r="AL72" s="13">
        <v>263.39</v>
      </c>
      <c r="AM72" s="13">
        <f>186.24/AL72</f>
        <v>0.70708834807699616</v>
      </c>
      <c r="AN72" s="13">
        <f>+AK72/AL72</f>
        <v>0.99844337294506258</v>
      </c>
      <c r="AO72" s="13">
        <f>+(18+6+6)/(9+2+1)</f>
        <v>2.5</v>
      </c>
      <c r="AP72" s="13">
        <f>38000000+950000</f>
        <v>38950000</v>
      </c>
      <c r="AQ72" s="15">
        <v>675031.9</v>
      </c>
      <c r="AR72" s="13" t="s">
        <v>38</v>
      </c>
      <c r="AS72" s="15" t="s">
        <v>408</v>
      </c>
      <c r="AT72" s="16">
        <v>45775</v>
      </c>
      <c r="AU72" s="17"/>
      <c r="AV72" s="18" t="s">
        <v>409</v>
      </c>
      <c r="AW72" s="19"/>
      <c r="AX72" s="19"/>
      <c r="AY72" s="19"/>
      <c r="AZ72" s="19"/>
      <c r="BA72" s="19"/>
      <c r="BB72" s="19"/>
      <c r="BC72" s="19"/>
      <c r="BD72" s="19"/>
      <c r="BE72" s="19"/>
      <c r="BF72" s="19"/>
      <c r="BG72" s="19"/>
      <c r="BH72" s="20"/>
      <c r="BI72" s="20"/>
      <c r="BJ72" s="20"/>
      <c r="BK72" s="20"/>
      <c r="BL72" s="20"/>
      <c r="BM72" s="20"/>
      <c r="BN72" s="20"/>
      <c r="BO72" s="20"/>
      <c r="BP72" s="20"/>
      <c r="BQ72" s="20"/>
      <c r="BR72" s="20"/>
      <c r="BS72" s="20"/>
      <c r="BT72" s="20"/>
      <c r="BU72" s="20"/>
      <c r="BV72" s="20"/>
      <c r="BW72" s="20"/>
      <c r="IQ72" s="20"/>
      <c r="IR72" s="20"/>
      <c r="IS72" s="20"/>
      <c r="IT72" s="20"/>
      <c r="IU72" s="20"/>
      <c r="IV72" s="20"/>
      <c r="IW72" s="20"/>
    </row>
    <row r="73" spans="1:257 16384:16384" s="109" customFormat="1" ht="63.75">
      <c r="A73" s="92"/>
      <c r="B73" s="70">
        <v>68</v>
      </c>
      <c r="C73" s="69">
        <v>563304</v>
      </c>
      <c r="D73" s="99">
        <v>44207</v>
      </c>
      <c r="E73" s="5" t="s">
        <v>268</v>
      </c>
      <c r="F73" s="100">
        <v>45752</v>
      </c>
      <c r="G73" s="100">
        <v>148969</v>
      </c>
      <c r="H73" s="100">
        <v>20831</v>
      </c>
      <c r="I73" s="101">
        <v>62</v>
      </c>
      <c r="J73" s="101"/>
      <c r="K73" s="101">
        <v>465</v>
      </c>
      <c r="L73" s="101">
        <v>17</v>
      </c>
      <c r="M73" s="101" t="s">
        <v>410</v>
      </c>
      <c r="N73" s="101" t="s">
        <v>411</v>
      </c>
      <c r="O73" s="102" t="s">
        <v>412</v>
      </c>
      <c r="P73" s="101"/>
      <c r="Q73" s="101" t="s">
        <v>413</v>
      </c>
      <c r="R73" s="101" t="s">
        <v>413</v>
      </c>
      <c r="S73" s="101" t="s">
        <v>413</v>
      </c>
      <c r="T73" s="101" t="s">
        <v>84</v>
      </c>
      <c r="U73" s="101"/>
      <c r="V73" s="101">
        <v>1</v>
      </c>
      <c r="W73" s="101"/>
      <c r="X73" s="101"/>
      <c r="Y73" s="101" t="s">
        <v>414</v>
      </c>
      <c r="Z73" s="36"/>
      <c r="AA73" s="36"/>
      <c r="AB73" s="36"/>
      <c r="AC73" s="36">
        <v>1</v>
      </c>
      <c r="AD73" s="36"/>
      <c r="AE73" s="36"/>
      <c r="AF73" s="101"/>
      <c r="AG73" s="101"/>
      <c r="AH73" s="101"/>
      <c r="AI73" s="101"/>
      <c r="AJ73" s="101"/>
      <c r="AK73" s="103">
        <f>200.8+29</f>
        <v>229.8</v>
      </c>
      <c r="AL73" s="103">
        <v>368.65</v>
      </c>
      <c r="AM73" s="103">
        <f>200.8/AL73</f>
        <v>0.5446900854469009</v>
      </c>
      <c r="AN73" s="103">
        <f>+AK73/AL73</f>
        <v>0.62335548623355497</v>
      </c>
      <c r="AO73" s="103"/>
      <c r="AP73" s="103">
        <f>+AK73*277126</f>
        <v>63683554.800000004</v>
      </c>
      <c r="AQ73" s="104">
        <v>951191.73</v>
      </c>
      <c r="AR73" s="103" t="s">
        <v>45</v>
      </c>
      <c r="AS73" s="104" t="s">
        <v>415</v>
      </c>
      <c r="AT73" s="105">
        <v>45776</v>
      </c>
      <c r="AU73" s="106"/>
      <c r="AV73" s="104" t="s">
        <v>416</v>
      </c>
      <c r="AW73" s="107"/>
      <c r="AX73" s="107"/>
      <c r="AY73" s="107"/>
      <c r="AZ73" s="107"/>
      <c r="BA73" s="107"/>
      <c r="BB73" s="107"/>
      <c r="BC73" s="107"/>
      <c r="BD73" s="107"/>
      <c r="BE73" s="107"/>
      <c r="BF73" s="107"/>
      <c r="BG73" s="107"/>
      <c r="BH73" s="108"/>
      <c r="BI73" s="108"/>
      <c r="BJ73" s="108"/>
      <c r="BK73" s="108"/>
      <c r="BL73" s="108"/>
      <c r="BM73" s="108"/>
      <c r="BN73" s="108"/>
      <c r="BO73" s="108"/>
      <c r="BP73" s="108"/>
      <c r="BQ73" s="108"/>
      <c r="BR73" s="108"/>
      <c r="BS73" s="108"/>
      <c r="BT73" s="108"/>
      <c r="BU73" s="108"/>
      <c r="BV73" s="108"/>
      <c r="BW73" s="108"/>
      <c r="IQ73" s="108"/>
      <c r="IR73" s="108"/>
      <c r="IS73" s="108"/>
      <c r="IT73" s="108"/>
      <c r="IU73" s="108"/>
      <c r="IV73" s="108"/>
      <c r="IW73" s="108"/>
    </row>
    <row r="74" spans="1:257 16384:16384" s="21" customFormat="1" ht="63.75">
      <c r="A74" s="110" t="s">
        <v>417</v>
      </c>
      <c r="B74" s="70">
        <v>69</v>
      </c>
      <c r="C74" s="68">
        <v>571740</v>
      </c>
      <c r="D74" s="4">
        <v>45750</v>
      </c>
      <c r="E74" s="5" t="s">
        <v>32</v>
      </c>
      <c r="F74" s="6">
        <v>44621</v>
      </c>
      <c r="G74" s="6">
        <v>142090</v>
      </c>
      <c r="H74" s="6">
        <v>20793</v>
      </c>
      <c r="I74" s="7">
        <v>16</v>
      </c>
      <c r="J74" s="7"/>
      <c r="K74" s="7">
        <v>273</v>
      </c>
      <c r="L74" s="7">
        <v>14</v>
      </c>
      <c r="M74" s="7" t="s">
        <v>33</v>
      </c>
      <c r="N74" s="7" t="s">
        <v>418</v>
      </c>
      <c r="O74" s="7" t="s">
        <v>419</v>
      </c>
      <c r="P74" s="7"/>
      <c r="Q74" s="7" t="s">
        <v>292</v>
      </c>
      <c r="R74" s="7"/>
      <c r="S74" s="7"/>
      <c r="T74" s="7"/>
      <c r="U74" s="7">
        <v>1</v>
      </c>
      <c r="V74" s="8"/>
      <c r="W74" s="7"/>
      <c r="X74" s="7"/>
      <c r="Y74" s="7" t="s">
        <v>37</v>
      </c>
      <c r="Z74" s="9">
        <v>2</v>
      </c>
      <c r="AA74" s="10"/>
      <c r="AB74" s="9">
        <f>+Z74+1</f>
        <v>3</v>
      </c>
      <c r="AC74" s="10"/>
      <c r="AD74" s="9">
        <f>+Z74*2</f>
        <v>4</v>
      </c>
      <c r="AE74" s="10"/>
      <c r="AF74" s="7">
        <f>37.21+1.53/2</f>
        <v>37.975000000000001</v>
      </c>
      <c r="AG74" s="7"/>
      <c r="AH74" s="7">
        <f>35.16+5.42/2</f>
        <v>37.869999999999997</v>
      </c>
      <c r="AI74" s="7"/>
      <c r="AJ74" s="11"/>
      <c r="AK74" s="12"/>
      <c r="AL74" s="13">
        <v>146.07</v>
      </c>
      <c r="AM74" s="13">
        <f>+(37.21+1.53+35.16+5.42)/AL74</f>
        <v>0.54302731567056894</v>
      </c>
      <c r="AN74" s="13">
        <f>+(AF74+AH74)/AL74</f>
        <v>0.51923735195454235</v>
      </c>
      <c r="AO74" s="13">
        <f>+(1+3+36)/(1+1+9)</f>
        <v>3.6363636363636362</v>
      </c>
      <c r="AP74" s="13">
        <f>+(1*346505+277126*9+7*207874+138602*3)/20*AH74</f>
        <v>8921344.5404999983</v>
      </c>
      <c r="AQ74" s="15">
        <v>149816.23000000001</v>
      </c>
      <c r="AR74" s="13" t="s">
        <v>45</v>
      </c>
      <c r="AS74" s="15" t="s">
        <v>420</v>
      </c>
      <c r="AT74" s="16">
        <v>45785</v>
      </c>
      <c r="AU74" s="17"/>
      <c r="AV74" s="18">
        <v>45751</v>
      </c>
      <c r="AW74" s="19"/>
      <c r="AX74" s="19"/>
      <c r="AY74" s="19"/>
      <c r="AZ74" s="19"/>
      <c r="BA74" s="19"/>
      <c r="BB74" s="19"/>
      <c r="BC74" s="19"/>
      <c r="BD74" s="19"/>
      <c r="BE74" s="19"/>
      <c r="BF74" s="19"/>
      <c r="BG74" s="19"/>
      <c r="BH74" s="20"/>
      <c r="BI74" s="20"/>
      <c r="BJ74" s="20"/>
      <c r="BK74" s="20"/>
      <c r="BL74" s="20"/>
      <c r="BM74" s="20"/>
      <c r="BN74" s="20"/>
      <c r="BO74" s="20"/>
      <c r="BP74" s="20"/>
      <c r="BQ74" s="20"/>
      <c r="BR74" s="20"/>
      <c r="BS74" s="20"/>
      <c r="BT74" s="20"/>
      <c r="BU74" s="20"/>
      <c r="BV74" s="20"/>
      <c r="BW74" s="20"/>
      <c r="IQ74" s="20"/>
      <c r="IR74" s="20"/>
      <c r="IS74" s="20"/>
      <c r="IT74" s="20"/>
      <c r="IU74" s="20"/>
      <c r="IV74" s="20"/>
      <c r="IW74" s="20"/>
    </row>
    <row r="75" spans="1:257 16384:16384" s="21" customFormat="1" ht="51">
      <c r="A75" s="110"/>
      <c r="B75" s="165">
        <v>70</v>
      </c>
      <c r="C75" s="146">
        <v>572305</v>
      </c>
      <c r="D75" s="144">
        <v>45776</v>
      </c>
      <c r="E75" s="145" t="s">
        <v>32</v>
      </c>
      <c r="F75" s="6">
        <v>41408</v>
      </c>
      <c r="G75" s="6">
        <v>139761</v>
      </c>
      <c r="H75" s="6">
        <v>31866</v>
      </c>
      <c r="I75" s="77">
        <v>291</v>
      </c>
      <c r="J75" s="7"/>
      <c r="K75" s="7"/>
      <c r="L75" s="7">
        <v>12</v>
      </c>
      <c r="M75" s="77" t="s">
        <v>41</v>
      </c>
      <c r="N75" s="7" t="s">
        <v>421</v>
      </c>
      <c r="O75" s="7" t="s">
        <v>422</v>
      </c>
      <c r="P75" s="7"/>
      <c r="Q75" s="7" t="s">
        <v>124</v>
      </c>
      <c r="R75" s="7"/>
      <c r="S75" s="7"/>
      <c r="T75" s="7"/>
      <c r="U75" s="7">
        <v>1</v>
      </c>
      <c r="V75" s="8"/>
      <c r="W75" s="7"/>
      <c r="X75" s="7"/>
      <c r="Y75" s="77" t="s">
        <v>37</v>
      </c>
      <c r="Z75" s="9">
        <v>3</v>
      </c>
      <c r="AA75" s="10"/>
      <c r="AB75" s="9">
        <f>+Z75+1+1</f>
        <v>5</v>
      </c>
      <c r="AC75" s="10"/>
      <c r="AD75" s="9">
        <f>+Z75*2</f>
        <v>6</v>
      </c>
      <c r="AE75" s="10"/>
      <c r="AF75" s="7">
        <v>114.1</v>
      </c>
      <c r="AG75" s="7"/>
      <c r="AH75" s="7">
        <f>((58.9/2)-AH76)+77.6</f>
        <v>95.289999999999992</v>
      </c>
      <c r="AI75" s="7"/>
      <c r="AJ75" s="11"/>
      <c r="AK75" s="12"/>
      <c r="AL75" s="13">
        <v>680</v>
      </c>
      <c r="AM75" s="13">
        <f>+(AF75+58.9+77.6-(2.1*11.2))/AL75</f>
        <v>0.33394117647058819</v>
      </c>
      <c r="AN75" s="13">
        <f>+(AF75+AH75)/AL75</f>
        <v>0.3079264705882353</v>
      </c>
      <c r="AO75" s="13">
        <f>+(2+15+12)/(1+5+3)</f>
        <v>3.2222222222222223</v>
      </c>
      <c r="AP75" s="13">
        <f>2603500+((5*346505+6*277126+207874*7+4*138602)/22*AH75)</f>
        <v>26013684.501363631</v>
      </c>
      <c r="AQ75" s="77">
        <v>629899.5</v>
      </c>
      <c r="AR75" s="13" t="s">
        <v>45</v>
      </c>
      <c r="AS75" s="15" t="s">
        <v>423</v>
      </c>
      <c r="AT75" s="86">
        <v>45791</v>
      </c>
      <c r="AU75" s="17"/>
      <c r="AV75" s="18">
        <v>45785</v>
      </c>
      <c r="AW75" s="19"/>
      <c r="AX75" s="19"/>
      <c r="AY75" s="19"/>
      <c r="AZ75" s="19"/>
      <c r="BA75" s="19"/>
      <c r="BB75" s="19"/>
      <c r="BC75" s="19"/>
      <c r="BD75" s="19"/>
      <c r="BE75" s="19"/>
      <c r="BF75" s="19"/>
      <c r="BG75" s="19"/>
      <c r="BH75" s="20"/>
      <c r="BI75" s="20"/>
      <c r="BJ75" s="20"/>
      <c r="BK75" s="20"/>
      <c r="BL75" s="20"/>
      <c r="BM75" s="20"/>
      <c r="BN75" s="20"/>
      <c r="BO75" s="20"/>
      <c r="BP75" s="20"/>
      <c r="BQ75" s="20"/>
      <c r="BR75" s="20"/>
      <c r="BS75" s="20"/>
      <c r="BT75" s="20"/>
      <c r="BU75" s="20"/>
      <c r="BV75" s="20"/>
      <c r="BW75" s="20"/>
      <c r="IQ75" s="20"/>
      <c r="IR75" s="20"/>
      <c r="IS75" s="20"/>
      <c r="IT75" s="20"/>
      <c r="IU75" s="20"/>
      <c r="IV75" s="20"/>
      <c r="IW75" s="20"/>
    </row>
    <row r="76" spans="1:257 16384:16384" s="21" customFormat="1" ht="25.5">
      <c r="A76" s="110"/>
      <c r="B76" s="166"/>
      <c r="C76" s="164"/>
      <c r="D76" s="164"/>
      <c r="E76" s="164"/>
      <c r="F76" s="6">
        <v>41409</v>
      </c>
      <c r="G76" s="6">
        <v>139762</v>
      </c>
      <c r="H76" s="6">
        <v>31867</v>
      </c>
      <c r="I76" s="164"/>
      <c r="J76" s="7"/>
      <c r="K76" s="7"/>
      <c r="L76" s="7">
        <v>11</v>
      </c>
      <c r="M76" s="164"/>
      <c r="N76" s="7"/>
      <c r="O76" s="7"/>
      <c r="P76" s="7"/>
      <c r="Q76" s="7"/>
      <c r="R76" s="7"/>
      <c r="S76" s="7"/>
      <c r="T76" s="7"/>
      <c r="U76" s="7"/>
      <c r="V76" s="8"/>
      <c r="W76" s="7"/>
      <c r="X76" s="7"/>
      <c r="Y76" s="164"/>
      <c r="Z76" s="9"/>
      <c r="AA76" s="10"/>
      <c r="AB76" s="9"/>
      <c r="AC76" s="10"/>
      <c r="AD76" s="9"/>
      <c r="AE76" s="10"/>
      <c r="AF76" s="7"/>
      <c r="AG76" s="7"/>
      <c r="AH76" s="7">
        <f>+(2.1*11.2)/2</f>
        <v>11.76</v>
      </c>
      <c r="AI76" s="7"/>
      <c r="AJ76" s="11"/>
      <c r="AK76" s="12"/>
      <c r="AL76" s="13">
        <v>680</v>
      </c>
      <c r="AM76" s="13">
        <f>+(2.1*11.2)/AL76</f>
        <v>3.4588235294117649E-2</v>
      </c>
      <c r="AN76" s="13">
        <f>+(AH76/AL76)</f>
        <v>1.7294117647058824E-2</v>
      </c>
      <c r="AO76" s="13"/>
      <c r="AP76" s="13">
        <f>2603500+((5*346505+6*277126+207874*7+4*138602)/22*AH76)</f>
        <v>5492615.0145454537</v>
      </c>
      <c r="AQ76" s="164"/>
      <c r="AR76" s="13"/>
      <c r="AS76" s="15" t="s">
        <v>424</v>
      </c>
      <c r="AT76" s="164"/>
      <c r="AU76" s="17"/>
      <c r="AV76" s="18"/>
      <c r="AW76" s="19"/>
      <c r="AX76" s="19"/>
      <c r="AY76" s="19"/>
      <c r="AZ76" s="19"/>
      <c r="BA76" s="19"/>
      <c r="BB76" s="19"/>
      <c r="BC76" s="19"/>
      <c r="BD76" s="19"/>
      <c r="BE76" s="19"/>
      <c r="BF76" s="19"/>
      <c r="BG76" s="19"/>
      <c r="BH76" s="20"/>
      <c r="BI76" s="20"/>
      <c r="BJ76" s="20"/>
      <c r="BK76" s="20"/>
      <c r="BL76" s="20"/>
      <c r="BM76" s="20"/>
      <c r="BN76" s="20"/>
      <c r="BO76" s="20"/>
      <c r="BP76" s="20"/>
      <c r="BQ76" s="20"/>
      <c r="BR76" s="20"/>
      <c r="BS76" s="20"/>
      <c r="BT76" s="20"/>
      <c r="BU76" s="20"/>
      <c r="BV76" s="20"/>
      <c r="BW76" s="20"/>
      <c r="IQ76" s="20"/>
      <c r="IR76" s="20"/>
      <c r="IS76" s="20"/>
      <c r="IT76" s="20"/>
      <c r="IU76" s="20"/>
      <c r="IV76" s="20"/>
      <c r="IW76" s="20"/>
    </row>
    <row r="77" spans="1:257 16384:16384" s="21" customFormat="1" ht="38.25">
      <c r="A77" s="110"/>
      <c r="B77" s="70">
        <v>71</v>
      </c>
      <c r="C77" s="68">
        <v>564853</v>
      </c>
      <c r="D77" s="4">
        <v>45544</v>
      </c>
      <c r="E77" s="5" t="s">
        <v>48</v>
      </c>
      <c r="F77" s="6">
        <v>36425</v>
      </c>
      <c r="G77" s="6">
        <v>135906</v>
      </c>
      <c r="H77" s="6">
        <v>20286</v>
      </c>
      <c r="I77" s="7">
        <v>42</v>
      </c>
      <c r="J77" s="7"/>
      <c r="K77" s="7">
        <v>396</v>
      </c>
      <c r="L77" s="7">
        <v>15</v>
      </c>
      <c r="M77" s="7" t="s">
        <v>33</v>
      </c>
      <c r="N77" s="7" t="s">
        <v>425</v>
      </c>
      <c r="O77" s="7" t="s">
        <v>426</v>
      </c>
      <c r="P77" s="7"/>
      <c r="Q77" s="7" t="s">
        <v>427</v>
      </c>
      <c r="R77" s="7" t="s">
        <v>427</v>
      </c>
      <c r="S77" s="7" t="s">
        <v>427</v>
      </c>
      <c r="T77" s="7" t="s">
        <v>428</v>
      </c>
      <c r="U77" s="7"/>
      <c r="V77" s="8">
        <v>1</v>
      </c>
      <c r="W77" s="7"/>
      <c r="X77" s="7"/>
      <c r="Y77" s="7" t="s">
        <v>37</v>
      </c>
      <c r="Z77" s="9"/>
      <c r="AA77" s="10">
        <v>3</v>
      </c>
      <c r="AB77" s="9"/>
      <c r="AC77" s="10">
        <f>+AA77+1</f>
        <v>4</v>
      </c>
      <c r="AD77" s="9"/>
      <c r="AE77" s="10">
        <f>+AA77*2</f>
        <v>6</v>
      </c>
      <c r="AF77" s="7"/>
      <c r="AG77" s="7"/>
      <c r="AH77" s="7"/>
      <c r="AI77" s="7"/>
      <c r="AJ77" s="11">
        <f>95.63+42.02/2</f>
        <v>116.64</v>
      </c>
      <c r="AK77" s="12"/>
      <c r="AL77" s="13">
        <v>300</v>
      </c>
      <c r="AM77" s="13">
        <f>+(95.63+42.02)/AL77</f>
        <v>0.45883333333333337</v>
      </c>
      <c r="AN77" s="13">
        <f>+AJ77/AL77</f>
        <v>0.38879999999999998</v>
      </c>
      <c r="AO77" s="13">
        <f>+(1+2+24+6)/(1+1+8+1)</f>
        <v>3</v>
      </c>
      <c r="AP77" s="13">
        <f>+(6*346505+277126*7+6*207874+2*138602)*(21*AJ77)</f>
        <v>13578127718.4</v>
      </c>
      <c r="AQ77" s="15">
        <v>188821.94</v>
      </c>
      <c r="AR77" s="13" t="s">
        <v>45</v>
      </c>
      <c r="AS77" s="15" t="s">
        <v>429</v>
      </c>
      <c r="AT77" s="16">
        <v>45796</v>
      </c>
      <c r="AU77" s="17"/>
      <c r="AV77" s="18" t="s">
        <v>430</v>
      </c>
      <c r="AW77" s="19"/>
      <c r="AX77" s="19"/>
      <c r="AY77" s="19"/>
      <c r="AZ77" s="19"/>
      <c r="BA77" s="19"/>
      <c r="BB77" s="19"/>
      <c r="BC77" s="19"/>
      <c r="BD77" s="19"/>
      <c r="BE77" s="19"/>
      <c r="BF77" s="19"/>
      <c r="BG77" s="19"/>
      <c r="BH77" s="20"/>
      <c r="BI77" s="20"/>
      <c r="BJ77" s="20"/>
      <c r="BK77" s="20"/>
      <c r="BL77" s="20"/>
      <c r="BM77" s="20"/>
      <c r="BN77" s="20"/>
      <c r="BO77" s="20"/>
      <c r="BP77" s="20"/>
      <c r="BQ77" s="20"/>
      <c r="BR77" s="20"/>
      <c r="BS77" s="20"/>
      <c r="BT77" s="20"/>
      <c r="BU77" s="20"/>
      <c r="BV77" s="20"/>
      <c r="BW77" s="20"/>
      <c r="IQ77" s="20"/>
      <c r="IR77" s="20"/>
      <c r="IS77" s="20"/>
      <c r="IT77" s="20"/>
      <c r="IU77" s="20"/>
      <c r="IV77" s="20"/>
      <c r="IW77" s="20"/>
    </row>
    <row r="78" spans="1:257 16384:16384" s="21" customFormat="1" ht="51">
      <c r="A78" s="110"/>
      <c r="B78" s="70">
        <v>72</v>
      </c>
      <c r="C78" s="68" t="s">
        <v>431</v>
      </c>
      <c r="D78" s="4">
        <v>45681</v>
      </c>
      <c r="E78" s="5" t="s">
        <v>48</v>
      </c>
      <c r="F78" s="6">
        <v>19937</v>
      </c>
      <c r="G78" s="6">
        <v>50292</v>
      </c>
      <c r="H78" s="6">
        <v>3040</v>
      </c>
      <c r="I78" s="7"/>
      <c r="J78" s="7"/>
      <c r="K78" s="7">
        <v>651</v>
      </c>
      <c r="L78" s="7">
        <v>2</v>
      </c>
      <c r="M78" s="7" t="s">
        <v>33</v>
      </c>
      <c r="N78" s="7" t="s">
        <v>432</v>
      </c>
      <c r="O78" s="7" t="s">
        <v>433</v>
      </c>
      <c r="P78" s="7"/>
      <c r="Q78" s="7" t="s">
        <v>434</v>
      </c>
      <c r="R78" s="7" t="s">
        <v>434</v>
      </c>
      <c r="S78" s="7" t="s">
        <v>434</v>
      </c>
      <c r="T78" s="7" t="s">
        <v>84</v>
      </c>
      <c r="U78" s="7"/>
      <c r="V78" s="8">
        <v>1</v>
      </c>
      <c r="W78" s="7"/>
      <c r="X78" s="7"/>
      <c r="Y78" s="7" t="s">
        <v>37</v>
      </c>
      <c r="Z78" s="9"/>
      <c r="AA78" s="10">
        <v>3</v>
      </c>
      <c r="AB78" s="9"/>
      <c r="AC78" s="10">
        <f>+AA78+1+1</f>
        <v>5</v>
      </c>
      <c r="AD78" s="9"/>
      <c r="AE78" s="10">
        <f>+AA78*2</f>
        <v>6</v>
      </c>
      <c r="AF78" s="7"/>
      <c r="AG78" s="7"/>
      <c r="AH78" s="7"/>
      <c r="AI78" s="7"/>
      <c r="AJ78" s="11">
        <f>223.94+31.34/2</f>
        <v>239.60999999999999</v>
      </c>
      <c r="AK78" s="12"/>
      <c r="AL78" s="13">
        <v>420</v>
      </c>
      <c r="AM78" s="13">
        <f>+(223.94+31.34)/AL78</f>
        <v>0.6078095238095238</v>
      </c>
      <c r="AN78" s="13">
        <f>+AJ78/AL78</f>
        <v>0.57050000000000001</v>
      </c>
      <c r="AO78" s="13"/>
      <c r="AP78" s="13">
        <f>+(8*346505+8*277126+207874*3+2*138602)/21*AJ78</f>
        <v>67203462.339999989</v>
      </c>
      <c r="AQ78" s="17">
        <v>249651.33</v>
      </c>
      <c r="AR78" s="13" t="s">
        <v>45</v>
      </c>
      <c r="AS78" s="15" t="s">
        <v>435</v>
      </c>
      <c r="AT78" s="16">
        <v>45796</v>
      </c>
      <c r="AU78" s="17"/>
      <c r="AV78" s="18" t="s">
        <v>436</v>
      </c>
      <c r="AW78" s="19"/>
      <c r="AX78" s="19"/>
      <c r="AY78" s="19"/>
      <c r="AZ78" s="19"/>
      <c r="BA78" s="19"/>
      <c r="BB78" s="19"/>
      <c r="BC78" s="19"/>
      <c r="BD78" s="19"/>
      <c r="BE78" s="19"/>
      <c r="BF78" s="19"/>
      <c r="BG78" s="19"/>
      <c r="BH78" s="20"/>
      <c r="BI78" s="20"/>
      <c r="BJ78" s="20"/>
      <c r="BK78" s="20"/>
      <c r="BL78" s="20"/>
      <c r="BM78" s="20"/>
      <c r="BN78" s="20"/>
      <c r="BO78" s="20"/>
      <c r="BP78" s="20"/>
      <c r="BQ78" s="20"/>
      <c r="BR78" s="20"/>
      <c r="BS78" s="20"/>
      <c r="BT78" s="20"/>
      <c r="BU78" s="20"/>
      <c r="BV78" s="20"/>
      <c r="BW78" s="20"/>
      <c r="IQ78" s="20"/>
      <c r="IR78" s="20"/>
      <c r="IS78" s="20"/>
      <c r="IT78" s="20"/>
      <c r="IU78" s="20"/>
      <c r="IV78" s="20"/>
      <c r="IW78" s="20"/>
    </row>
    <row r="79" spans="1:257 16384:16384" s="46" customFormat="1" ht="76.5">
      <c r="A79" s="110"/>
      <c r="B79" s="70">
        <v>73</v>
      </c>
      <c r="C79" s="89">
        <v>572714</v>
      </c>
      <c r="D79" s="58">
        <v>45785</v>
      </c>
      <c r="E79" s="5" t="s">
        <v>268</v>
      </c>
      <c r="F79" s="30">
        <v>6133</v>
      </c>
      <c r="G79" s="30">
        <v>268</v>
      </c>
      <c r="H79" s="30">
        <v>1257</v>
      </c>
      <c r="I79" s="31"/>
      <c r="J79" s="31"/>
      <c r="K79" s="31">
        <v>167</v>
      </c>
      <c r="L79" s="31">
        <v>8</v>
      </c>
      <c r="M79" s="31" t="s">
        <v>410</v>
      </c>
      <c r="N79" s="31" t="s">
        <v>437</v>
      </c>
      <c r="O79" s="31" t="s">
        <v>365</v>
      </c>
      <c r="P79" s="31"/>
      <c r="Q79" s="31" t="s">
        <v>366</v>
      </c>
      <c r="R79" s="31" t="s">
        <v>366</v>
      </c>
      <c r="S79" s="31" t="s">
        <v>366</v>
      </c>
      <c r="T79" s="31" t="s">
        <v>367</v>
      </c>
      <c r="U79" s="31"/>
      <c r="V79" s="33">
        <v>3</v>
      </c>
      <c r="W79" s="31"/>
      <c r="X79" s="31"/>
      <c r="Y79" s="31" t="s">
        <v>67</v>
      </c>
      <c r="Z79" s="34"/>
      <c r="AA79" s="35">
        <f>2+4+4</f>
        <v>10</v>
      </c>
      <c r="AB79" s="36"/>
      <c r="AC79" s="35">
        <f>1+1+1</f>
        <v>3</v>
      </c>
      <c r="AD79" s="36"/>
      <c r="AE79" s="35">
        <f>+AA79*2</f>
        <v>20</v>
      </c>
      <c r="AF79" s="31"/>
      <c r="AG79" s="31"/>
      <c r="AH79" s="31"/>
      <c r="AI79" s="31"/>
      <c r="AJ79" s="33">
        <f>207.27+48/2+18.37/2+140.73</f>
        <v>381.185</v>
      </c>
      <c r="AK79" s="37"/>
      <c r="AL79" s="38">
        <v>592</v>
      </c>
      <c r="AM79" s="38">
        <f>+(207.27+48+18.37)/AL79</f>
        <v>0.4622297297297297</v>
      </c>
      <c r="AN79" s="38">
        <f>+AJ79/AL79</f>
        <v>0.64389358108108108</v>
      </c>
      <c r="AO79" s="38"/>
      <c r="AP79" s="38">
        <f>65000+((33123*5+9*26491+19871*5+1*13249)/20*AJ79)</f>
        <v>9911732.8015000001</v>
      </c>
      <c r="AQ79" s="40">
        <v>3879</v>
      </c>
      <c r="AR79" s="38" t="s">
        <v>45</v>
      </c>
      <c r="AS79" s="40" t="s">
        <v>438</v>
      </c>
      <c r="AT79" s="41">
        <v>45797</v>
      </c>
      <c r="AU79" s="41"/>
      <c r="AV79" s="55">
        <v>45789</v>
      </c>
      <c r="AW79" s="44"/>
      <c r="AX79" s="44"/>
      <c r="AY79" s="44"/>
      <c r="AZ79" s="44"/>
      <c r="BA79" s="44"/>
      <c r="BB79" s="44"/>
      <c r="BC79" s="44"/>
      <c r="BD79" s="44"/>
      <c r="BE79" s="44"/>
      <c r="BF79" s="44"/>
      <c r="BG79" s="44"/>
      <c r="BH79" s="45"/>
      <c r="BI79" s="45"/>
      <c r="BJ79" s="45"/>
      <c r="BK79" s="45"/>
      <c r="BL79" s="45"/>
      <c r="BM79" s="45"/>
      <c r="BN79" s="45"/>
      <c r="BO79" s="45"/>
      <c r="BP79" s="45"/>
      <c r="BQ79" s="45"/>
      <c r="BR79" s="45"/>
      <c r="BS79" s="45"/>
      <c r="BT79" s="45"/>
      <c r="BU79" s="45"/>
      <c r="BV79" s="45"/>
      <c r="BW79" s="45"/>
      <c r="IQ79" s="45"/>
      <c r="IR79" s="45"/>
      <c r="IS79" s="45"/>
      <c r="IT79" s="45"/>
      <c r="IU79" s="45"/>
      <c r="IV79" s="45"/>
      <c r="IW79" s="45"/>
    </row>
    <row r="80" spans="1:257 16384:16384" s="21" customFormat="1" ht="51">
      <c r="A80" s="111"/>
      <c r="B80" s="70">
        <v>74</v>
      </c>
      <c r="C80" s="68" t="s">
        <v>439</v>
      </c>
      <c r="D80" s="4">
        <v>45677</v>
      </c>
      <c r="E80" s="5" t="s">
        <v>48</v>
      </c>
      <c r="F80" s="6">
        <v>-30784</v>
      </c>
      <c r="G80" s="6">
        <v>129922</v>
      </c>
      <c r="H80" s="6">
        <v>2169</v>
      </c>
      <c r="I80" s="7"/>
      <c r="J80" s="7"/>
      <c r="K80" s="7">
        <v>350</v>
      </c>
      <c r="L80" s="7">
        <v>1</v>
      </c>
      <c r="M80" s="7" t="s">
        <v>33</v>
      </c>
      <c r="N80" s="7" t="s">
        <v>440</v>
      </c>
      <c r="O80" s="7" t="s">
        <v>441</v>
      </c>
      <c r="P80" s="7"/>
      <c r="Q80" s="7" t="s">
        <v>442</v>
      </c>
      <c r="R80" s="7" t="s">
        <v>442</v>
      </c>
      <c r="S80" s="7" t="s">
        <v>442</v>
      </c>
      <c r="T80" s="7" t="s">
        <v>84</v>
      </c>
      <c r="U80" s="7"/>
      <c r="V80" s="8">
        <v>1</v>
      </c>
      <c r="W80" s="7"/>
      <c r="X80" s="7"/>
      <c r="Y80" s="7" t="s">
        <v>443</v>
      </c>
      <c r="Z80" s="9">
        <v>4</v>
      </c>
      <c r="AA80" s="10"/>
      <c r="AB80" s="9">
        <f>+Z80+1</f>
        <v>5</v>
      </c>
      <c r="AC80" s="10"/>
      <c r="AD80" s="9">
        <f>+Z80*2</f>
        <v>8</v>
      </c>
      <c r="AE80" s="10"/>
      <c r="AF80" s="7"/>
      <c r="AG80" s="7"/>
      <c r="AH80" s="7"/>
      <c r="AI80" s="7"/>
      <c r="AJ80" s="11">
        <f>239.11+70.58/2-AK80</f>
        <v>274.40000000000003</v>
      </c>
      <c r="AK80" s="12"/>
      <c r="AL80" s="13">
        <v>630</v>
      </c>
      <c r="AM80" s="13">
        <f>+(239.11+70.58)/AL80</f>
        <v>0.49157142857142855</v>
      </c>
      <c r="AN80" s="13">
        <f>+(AJ80+AK80)/AL80</f>
        <v>0.43555555555555558</v>
      </c>
      <c r="AO80" s="13">
        <f>+(10+12)/(5+4)</f>
        <v>2.4444444444444446</v>
      </c>
      <c r="AP80" s="13">
        <f>+(10*346505+277126*9+2*207874+138602*1)/22*AJ80</f>
        <v>81241533.163636386</v>
      </c>
      <c r="AQ80" s="15">
        <v>330484.06</v>
      </c>
      <c r="AR80" s="13" t="s">
        <v>38</v>
      </c>
      <c r="AS80" s="15" t="s">
        <v>444</v>
      </c>
      <c r="AT80" s="16">
        <v>45797</v>
      </c>
      <c r="AU80" s="17"/>
      <c r="AV80" s="18" t="s">
        <v>445</v>
      </c>
      <c r="AW80" s="19"/>
      <c r="AX80" s="19"/>
      <c r="AY80" s="19"/>
      <c r="AZ80" s="19"/>
      <c r="BA80" s="19"/>
      <c r="BB80" s="19"/>
      <c r="BC80" s="19"/>
      <c r="BD80" s="19"/>
      <c r="BE80" s="19"/>
      <c r="BF80" s="19"/>
      <c r="BG80" s="20"/>
      <c r="BH80" s="20"/>
      <c r="BI80" s="20"/>
      <c r="BJ80" s="20"/>
      <c r="BK80" s="20"/>
      <c r="BL80" s="20"/>
      <c r="BM80" s="20"/>
      <c r="BN80" s="20"/>
      <c r="BO80" s="20"/>
      <c r="BP80" s="20"/>
      <c r="BQ80" s="20"/>
      <c r="BR80" s="20"/>
      <c r="BS80" s="20"/>
      <c r="BT80" s="20"/>
      <c r="BU80" s="20"/>
      <c r="BV80" s="20"/>
      <c r="IP80" s="20"/>
      <c r="IQ80" s="20"/>
      <c r="IR80" s="20"/>
      <c r="IS80" s="20"/>
      <c r="IT80" s="20"/>
      <c r="IU80" s="20"/>
      <c r="IV80" s="20"/>
      <c r="XFD80" s="7"/>
    </row>
    <row r="81" spans="1:257" s="21" customFormat="1" ht="89.25">
      <c r="A81" s="111"/>
      <c r="B81" s="70">
        <v>75</v>
      </c>
      <c r="C81" s="68" t="s">
        <v>446</v>
      </c>
      <c r="D81" s="4">
        <v>45721</v>
      </c>
      <c r="E81" s="5" t="s">
        <v>32</v>
      </c>
      <c r="F81" s="6">
        <v>7668</v>
      </c>
      <c r="G81" s="6">
        <v>2366</v>
      </c>
      <c r="H81" s="6">
        <v>35</v>
      </c>
      <c r="I81" s="7"/>
      <c r="J81" s="7"/>
      <c r="K81" s="7">
        <v>157</v>
      </c>
      <c r="L81" s="7">
        <v>6</v>
      </c>
      <c r="M81" s="7" t="s">
        <v>57</v>
      </c>
      <c r="N81" s="7" t="s">
        <v>447</v>
      </c>
      <c r="O81" s="7" t="s">
        <v>448</v>
      </c>
      <c r="P81" s="7"/>
      <c r="Q81" s="7" t="s">
        <v>366</v>
      </c>
      <c r="R81" s="7" t="s">
        <v>366</v>
      </c>
      <c r="S81" s="7" t="s">
        <v>366</v>
      </c>
      <c r="T81" s="7" t="s">
        <v>449</v>
      </c>
      <c r="U81" s="7">
        <v>1</v>
      </c>
      <c r="V81" s="8"/>
      <c r="W81" s="7"/>
      <c r="X81" s="7"/>
      <c r="Y81" s="7" t="s">
        <v>37</v>
      </c>
      <c r="Z81" s="9">
        <v>2</v>
      </c>
      <c r="AA81" s="10"/>
      <c r="AB81" s="9">
        <f>+Z81+1</f>
        <v>3</v>
      </c>
      <c r="AC81" s="10"/>
      <c r="AD81" s="9">
        <f>+Z81*2</f>
        <v>4</v>
      </c>
      <c r="AE81" s="10"/>
      <c r="AF81" s="7"/>
      <c r="AG81" s="7"/>
      <c r="AH81" s="7">
        <f>135.85+194.05</f>
        <v>329.9</v>
      </c>
      <c r="AI81" s="7"/>
      <c r="AJ81" s="11"/>
      <c r="AK81" s="12"/>
      <c r="AL81" s="13">
        <v>239.25</v>
      </c>
      <c r="AM81" s="13">
        <f>+(194.05/AL81)</f>
        <v>0.81107628004179733</v>
      </c>
      <c r="AN81" s="13">
        <f>+AH81/AL81</f>
        <v>1.3788923719958202</v>
      </c>
      <c r="AO81" s="13"/>
      <c r="AP81" s="13">
        <f>+(AH81*277126+(247090000))</f>
        <v>338513867.39999998</v>
      </c>
      <c r="AQ81" s="17">
        <v>2078586.03</v>
      </c>
      <c r="AR81" s="13" t="s">
        <v>45</v>
      </c>
      <c r="AS81" s="15" t="s">
        <v>450</v>
      </c>
      <c r="AT81" s="16">
        <v>45798</v>
      </c>
      <c r="AU81" s="17"/>
      <c r="AV81" s="18" t="s">
        <v>451</v>
      </c>
      <c r="AW81" s="19"/>
      <c r="AX81" s="19"/>
      <c r="AY81" s="19"/>
      <c r="AZ81" s="19"/>
      <c r="BA81" s="19"/>
      <c r="BB81" s="19"/>
      <c r="BC81" s="19"/>
      <c r="BD81" s="19"/>
      <c r="BE81" s="19"/>
      <c r="BF81" s="19"/>
      <c r="BG81" s="19"/>
      <c r="BH81" s="20"/>
      <c r="BI81" s="20"/>
      <c r="BJ81" s="20"/>
      <c r="BK81" s="20"/>
      <c r="BL81" s="20"/>
      <c r="BM81" s="20"/>
      <c r="BN81" s="20"/>
      <c r="BO81" s="20"/>
      <c r="BP81" s="20"/>
      <c r="BQ81" s="20"/>
      <c r="BR81" s="20"/>
      <c r="BS81" s="20"/>
      <c r="BT81" s="20"/>
      <c r="BU81" s="20"/>
      <c r="BV81" s="20"/>
      <c r="BW81" s="20"/>
      <c r="IQ81" s="20"/>
      <c r="IR81" s="20"/>
      <c r="IS81" s="20"/>
      <c r="IT81" s="20"/>
      <c r="IU81" s="20"/>
      <c r="IV81" s="20"/>
      <c r="IW81" s="20"/>
    </row>
    <row r="82" spans="1:257" s="21" customFormat="1" ht="38.25">
      <c r="A82" s="75"/>
      <c r="B82" s="70">
        <v>76</v>
      </c>
      <c r="C82" s="68">
        <v>572837</v>
      </c>
      <c r="D82" s="4">
        <v>45790</v>
      </c>
      <c r="E82" s="5" t="s">
        <v>32</v>
      </c>
      <c r="F82" s="6">
        <v>51769</v>
      </c>
      <c r="G82" s="6">
        <v>161522</v>
      </c>
      <c r="H82" s="6">
        <v>21201</v>
      </c>
      <c r="I82" s="7">
        <v>41</v>
      </c>
      <c r="J82" s="7"/>
      <c r="K82" s="7">
        <v>394</v>
      </c>
      <c r="L82" s="7">
        <v>6</v>
      </c>
      <c r="M82" s="7" t="s">
        <v>452</v>
      </c>
      <c r="N82" s="7" t="s">
        <v>453</v>
      </c>
      <c r="O82" s="7" t="s">
        <v>454</v>
      </c>
      <c r="P82" s="7"/>
      <c r="Q82" s="7" t="s">
        <v>455</v>
      </c>
      <c r="R82" s="7"/>
      <c r="S82" s="7"/>
      <c r="T82" s="7"/>
      <c r="U82" s="7">
        <v>1</v>
      </c>
      <c r="V82" s="8"/>
      <c r="W82" s="7"/>
      <c r="X82" s="7"/>
      <c r="Y82" s="7" t="s">
        <v>85</v>
      </c>
      <c r="Z82" s="9"/>
      <c r="AA82" s="10"/>
      <c r="AB82" s="9"/>
      <c r="AC82" s="10"/>
      <c r="AD82" s="9"/>
      <c r="AE82" s="10"/>
      <c r="AF82" s="7"/>
      <c r="AG82" s="7">
        <v>144.80000000000001</v>
      </c>
      <c r="AH82" s="7">
        <f>101.5+28.9/2</f>
        <v>115.95</v>
      </c>
      <c r="AI82" s="7"/>
      <c r="AJ82" s="11"/>
      <c r="AK82" s="12"/>
      <c r="AL82" s="13">
        <v>1004.29</v>
      </c>
      <c r="AM82" s="13">
        <f>+(101.5+28.9+144.8)/AL82</f>
        <v>0.27402443517310743</v>
      </c>
      <c r="AN82" s="13">
        <f>+(AG82+AH82)/AL82</f>
        <v>0.25963616086986829</v>
      </c>
      <c r="AO82" s="13"/>
      <c r="AP82" s="13">
        <f>+(4*277126+207874*12+4*138602)/20*AH82</f>
        <v>24102526.5</v>
      </c>
      <c r="AQ82" s="15">
        <v>342802.18</v>
      </c>
      <c r="AR82" s="13" t="s">
        <v>38</v>
      </c>
      <c r="AS82" s="15" t="s">
        <v>456</v>
      </c>
      <c r="AT82" s="16">
        <v>45799</v>
      </c>
      <c r="AU82" s="17"/>
      <c r="AV82" s="18">
        <v>45797</v>
      </c>
      <c r="AW82" s="19"/>
      <c r="AX82" s="19"/>
      <c r="AY82" s="19"/>
      <c r="AZ82" s="19"/>
      <c r="BA82" s="19"/>
      <c r="BB82" s="19"/>
      <c r="BC82" s="19"/>
      <c r="BD82" s="19"/>
      <c r="BE82" s="19"/>
      <c r="BF82" s="19"/>
      <c r="BG82" s="19"/>
      <c r="BH82" s="20"/>
      <c r="BI82" s="20"/>
      <c r="BJ82" s="20"/>
      <c r="BK82" s="20"/>
      <c r="BL82" s="20"/>
      <c r="BM82" s="20"/>
      <c r="BN82" s="20"/>
      <c r="BO82" s="20"/>
      <c r="BP82" s="20"/>
      <c r="BQ82" s="20"/>
      <c r="BR82" s="20"/>
      <c r="BS82" s="20"/>
      <c r="BT82" s="20"/>
      <c r="BU82" s="20"/>
      <c r="BV82" s="20"/>
      <c r="BW82" s="20"/>
      <c r="IQ82" s="20"/>
      <c r="IR82" s="20"/>
      <c r="IS82" s="20"/>
      <c r="IT82" s="20"/>
      <c r="IU82" s="20"/>
      <c r="IV82" s="20"/>
      <c r="IW82" s="20"/>
    </row>
    <row r="83" spans="1:257" s="21" customFormat="1" ht="76.5">
      <c r="A83" s="75"/>
      <c r="B83" s="70">
        <v>77</v>
      </c>
      <c r="C83" s="68" t="s">
        <v>457</v>
      </c>
      <c r="D83" s="4">
        <v>45757</v>
      </c>
      <c r="E83" s="5" t="s">
        <v>32</v>
      </c>
      <c r="F83" s="6">
        <v>2400</v>
      </c>
      <c r="G83" s="6">
        <v>1780</v>
      </c>
      <c r="H83" s="6">
        <v>160</v>
      </c>
      <c r="I83" s="7"/>
      <c r="J83" s="7"/>
      <c r="K83" s="7">
        <v>35</v>
      </c>
      <c r="L83" s="7">
        <v>13</v>
      </c>
      <c r="M83" s="7" t="s">
        <v>33</v>
      </c>
      <c r="N83" s="7" t="s">
        <v>458</v>
      </c>
      <c r="O83" s="7" t="s">
        <v>459</v>
      </c>
      <c r="P83" s="7"/>
      <c r="Q83" s="7" t="s">
        <v>179</v>
      </c>
      <c r="R83" s="7"/>
      <c r="S83" s="7"/>
      <c r="T83" s="7"/>
      <c r="U83" s="7">
        <f>1+1</f>
        <v>2</v>
      </c>
      <c r="V83" s="8"/>
      <c r="W83" s="7"/>
      <c r="X83" s="7"/>
      <c r="Y83" s="7" t="s">
        <v>443</v>
      </c>
      <c r="Z83" s="9">
        <v>3</v>
      </c>
      <c r="AA83" s="10"/>
      <c r="AB83" s="9">
        <f>+Z83+1</f>
        <v>4</v>
      </c>
      <c r="AC83" s="10"/>
      <c r="AD83" s="9">
        <f>+Z83*2</f>
        <v>6</v>
      </c>
      <c r="AE83" s="10"/>
      <c r="AF83" s="7">
        <f>96.47+4.86/2</f>
        <v>98.9</v>
      </c>
      <c r="AG83" s="7"/>
      <c r="AH83" s="7"/>
      <c r="AI83" s="7">
        <f>48.59+15.54/2</f>
        <v>56.36</v>
      </c>
      <c r="AJ83" s="11"/>
      <c r="AK83" s="12"/>
      <c r="AL83" s="13">
        <v>391.05</v>
      </c>
      <c r="AM83" s="13">
        <f>+(96.47+4.86+48.59+15.54)/AL83</f>
        <v>0.42311724843370413</v>
      </c>
      <c r="AN83" s="13">
        <f>+(AF83+AI83)/AL83</f>
        <v>0.39703362741337422</v>
      </c>
      <c r="AO83" s="13"/>
      <c r="AP83" s="13">
        <f>+AI83*277126</f>
        <v>15618821.359999999</v>
      </c>
      <c r="AQ83" s="15">
        <v>279974.59000000003</v>
      </c>
      <c r="AR83" s="13" t="s">
        <v>180</v>
      </c>
      <c r="AS83" s="15" t="s">
        <v>460</v>
      </c>
      <c r="AT83" s="16">
        <v>45800</v>
      </c>
      <c r="AU83" s="17"/>
      <c r="AV83" s="18">
        <v>45797</v>
      </c>
      <c r="AW83" s="19"/>
      <c r="AX83" s="19"/>
      <c r="AY83" s="19"/>
      <c r="AZ83" s="19"/>
      <c r="BA83" s="19"/>
      <c r="BB83" s="19"/>
      <c r="BC83" s="19"/>
      <c r="BD83" s="19"/>
      <c r="BE83" s="19"/>
      <c r="BF83" s="19"/>
      <c r="BG83" s="19"/>
      <c r="BH83" s="20"/>
      <c r="BI83" s="20"/>
      <c r="BJ83" s="20"/>
      <c r="BK83" s="20"/>
      <c r="BL83" s="20"/>
      <c r="BM83" s="20"/>
      <c r="BN83" s="20"/>
      <c r="BO83" s="20"/>
      <c r="BP83" s="20"/>
      <c r="BQ83" s="20"/>
      <c r="BR83" s="20"/>
      <c r="BS83" s="20"/>
      <c r="BT83" s="20"/>
      <c r="BU83" s="20"/>
      <c r="BV83" s="20"/>
      <c r="BW83" s="20"/>
      <c r="IQ83" s="20"/>
      <c r="IR83" s="20"/>
      <c r="IS83" s="20"/>
      <c r="IT83" s="20"/>
      <c r="IU83" s="20"/>
      <c r="IV83" s="20"/>
      <c r="IW83" s="20"/>
    </row>
    <row r="84" spans="1:257" s="21" customFormat="1" ht="63.75">
      <c r="A84" s="75"/>
      <c r="B84" s="70">
        <v>78</v>
      </c>
      <c r="C84" s="68">
        <v>571494</v>
      </c>
      <c r="D84" s="4">
        <v>45742</v>
      </c>
      <c r="E84" s="5" t="s">
        <v>32</v>
      </c>
      <c r="F84" s="6">
        <v>25028</v>
      </c>
      <c r="G84" s="6">
        <v>118680</v>
      </c>
      <c r="H84" s="6">
        <v>5767</v>
      </c>
      <c r="I84" s="7"/>
      <c r="J84" s="7"/>
      <c r="K84" s="7">
        <v>82</v>
      </c>
      <c r="L84" s="7">
        <v>2</v>
      </c>
      <c r="M84" s="7" t="s">
        <v>33</v>
      </c>
      <c r="N84" s="7" t="s">
        <v>461</v>
      </c>
      <c r="O84" s="7" t="s">
        <v>462</v>
      </c>
      <c r="P84" s="7"/>
      <c r="Q84" s="7" t="s">
        <v>463</v>
      </c>
      <c r="R84" s="7"/>
      <c r="S84" s="7"/>
      <c r="T84" s="7"/>
      <c r="U84" s="7">
        <v>5</v>
      </c>
      <c r="V84" s="8"/>
      <c r="W84" s="7"/>
      <c r="X84" s="7"/>
      <c r="Y84" s="7" t="s">
        <v>67</v>
      </c>
      <c r="Z84" s="9">
        <f>1*5</f>
        <v>5</v>
      </c>
      <c r="AA84" s="10"/>
      <c r="AB84" s="9">
        <f>+Z84</f>
        <v>5</v>
      </c>
      <c r="AC84" s="10"/>
      <c r="AD84" s="9">
        <f>+Z84*2</f>
        <v>10</v>
      </c>
      <c r="AE84" s="10"/>
      <c r="AF84" s="7"/>
      <c r="AG84" s="7"/>
      <c r="AH84" s="7">
        <f>140.2+60.08/2</f>
        <v>170.23999999999998</v>
      </c>
      <c r="AI84" s="7"/>
      <c r="AJ84" s="11"/>
      <c r="AK84" s="12"/>
      <c r="AL84" s="13">
        <v>245.7</v>
      </c>
      <c r="AM84" s="13">
        <f>+(140.2+60.08)/AL84</f>
        <v>0.81514041514041502</v>
      </c>
      <c r="AN84" s="13">
        <f>+AH84/AL84</f>
        <v>0.69287749287749278</v>
      </c>
      <c r="AO84" s="13"/>
      <c r="AP84" s="13">
        <f>+(346505*7+7*277126+207874*7+1*138602)/22*AH84</f>
        <v>46112885.585454538</v>
      </c>
      <c r="AQ84" s="15">
        <v>253250.32</v>
      </c>
      <c r="AR84" s="13" t="s">
        <v>180</v>
      </c>
      <c r="AS84" s="15" t="s">
        <v>464</v>
      </c>
      <c r="AT84" s="16">
        <v>45800</v>
      </c>
      <c r="AU84" s="17"/>
      <c r="AV84" s="18">
        <v>45751</v>
      </c>
      <c r="AW84" s="19"/>
      <c r="AX84" s="19"/>
      <c r="AY84" s="19"/>
      <c r="AZ84" s="19"/>
      <c r="BA84" s="19"/>
      <c r="BB84" s="19"/>
      <c r="BC84" s="19"/>
      <c r="BD84" s="19"/>
      <c r="BE84" s="19"/>
      <c r="BF84" s="19"/>
      <c r="BG84" s="19"/>
      <c r="BH84" s="20"/>
      <c r="BI84" s="20"/>
      <c r="BJ84" s="20"/>
      <c r="BK84" s="20"/>
      <c r="BL84" s="20"/>
      <c r="BM84" s="20"/>
      <c r="BN84" s="20"/>
      <c r="BO84" s="20"/>
      <c r="BP84" s="20"/>
      <c r="BQ84" s="20"/>
      <c r="BR84" s="20"/>
      <c r="BS84" s="20"/>
      <c r="BT84" s="20"/>
      <c r="BU84" s="20"/>
      <c r="BV84" s="20"/>
      <c r="BW84" s="20"/>
      <c r="IQ84" s="20"/>
      <c r="IR84" s="20"/>
      <c r="IS84" s="20"/>
      <c r="IT84" s="20"/>
      <c r="IU84" s="20"/>
      <c r="IV84" s="20"/>
      <c r="IW84" s="20"/>
    </row>
    <row r="85" spans="1:257" s="21" customFormat="1" ht="89.25">
      <c r="A85" s="75"/>
      <c r="B85" s="70">
        <v>79</v>
      </c>
      <c r="C85" s="68">
        <v>569913</v>
      </c>
      <c r="D85" s="4">
        <v>45687</v>
      </c>
      <c r="E85" s="5" t="s">
        <v>32</v>
      </c>
      <c r="F85" s="6">
        <v>27155</v>
      </c>
      <c r="G85" s="6">
        <v>120314</v>
      </c>
      <c r="H85" s="6">
        <v>6083</v>
      </c>
      <c r="I85" s="7"/>
      <c r="J85" s="7"/>
      <c r="K85" s="7">
        <v>598</v>
      </c>
      <c r="L85" s="7">
        <v>2</v>
      </c>
      <c r="M85" s="7" t="s">
        <v>33</v>
      </c>
      <c r="N85" s="7" t="s">
        <v>465</v>
      </c>
      <c r="O85" s="7" t="s">
        <v>466</v>
      </c>
      <c r="P85" s="7"/>
      <c r="Q85" s="7" t="s">
        <v>467</v>
      </c>
      <c r="R85" s="7"/>
      <c r="S85" s="7"/>
      <c r="T85" s="7"/>
      <c r="U85" s="7">
        <v>3</v>
      </c>
      <c r="V85" s="8"/>
      <c r="W85" s="7"/>
      <c r="X85" s="7"/>
      <c r="Y85" s="7" t="s">
        <v>468</v>
      </c>
      <c r="Z85" s="9">
        <f>1+1+3</f>
        <v>5</v>
      </c>
      <c r="AA85" s="10"/>
      <c r="AB85" s="9">
        <f>+Z85+1</f>
        <v>6</v>
      </c>
      <c r="AC85" s="10"/>
      <c r="AD85" s="9">
        <f>+Z85*2</f>
        <v>10</v>
      </c>
      <c r="AE85" s="10"/>
      <c r="AF85" s="7"/>
      <c r="AG85" s="7"/>
      <c r="AH85" s="7">
        <f>110.78+49.07/2+57.32</f>
        <v>192.63499999999999</v>
      </c>
      <c r="AI85" s="7"/>
      <c r="AJ85" s="11"/>
      <c r="AK85" s="12"/>
      <c r="AL85" s="13">
        <v>433.3</v>
      </c>
      <c r="AM85" s="13">
        <f>+(110.78+49.07)/AL85</f>
        <v>0.36891299330717747</v>
      </c>
      <c r="AN85" s="13">
        <f>+AH85/AL85</f>
        <v>0.44457650588506803</v>
      </c>
      <c r="AO85" s="13"/>
      <c r="AP85" s="13">
        <f>+((1*346505+277126*4+207874*5+10*138602)/20*162.425)+((3*346505+207874*4+10*138602)/17*15.105)</f>
        <v>34407658.217279419</v>
      </c>
      <c r="AQ85" s="15">
        <v>662106.56999999995</v>
      </c>
      <c r="AR85" s="13" t="s">
        <v>45</v>
      </c>
      <c r="AS85" s="15" t="s">
        <v>469</v>
      </c>
      <c r="AT85" s="16">
        <v>45800</v>
      </c>
      <c r="AU85" s="17"/>
      <c r="AV85" s="18">
        <v>45662</v>
      </c>
      <c r="AW85" s="19"/>
      <c r="AX85" s="19"/>
      <c r="AY85" s="19"/>
      <c r="AZ85" s="19"/>
      <c r="BA85" s="19"/>
      <c r="BB85" s="19"/>
      <c r="BC85" s="19"/>
      <c r="BD85" s="19"/>
      <c r="BE85" s="19"/>
      <c r="BF85" s="19"/>
      <c r="BG85" s="19"/>
      <c r="BH85" s="20"/>
      <c r="BI85" s="20"/>
      <c r="BJ85" s="20"/>
      <c r="BK85" s="20"/>
      <c r="BL85" s="20"/>
      <c r="BM85" s="20"/>
      <c r="BN85" s="20"/>
      <c r="BO85" s="20"/>
      <c r="BP85" s="20"/>
      <c r="BQ85" s="20"/>
      <c r="BR85" s="20"/>
      <c r="BS85" s="20"/>
      <c r="BT85" s="20"/>
      <c r="BU85" s="20"/>
      <c r="BV85" s="20"/>
      <c r="BW85" s="20"/>
      <c r="IQ85" s="20"/>
      <c r="IR85" s="20"/>
      <c r="IS85" s="20"/>
      <c r="IT85" s="20"/>
      <c r="IU85" s="20"/>
      <c r="IV85" s="20"/>
      <c r="IW85" s="20"/>
    </row>
    <row r="86" spans="1:257" s="21" customFormat="1" ht="63.75">
      <c r="A86" s="75"/>
      <c r="B86" s="70">
        <v>80</v>
      </c>
      <c r="C86" s="68" t="s">
        <v>470</v>
      </c>
      <c r="D86" s="4"/>
      <c r="E86" s="5" t="s">
        <v>48</v>
      </c>
      <c r="F86" s="6"/>
      <c r="G86" s="6"/>
      <c r="H86" s="6">
        <v>161</v>
      </c>
      <c r="I86" s="7"/>
      <c r="J86" s="7"/>
      <c r="K86" s="7">
        <v>172</v>
      </c>
      <c r="L86" s="7">
        <v>12</v>
      </c>
      <c r="M86" s="7" t="s">
        <v>57</v>
      </c>
      <c r="N86" s="7" t="s">
        <v>471</v>
      </c>
      <c r="O86" s="7" t="s">
        <v>472</v>
      </c>
      <c r="P86" s="7"/>
      <c r="Q86" s="7" t="s">
        <v>257</v>
      </c>
      <c r="R86" s="7" t="s">
        <v>257</v>
      </c>
      <c r="S86" s="7" t="s">
        <v>257</v>
      </c>
      <c r="T86" s="7" t="s">
        <v>473</v>
      </c>
      <c r="U86" s="7"/>
      <c r="V86" s="8">
        <f>1+1</f>
        <v>2</v>
      </c>
      <c r="W86" s="7"/>
      <c r="X86" s="7"/>
      <c r="Y86" s="7" t="s">
        <v>443</v>
      </c>
      <c r="Z86" s="9"/>
      <c r="AA86" s="10">
        <v>2</v>
      </c>
      <c r="AB86" s="9"/>
      <c r="AC86" s="10">
        <f>+AA86+1</f>
        <v>3</v>
      </c>
      <c r="AD86" s="9"/>
      <c r="AE86" s="10">
        <f>+AA86*2</f>
        <v>4</v>
      </c>
      <c r="AF86" s="7"/>
      <c r="AG86" s="7"/>
      <c r="AH86" s="7"/>
      <c r="AI86" s="7"/>
      <c r="AJ86" s="11">
        <f>156.2+30.2/2+14.53/2-AK86</f>
        <v>142.40239999999997</v>
      </c>
      <c r="AK86" s="12">
        <f>+(0.22+5.4+0.22)*(0.22+4.63+0.22)+(1.93+0.16+1+0.22)*(0.22+1.54+0.22)</f>
        <v>36.162599999999998</v>
      </c>
      <c r="AL86" s="13">
        <v>300.29000000000002</v>
      </c>
      <c r="AM86" s="13">
        <f>+(156.2+30.2+14.53)/AL86</f>
        <v>0.66911985081088265</v>
      </c>
      <c r="AN86" s="13">
        <f>+(AJ86+AK86)/AL86</f>
        <v>0.59464184621532501</v>
      </c>
      <c r="AO86" s="13"/>
      <c r="AP86" s="13">
        <f>450000+((9*346505+277126*9+207874*4)/22*AJ86)</f>
        <v>42162090.273636356</v>
      </c>
      <c r="AQ86" s="15">
        <v>800600.81</v>
      </c>
      <c r="AR86" s="13" t="s">
        <v>45</v>
      </c>
      <c r="AS86" s="15" t="s">
        <v>474</v>
      </c>
      <c r="AT86" s="16">
        <v>45804</v>
      </c>
      <c r="AU86" s="17"/>
      <c r="AV86" s="18">
        <v>45789</v>
      </c>
      <c r="AW86" s="19"/>
      <c r="AX86" s="19"/>
      <c r="AY86" s="19"/>
      <c r="AZ86" s="19"/>
      <c r="BA86" s="19"/>
      <c r="BB86" s="19"/>
      <c r="BC86" s="19"/>
      <c r="BD86" s="19"/>
      <c r="BE86" s="19"/>
      <c r="BF86" s="19"/>
      <c r="BG86" s="19"/>
      <c r="BH86" s="20"/>
      <c r="BI86" s="20"/>
      <c r="BJ86" s="20"/>
      <c r="BK86" s="20"/>
      <c r="BL86" s="20"/>
      <c r="BM86" s="20"/>
      <c r="BN86" s="20"/>
      <c r="BO86" s="20"/>
      <c r="BP86" s="20"/>
      <c r="BQ86" s="20"/>
      <c r="BR86" s="20"/>
      <c r="BS86" s="20"/>
      <c r="BT86" s="20"/>
      <c r="BU86" s="20"/>
      <c r="BV86" s="20"/>
      <c r="BW86" s="20"/>
      <c r="IQ86" s="20"/>
      <c r="IR86" s="20"/>
      <c r="IS86" s="20"/>
      <c r="IT86" s="20"/>
      <c r="IU86" s="20"/>
      <c r="IV86" s="20"/>
      <c r="IW86" s="20"/>
    </row>
    <row r="87" spans="1:257" s="21" customFormat="1" ht="63.75">
      <c r="A87" s="75"/>
      <c r="B87" s="70">
        <v>81</v>
      </c>
      <c r="C87" s="68" t="s">
        <v>475</v>
      </c>
      <c r="D87" s="4">
        <v>45793</v>
      </c>
      <c r="E87" s="5" t="s">
        <v>32</v>
      </c>
      <c r="F87" s="6">
        <v>37678</v>
      </c>
      <c r="G87" s="6">
        <v>136862</v>
      </c>
      <c r="H87" s="6">
        <v>7938</v>
      </c>
      <c r="I87" s="7"/>
      <c r="J87" s="7"/>
      <c r="K87" s="7">
        <v>217</v>
      </c>
      <c r="L87" s="7">
        <v>6</v>
      </c>
      <c r="M87" s="7" t="s">
        <v>452</v>
      </c>
      <c r="N87" s="7" t="s">
        <v>476</v>
      </c>
      <c r="O87" s="7" t="s">
        <v>477</v>
      </c>
      <c r="P87" s="7"/>
      <c r="Q87" s="7" t="s">
        <v>478</v>
      </c>
      <c r="R87" s="7"/>
      <c r="S87" s="7"/>
      <c r="T87" s="7"/>
      <c r="U87" s="7">
        <v>1</v>
      </c>
      <c r="V87" s="8"/>
      <c r="W87" s="7"/>
      <c r="X87" s="7"/>
      <c r="Y87" s="7" t="s">
        <v>85</v>
      </c>
      <c r="Z87" s="9"/>
      <c r="AA87" s="10"/>
      <c r="AB87" s="9"/>
      <c r="AC87" s="10"/>
      <c r="AD87" s="9"/>
      <c r="AE87" s="10"/>
      <c r="AF87" s="7"/>
      <c r="AG87" s="7">
        <v>108.11</v>
      </c>
      <c r="AH87" s="7"/>
      <c r="AI87" s="7">
        <f>119+1.58/2</f>
        <v>119.79</v>
      </c>
      <c r="AJ87" s="11"/>
      <c r="AK87" s="12"/>
      <c r="AL87" s="13">
        <v>415.54</v>
      </c>
      <c r="AM87" s="13">
        <f>+(108.11+119+1.58)/AL87</f>
        <v>0.55034413052895037</v>
      </c>
      <c r="AN87" s="13">
        <f>+(AG87+AI87)/AL87</f>
        <v>0.54844298984453965</v>
      </c>
      <c r="AO87" s="13"/>
      <c r="AP87" s="13">
        <f>277126*AI87</f>
        <v>33196923.540000003</v>
      </c>
      <c r="AQ87" s="15">
        <v>492155.01</v>
      </c>
      <c r="AR87" s="13" t="s">
        <v>45</v>
      </c>
      <c r="AS87" s="15" t="s">
        <v>479</v>
      </c>
      <c r="AT87" s="16">
        <v>45806</v>
      </c>
      <c r="AU87" s="17"/>
      <c r="AV87" s="18">
        <v>45800</v>
      </c>
      <c r="AW87" s="19"/>
      <c r="AX87" s="19"/>
      <c r="AY87" s="19"/>
      <c r="AZ87" s="19"/>
      <c r="BA87" s="19"/>
      <c r="BB87" s="19"/>
      <c r="BC87" s="19"/>
      <c r="BD87" s="19"/>
      <c r="BE87" s="19"/>
      <c r="BF87" s="19"/>
      <c r="BG87" s="19"/>
      <c r="BH87" s="20"/>
      <c r="BI87" s="20"/>
      <c r="BJ87" s="20"/>
      <c r="BK87" s="20"/>
      <c r="BL87" s="20"/>
      <c r="BM87" s="20"/>
      <c r="BN87" s="20"/>
      <c r="BO87" s="20"/>
      <c r="BP87" s="20"/>
      <c r="BQ87" s="20"/>
      <c r="BR87" s="20"/>
      <c r="BS87" s="20"/>
      <c r="BT87" s="20"/>
      <c r="BU87" s="20"/>
      <c r="BV87" s="20"/>
      <c r="BW87" s="20"/>
      <c r="IQ87" s="20"/>
      <c r="IR87" s="20"/>
      <c r="IS87" s="20"/>
      <c r="IT87" s="20"/>
      <c r="IU87" s="20"/>
      <c r="IV87" s="20"/>
      <c r="IW87" s="20"/>
    </row>
    <row r="88" spans="1:257" s="21" customFormat="1" ht="63.75">
      <c r="A88" s="75"/>
      <c r="B88" s="70">
        <v>82</v>
      </c>
      <c r="C88" s="68" t="s">
        <v>480</v>
      </c>
      <c r="D88" s="4">
        <v>45770</v>
      </c>
      <c r="E88" s="5" t="s">
        <v>32</v>
      </c>
      <c r="F88" s="6">
        <v>43941</v>
      </c>
      <c r="G88" s="6">
        <v>141469</v>
      </c>
      <c r="H88" s="6">
        <v>32036</v>
      </c>
      <c r="I88" s="7">
        <v>355</v>
      </c>
      <c r="J88" s="7"/>
      <c r="K88" s="7">
        <v>15</v>
      </c>
      <c r="L88" s="7">
        <v>4</v>
      </c>
      <c r="M88" s="7" t="s">
        <v>41</v>
      </c>
      <c r="N88" s="7" t="s">
        <v>76</v>
      </c>
      <c r="O88" s="7" t="s">
        <v>481</v>
      </c>
      <c r="P88" s="7"/>
      <c r="Q88" s="7" t="s">
        <v>101</v>
      </c>
      <c r="R88" s="7"/>
      <c r="S88" s="7"/>
      <c r="T88" s="7"/>
      <c r="U88" s="7">
        <v>1</v>
      </c>
      <c r="V88" s="8"/>
      <c r="W88" s="7"/>
      <c r="X88" s="7"/>
      <c r="Y88" s="7" t="s">
        <v>67</v>
      </c>
      <c r="Z88" s="9">
        <f>2*4+1*2+1+1</f>
        <v>12</v>
      </c>
      <c r="AA88" s="10"/>
      <c r="AB88" s="9">
        <f>+Z88+4+1+1+1</f>
        <v>19</v>
      </c>
      <c r="AC88" s="10"/>
      <c r="AD88" s="9">
        <f t="shared" ref="AD88:AD93" si="0">+Z88*2</f>
        <v>24</v>
      </c>
      <c r="AE88" s="10"/>
      <c r="AF88" s="7">
        <f>380.54+91.82/2+166.24</f>
        <v>592.69000000000005</v>
      </c>
      <c r="AG88" s="7"/>
      <c r="AH88" s="7">
        <v>44.45</v>
      </c>
      <c r="AI88" s="7"/>
      <c r="AJ88" s="11"/>
      <c r="AK88" s="12"/>
      <c r="AL88" s="13">
        <v>1611.2</v>
      </c>
      <c r="AM88" s="13">
        <f>+(380.54+91.82+44.45)/AL88</f>
        <v>0.32076092353525326</v>
      </c>
      <c r="AN88" s="13">
        <f>+(AF88+AH88)/AL88</f>
        <v>0.39544438927507453</v>
      </c>
      <c r="AO88" s="13"/>
      <c r="AP88" s="13">
        <f>+(2*346505+4*277126+7*207874+138602*7)/20*AH88</f>
        <v>9394165.2349999994</v>
      </c>
      <c r="AQ88" s="15">
        <v>106900.79</v>
      </c>
      <c r="AR88" s="13" t="s">
        <v>45</v>
      </c>
      <c r="AS88" s="15" t="s">
        <v>482</v>
      </c>
      <c r="AT88" s="16">
        <v>45806</v>
      </c>
      <c r="AU88" s="17"/>
      <c r="AV88" s="18">
        <v>45799</v>
      </c>
      <c r="AW88" s="19"/>
      <c r="AX88" s="19"/>
      <c r="AY88" s="19"/>
      <c r="AZ88" s="19"/>
      <c r="BA88" s="19"/>
      <c r="BB88" s="19"/>
      <c r="BC88" s="19"/>
      <c r="BD88" s="19"/>
      <c r="BE88" s="19"/>
      <c r="BF88" s="19"/>
      <c r="BG88" s="19"/>
      <c r="BH88" s="20"/>
      <c r="BI88" s="20"/>
      <c r="BJ88" s="20"/>
      <c r="BK88" s="20"/>
      <c r="BL88" s="20"/>
      <c r="BM88" s="20"/>
      <c r="BN88" s="20"/>
      <c r="BO88" s="20"/>
      <c r="BP88" s="20"/>
      <c r="BQ88" s="20"/>
      <c r="BR88" s="20"/>
      <c r="BS88" s="20"/>
      <c r="BT88" s="20"/>
      <c r="BU88" s="20"/>
      <c r="BV88" s="20"/>
      <c r="BW88" s="20"/>
      <c r="IQ88" s="20"/>
      <c r="IR88" s="20"/>
      <c r="IS88" s="20"/>
      <c r="IT88" s="20"/>
      <c r="IU88" s="20"/>
      <c r="IV88" s="20"/>
      <c r="IW88" s="20"/>
    </row>
    <row r="89" spans="1:257" s="21" customFormat="1" ht="89.25">
      <c r="A89" s="91"/>
      <c r="B89" s="70">
        <v>83</v>
      </c>
      <c r="C89" s="68" t="s">
        <v>483</v>
      </c>
      <c r="D89" s="4">
        <v>45793</v>
      </c>
      <c r="E89" s="5" t="s">
        <v>484</v>
      </c>
      <c r="F89" s="6">
        <v>50337</v>
      </c>
      <c r="G89" s="6">
        <v>1040</v>
      </c>
      <c r="H89" s="6">
        <v>892</v>
      </c>
      <c r="I89" s="7"/>
      <c r="J89" s="7"/>
      <c r="K89" s="7">
        <v>170</v>
      </c>
      <c r="L89" s="7">
        <v>10</v>
      </c>
      <c r="M89" s="7" t="s">
        <v>57</v>
      </c>
      <c r="N89" s="7" t="s">
        <v>485</v>
      </c>
      <c r="O89" s="7" t="s">
        <v>486</v>
      </c>
      <c r="P89" s="7"/>
      <c r="Q89" s="7" t="s">
        <v>366</v>
      </c>
      <c r="R89" s="7" t="s">
        <v>366</v>
      </c>
      <c r="S89" s="7" t="s">
        <v>366</v>
      </c>
      <c r="T89" s="7" t="s">
        <v>487</v>
      </c>
      <c r="U89" s="7"/>
      <c r="V89" s="8"/>
      <c r="W89" s="7">
        <v>1</v>
      </c>
      <c r="X89" s="7"/>
      <c r="Y89" s="7" t="s">
        <v>37</v>
      </c>
      <c r="Z89" s="9">
        <v>3</v>
      </c>
      <c r="AA89" s="10"/>
      <c r="AB89" s="9">
        <f>+Z89+1</f>
        <v>4</v>
      </c>
      <c r="AC89" s="10"/>
      <c r="AD89" s="9">
        <f t="shared" si="0"/>
        <v>6</v>
      </c>
      <c r="AE89" s="10"/>
      <c r="AF89" s="7">
        <v>229.63</v>
      </c>
      <c r="AG89" s="7"/>
      <c r="AH89" s="7">
        <v>164.22</v>
      </c>
      <c r="AI89" s="7"/>
      <c r="AJ89" s="11"/>
      <c r="AK89" s="12"/>
      <c r="AL89" s="13">
        <v>359.95</v>
      </c>
      <c r="AM89" s="13">
        <f>+AH89/AL89</f>
        <v>0.45623003194888179</v>
      </c>
      <c r="AN89" s="13">
        <f>+AH89/AL89</f>
        <v>0.45623003194888179</v>
      </c>
      <c r="AO89" s="13"/>
      <c r="AP89" s="13">
        <v>27017236</v>
      </c>
      <c r="AQ89" s="15">
        <v>456050.48</v>
      </c>
      <c r="AR89" s="13"/>
      <c r="AS89" s="15" t="s">
        <v>488</v>
      </c>
      <c r="AT89" s="16">
        <v>45806</v>
      </c>
      <c r="AU89" s="17"/>
      <c r="AV89" s="18" t="s">
        <v>489</v>
      </c>
      <c r="AW89" s="19"/>
      <c r="AX89" s="19"/>
      <c r="AY89" s="19"/>
      <c r="AZ89" s="19"/>
      <c r="BA89" s="19"/>
      <c r="BB89" s="19"/>
      <c r="BC89" s="19"/>
      <c r="BD89" s="19"/>
      <c r="BE89" s="19"/>
      <c r="BF89" s="19"/>
      <c r="BG89" s="19"/>
      <c r="BH89" s="20"/>
      <c r="BI89" s="20"/>
      <c r="BJ89" s="20"/>
      <c r="BK89" s="20"/>
      <c r="BL89" s="20"/>
      <c r="BM89" s="20"/>
      <c r="BN89" s="20"/>
      <c r="BO89" s="20"/>
      <c r="BP89" s="20"/>
      <c r="BQ89" s="20"/>
      <c r="BR89" s="20"/>
      <c r="BS89" s="20"/>
      <c r="BT89" s="20"/>
      <c r="BU89" s="20"/>
      <c r="BV89" s="20"/>
      <c r="BW89" s="20"/>
      <c r="IQ89" s="20"/>
      <c r="IR89" s="20"/>
      <c r="IS89" s="20"/>
      <c r="IT89" s="20"/>
      <c r="IU89" s="20"/>
      <c r="IV89" s="20"/>
      <c r="IW89" s="20"/>
    </row>
    <row r="90" spans="1:257" s="21" customFormat="1" ht="76.5">
      <c r="A90" s="112" t="s">
        <v>490</v>
      </c>
      <c r="B90" s="70">
        <v>84</v>
      </c>
      <c r="C90" s="68">
        <v>570602</v>
      </c>
      <c r="D90" s="4">
        <v>45713</v>
      </c>
      <c r="E90" s="5" t="s">
        <v>32</v>
      </c>
      <c r="F90" s="6">
        <v>52073</v>
      </c>
      <c r="G90" s="6">
        <v>158946</v>
      </c>
      <c r="H90" s="6">
        <v>32048</v>
      </c>
      <c r="I90" s="7">
        <v>331</v>
      </c>
      <c r="J90" s="7"/>
      <c r="K90" s="7">
        <v>2</v>
      </c>
      <c r="L90" s="7">
        <v>5</v>
      </c>
      <c r="M90" s="7" t="s">
        <v>41</v>
      </c>
      <c r="N90" s="7" t="s">
        <v>491</v>
      </c>
      <c r="O90" s="7" t="s">
        <v>492</v>
      </c>
      <c r="P90" s="7"/>
      <c r="Q90" s="7" t="s">
        <v>493</v>
      </c>
      <c r="R90" s="7"/>
      <c r="S90" s="7"/>
      <c r="T90" s="7"/>
      <c r="U90" s="7">
        <v>7</v>
      </c>
      <c r="V90" s="8"/>
      <c r="W90" s="7"/>
      <c r="X90" s="7"/>
      <c r="Y90" s="7" t="s">
        <v>67</v>
      </c>
      <c r="Z90" s="9">
        <v>7</v>
      </c>
      <c r="AA90" s="10"/>
      <c r="AB90" s="9">
        <f>+Z90</f>
        <v>7</v>
      </c>
      <c r="AC90" s="10"/>
      <c r="AD90" s="9">
        <f t="shared" si="0"/>
        <v>14</v>
      </c>
      <c r="AE90" s="10"/>
      <c r="AF90" s="7"/>
      <c r="AG90" s="7"/>
      <c r="AH90" s="7">
        <f>267.1+33.5/2</f>
        <v>283.85000000000002</v>
      </c>
      <c r="AI90" s="7"/>
      <c r="AJ90" s="11"/>
      <c r="AK90" s="12"/>
      <c r="AL90" s="13">
        <v>861.72</v>
      </c>
      <c r="AM90" s="13">
        <f>+(267.1+33.5)/AL90</f>
        <v>0.34883720930232559</v>
      </c>
      <c r="AN90" s="13">
        <f>+AH90/AL90</f>
        <v>0.3293993408531774</v>
      </c>
      <c r="AO90" s="13"/>
      <c r="AP90" s="13">
        <v>25000000</v>
      </c>
      <c r="AQ90" s="76">
        <v>387515</v>
      </c>
      <c r="AR90" s="13" t="s">
        <v>45</v>
      </c>
      <c r="AS90" s="15" t="s">
        <v>494</v>
      </c>
      <c r="AT90" s="16">
        <v>45809</v>
      </c>
      <c r="AU90" s="17"/>
      <c r="AV90" s="18">
        <v>45715</v>
      </c>
      <c r="AW90" s="19"/>
      <c r="AX90" s="19"/>
      <c r="AY90" s="19"/>
      <c r="AZ90" s="19"/>
      <c r="BA90" s="19"/>
      <c r="BB90" s="19"/>
      <c r="BC90" s="19"/>
      <c r="BD90" s="19"/>
      <c r="BE90" s="19"/>
      <c r="BF90" s="19"/>
      <c r="BG90" s="19"/>
      <c r="BH90" s="20"/>
      <c r="BI90" s="20"/>
      <c r="BJ90" s="20"/>
      <c r="BK90" s="20"/>
      <c r="BL90" s="20"/>
      <c r="BM90" s="20"/>
      <c r="BN90" s="20"/>
      <c r="BO90" s="20"/>
      <c r="BP90" s="20"/>
      <c r="BQ90" s="20"/>
      <c r="BR90" s="20"/>
      <c r="BS90" s="20"/>
      <c r="BT90" s="20"/>
      <c r="BU90" s="20"/>
      <c r="BV90" s="20"/>
      <c r="BW90" s="20"/>
      <c r="IQ90" s="20"/>
      <c r="IR90" s="20"/>
      <c r="IS90" s="20"/>
      <c r="IT90" s="20"/>
      <c r="IU90" s="20"/>
      <c r="IV90" s="20"/>
      <c r="IW90" s="20"/>
    </row>
    <row r="91" spans="1:257" s="21" customFormat="1" ht="76.5">
      <c r="A91" s="92"/>
      <c r="B91" s="70">
        <v>85</v>
      </c>
      <c r="C91" s="68">
        <v>572134</v>
      </c>
      <c r="D91" s="4">
        <v>45770</v>
      </c>
      <c r="E91" s="5" t="s">
        <v>32</v>
      </c>
      <c r="F91" s="6">
        <v>59758</v>
      </c>
      <c r="G91" s="6">
        <v>167983</v>
      </c>
      <c r="H91" s="6">
        <v>33868</v>
      </c>
      <c r="I91" s="7">
        <v>223</v>
      </c>
      <c r="J91" s="7"/>
      <c r="K91" s="7">
        <v>8</v>
      </c>
      <c r="L91" s="7">
        <v>29</v>
      </c>
      <c r="M91" s="7" t="s">
        <v>41</v>
      </c>
      <c r="N91" s="7" t="s">
        <v>76</v>
      </c>
      <c r="O91" s="7" t="s">
        <v>495</v>
      </c>
      <c r="P91" s="7"/>
      <c r="Q91" s="7" t="s">
        <v>134</v>
      </c>
      <c r="R91" s="7"/>
      <c r="S91" s="7"/>
      <c r="T91" s="7"/>
      <c r="U91" s="7">
        <v>1</v>
      </c>
      <c r="V91" s="8"/>
      <c r="W91" s="7"/>
      <c r="X91" s="7"/>
      <c r="Y91" s="7" t="s">
        <v>37</v>
      </c>
      <c r="Z91" s="9">
        <v>1</v>
      </c>
      <c r="AA91" s="10"/>
      <c r="AB91" s="9">
        <f>+Z91+1</f>
        <v>2</v>
      </c>
      <c r="AC91" s="10"/>
      <c r="AD91" s="9">
        <f t="shared" si="0"/>
        <v>2</v>
      </c>
      <c r="AE91" s="10"/>
      <c r="AF91" s="7"/>
      <c r="AG91" s="7"/>
      <c r="AH91" s="7">
        <f>30+44.1/1+24.9</f>
        <v>99</v>
      </c>
      <c r="AI91" s="7"/>
      <c r="AJ91" s="11"/>
      <c r="AK91" s="12"/>
      <c r="AL91" s="13">
        <v>554.73</v>
      </c>
      <c r="AM91" s="13">
        <f>+(30+44.1)/AL91</f>
        <v>0.13357849764750418</v>
      </c>
      <c r="AN91" s="13">
        <f>+AH91/AL91</f>
        <v>0.17846519928613919</v>
      </c>
      <c r="AO91" s="13"/>
      <c r="AP91" s="13">
        <v>33400000</v>
      </c>
      <c r="AQ91" s="15">
        <v>633231</v>
      </c>
      <c r="AR91" s="13" t="s">
        <v>45</v>
      </c>
      <c r="AS91" s="15" t="s">
        <v>496</v>
      </c>
      <c r="AT91" s="16">
        <v>45811</v>
      </c>
      <c r="AU91" s="17"/>
      <c r="AV91" s="18">
        <v>45799</v>
      </c>
      <c r="AW91" s="19"/>
      <c r="AX91" s="19"/>
      <c r="AY91" s="19"/>
      <c r="AZ91" s="19"/>
      <c r="BA91" s="19"/>
      <c r="BB91" s="19"/>
      <c r="BC91" s="19"/>
      <c r="BD91" s="19"/>
      <c r="BE91" s="19"/>
      <c r="BF91" s="19"/>
      <c r="BG91" s="19"/>
      <c r="BH91" s="20"/>
      <c r="BI91" s="20"/>
      <c r="BJ91" s="20"/>
      <c r="BK91" s="20"/>
      <c r="BL91" s="20"/>
      <c r="BM91" s="20"/>
      <c r="BN91" s="20"/>
      <c r="BO91" s="20"/>
      <c r="BP91" s="20"/>
      <c r="BQ91" s="20"/>
      <c r="BR91" s="20"/>
      <c r="BS91" s="20"/>
      <c r="BT91" s="20"/>
      <c r="BU91" s="20"/>
      <c r="BV91" s="20"/>
      <c r="BW91" s="20"/>
      <c r="IQ91" s="20"/>
      <c r="IR91" s="20"/>
      <c r="IS91" s="20"/>
      <c r="IT91" s="20"/>
      <c r="IU91" s="20"/>
      <c r="IV91" s="20"/>
      <c r="IW91" s="20"/>
    </row>
    <row r="92" spans="1:257" s="21" customFormat="1" ht="63.75">
      <c r="A92" s="92"/>
      <c r="B92" s="70">
        <v>86</v>
      </c>
      <c r="C92" s="68" t="s">
        <v>497</v>
      </c>
      <c r="D92" s="4">
        <v>45751</v>
      </c>
      <c r="E92" s="5" t="s">
        <v>32</v>
      </c>
      <c r="F92" s="6">
        <v>54725</v>
      </c>
      <c r="G92" s="6">
        <v>163887</v>
      </c>
      <c r="H92" s="6">
        <v>33456</v>
      </c>
      <c r="I92" s="7">
        <v>160</v>
      </c>
      <c r="J92" s="7"/>
      <c r="K92" s="7"/>
      <c r="L92" s="7">
        <v>20</v>
      </c>
      <c r="M92" s="7" t="s">
        <v>41</v>
      </c>
      <c r="N92" s="7" t="s">
        <v>76</v>
      </c>
      <c r="O92" s="7" t="s">
        <v>498</v>
      </c>
      <c r="P92" s="7"/>
      <c r="Q92" s="7" t="s">
        <v>499</v>
      </c>
      <c r="R92" s="7"/>
      <c r="S92" s="7"/>
      <c r="T92" s="7"/>
      <c r="U92" s="7">
        <v>3</v>
      </c>
      <c r="V92" s="8"/>
      <c r="W92" s="7"/>
      <c r="X92" s="7"/>
      <c r="Y92" s="7" t="s">
        <v>67</v>
      </c>
      <c r="Z92" s="9">
        <f>1+1+1</f>
        <v>3</v>
      </c>
      <c r="AA92" s="10"/>
      <c r="AB92" s="9">
        <f>+Z92</f>
        <v>3</v>
      </c>
      <c r="AC92" s="10"/>
      <c r="AD92" s="9">
        <f t="shared" si="0"/>
        <v>6</v>
      </c>
      <c r="AE92" s="10"/>
      <c r="AF92" s="7"/>
      <c r="AG92" s="7"/>
      <c r="AH92" s="7">
        <f>70.6+22.8/2+58.15</f>
        <v>140.15</v>
      </c>
      <c r="AI92" s="7"/>
      <c r="AJ92" s="11"/>
      <c r="AK92" s="12"/>
      <c r="AL92" s="13">
        <v>459.80399999999997</v>
      </c>
      <c r="AM92" s="13">
        <f>+(70.6+22.8)/AL92</f>
        <v>0.20313002931683935</v>
      </c>
      <c r="AN92" s="13">
        <f>+AH92/AL92</f>
        <v>0.30480378596097468</v>
      </c>
      <c r="AO92" s="13"/>
      <c r="AP92" s="13">
        <f>+(1*369028+5*295139+8*221386+10*147611)/24*AH92</f>
        <v>29734697.006250001</v>
      </c>
      <c r="AQ92" s="15">
        <v>786438.26</v>
      </c>
      <c r="AR92" s="13" t="s">
        <v>45</v>
      </c>
      <c r="AS92" s="15" t="s">
        <v>500</v>
      </c>
      <c r="AT92" s="16">
        <v>45811</v>
      </c>
      <c r="AU92" s="17"/>
      <c r="AV92" s="18">
        <v>45799</v>
      </c>
      <c r="AW92" s="19"/>
      <c r="AX92" s="19"/>
      <c r="AY92" s="19"/>
      <c r="AZ92" s="19"/>
      <c r="BA92" s="19"/>
      <c r="BB92" s="19"/>
      <c r="BC92" s="19"/>
      <c r="BD92" s="19"/>
      <c r="BE92" s="19"/>
      <c r="BF92" s="19"/>
      <c r="BG92" s="19"/>
      <c r="BH92" s="20"/>
      <c r="BI92" s="20"/>
      <c r="BJ92" s="20"/>
      <c r="BK92" s="20"/>
      <c r="BL92" s="20"/>
      <c r="BM92" s="20"/>
      <c r="BN92" s="20"/>
      <c r="BO92" s="20"/>
      <c r="BP92" s="20"/>
      <c r="BQ92" s="20"/>
      <c r="BR92" s="20"/>
      <c r="BS92" s="20"/>
      <c r="BT92" s="20"/>
      <c r="BU92" s="20"/>
      <c r="BV92" s="20"/>
      <c r="BW92" s="20"/>
      <c r="IQ92" s="20"/>
      <c r="IR92" s="20"/>
      <c r="IS92" s="20"/>
      <c r="IT92" s="20"/>
      <c r="IU92" s="20"/>
      <c r="IV92" s="20"/>
      <c r="IW92" s="20"/>
    </row>
    <row r="93" spans="1:257" s="21" customFormat="1" ht="76.5">
      <c r="A93" s="92"/>
      <c r="B93" s="70">
        <v>87</v>
      </c>
      <c r="C93" s="68" t="s">
        <v>501</v>
      </c>
      <c r="D93" s="4">
        <v>45729</v>
      </c>
      <c r="E93" s="5" t="s">
        <v>32</v>
      </c>
      <c r="F93" s="6">
        <v>16210</v>
      </c>
      <c r="G93" s="6">
        <v>106423</v>
      </c>
      <c r="H93" s="6">
        <v>3775</v>
      </c>
      <c r="I93" s="7"/>
      <c r="J93" s="7"/>
      <c r="K93" s="7">
        <v>615</v>
      </c>
      <c r="L93" s="7">
        <v>6</v>
      </c>
      <c r="M93" s="7" t="s">
        <v>33</v>
      </c>
      <c r="N93" s="7" t="s">
        <v>502</v>
      </c>
      <c r="O93" s="7" t="s">
        <v>503</v>
      </c>
      <c r="P93" s="7"/>
      <c r="Q93" s="7" t="s">
        <v>504</v>
      </c>
      <c r="R93" s="7"/>
      <c r="S93" s="7"/>
      <c r="T93" s="7"/>
      <c r="U93" s="7">
        <v>2</v>
      </c>
      <c r="V93" s="8"/>
      <c r="W93" s="7"/>
      <c r="X93" s="7"/>
      <c r="Y93" s="7" t="s">
        <v>67</v>
      </c>
      <c r="Z93" s="9">
        <f>2+2</f>
        <v>4</v>
      </c>
      <c r="AA93" s="10"/>
      <c r="AB93" s="9">
        <f>+Z93+1+1</f>
        <v>6</v>
      </c>
      <c r="AC93" s="10"/>
      <c r="AD93" s="9">
        <f t="shared" si="0"/>
        <v>8</v>
      </c>
      <c r="AE93" s="10"/>
      <c r="AF93" s="7"/>
      <c r="AG93" s="7"/>
      <c r="AH93" s="7">
        <f>121.84+40.5</f>
        <v>162.34</v>
      </c>
      <c r="AI93" s="7"/>
      <c r="AJ93" s="11"/>
      <c r="AK93" s="12"/>
      <c r="AL93" s="13">
        <v>210.9</v>
      </c>
      <c r="AM93" s="13">
        <f>+(121.84/AL93)</f>
        <v>0.57771455666192506</v>
      </c>
      <c r="AN93" s="13">
        <f>+AH93/AL93</f>
        <v>0.76974869606448548</v>
      </c>
      <c r="AO93" s="13">
        <f>+(4+24+8+12)/(2+8+2+2)</f>
        <v>3.4285714285714284</v>
      </c>
      <c r="AP93" s="13">
        <f>+(6*369028+6*295139+6*221386+3*147611)/21*AH93</f>
        <v>44497788.254285716</v>
      </c>
      <c r="AQ93" s="15">
        <v>737102.37</v>
      </c>
      <c r="AR93" s="13" t="s">
        <v>45</v>
      </c>
      <c r="AS93" s="15" t="s">
        <v>505</v>
      </c>
      <c r="AT93" s="16">
        <v>45811</v>
      </c>
      <c r="AU93" s="17"/>
      <c r="AV93" s="18">
        <v>45807</v>
      </c>
      <c r="AW93" s="19"/>
      <c r="AX93" s="19"/>
      <c r="AY93" s="19"/>
      <c r="AZ93" s="19"/>
      <c r="BA93" s="19"/>
      <c r="BB93" s="19"/>
      <c r="BC93" s="19"/>
      <c r="BD93" s="19"/>
      <c r="BE93" s="19"/>
      <c r="BF93" s="19"/>
      <c r="BG93" s="19"/>
      <c r="BH93" s="20"/>
      <c r="BI93" s="20"/>
      <c r="BJ93" s="20"/>
      <c r="BK93" s="20"/>
      <c r="BL93" s="20"/>
      <c r="BM93" s="20"/>
      <c r="BN93" s="20"/>
      <c r="BO93" s="20"/>
      <c r="BP93" s="20"/>
      <c r="BQ93" s="20"/>
      <c r="BR93" s="20"/>
      <c r="BS93" s="20"/>
      <c r="BT93" s="20"/>
      <c r="BU93" s="20"/>
      <c r="BV93" s="20"/>
      <c r="BW93" s="20"/>
      <c r="IQ93" s="20"/>
      <c r="IR93" s="20"/>
      <c r="IS93" s="20"/>
      <c r="IT93" s="20"/>
      <c r="IU93" s="20"/>
      <c r="IV93" s="20"/>
      <c r="IW93" s="20"/>
    </row>
    <row r="94" spans="1:257" s="21" customFormat="1" ht="51">
      <c r="A94" s="92"/>
      <c r="B94" s="70">
        <v>88</v>
      </c>
      <c r="C94" s="68" t="s">
        <v>506</v>
      </c>
      <c r="D94" s="4">
        <v>45679</v>
      </c>
      <c r="E94" s="5" t="s">
        <v>268</v>
      </c>
      <c r="F94" s="6">
        <v>9449</v>
      </c>
      <c r="G94" s="6">
        <v>108252</v>
      </c>
      <c r="H94" s="6">
        <v>1187</v>
      </c>
      <c r="I94" s="7"/>
      <c r="J94" s="7"/>
      <c r="K94" s="7">
        <v>173</v>
      </c>
      <c r="L94" s="7">
        <v>14</v>
      </c>
      <c r="M94" s="7" t="s">
        <v>57</v>
      </c>
      <c r="N94" s="7" t="s">
        <v>507</v>
      </c>
      <c r="O94" s="7" t="s">
        <v>508</v>
      </c>
      <c r="P94" s="7"/>
      <c r="Q94" s="7" t="s">
        <v>218</v>
      </c>
      <c r="R94" s="7"/>
      <c r="S94" s="7"/>
      <c r="T94" s="7"/>
      <c r="U94" s="7">
        <v>12</v>
      </c>
      <c r="V94" s="8"/>
      <c r="W94" s="7"/>
      <c r="X94" s="7"/>
      <c r="Y94" s="7" t="s">
        <v>67</v>
      </c>
      <c r="Z94" s="9">
        <f>1+2+2+1+1*8</f>
        <v>14</v>
      </c>
      <c r="AA94" s="10"/>
      <c r="AB94" s="9">
        <f>+U94</f>
        <v>12</v>
      </c>
      <c r="AC94" s="10"/>
      <c r="AD94" s="9">
        <f>+Z94*2</f>
        <v>28</v>
      </c>
      <c r="AE94" s="10"/>
      <c r="AF94" s="7">
        <f>163.44+48.47/2+376.14+17.42/2+134.89</f>
        <v>707.41500000000008</v>
      </c>
      <c r="AG94" s="7"/>
      <c r="AH94" s="7">
        <f>4.37+130.26/2</f>
        <v>69.5</v>
      </c>
      <c r="AI94" s="7"/>
      <c r="AJ94" s="11"/>
      <c r="AK94" s="12"/>
      <c r="AL94" s="13">
        <v>421.42</v>
      </c>
      <c r="AM94" s="13">
        <f>+(48.47+163.44)/AL94</f>
        <v>0.50284751554268903</v>
      </c>
      <c r="AN94" s="13">
        <f>+(AF94+AH94)/AL94</f>
        <v>1.843564614873523</v>
      </c>
      <c r="AO94" s="13"/>
      <c r="AP94" s="13">
        <f>11650000+((369028+6*295139+7*221386+7*147611)/21*(130.26/2)+4.37)</f>
        <v>26297558.385714285</v>
      </c>
      <c r="AQ94" s="15">
        <v>299132.07</v>
      </c>
      <c r="AR94" s="13" t="s">
        <v>509</v>
      </c>
      <c r="AS94" s="15" t="s">
        <v>510</v>
      </c>
      <c r="AT94" s="16">
        <v>45819</v>
      </c>
      <c r="AU94" s="17"/>
      <c r="AV94" s="18">
        <v>45813</v>
      </c>
      <c r="AW94" s="19"/>
      <c r="AX94" s="19"/>
      <c r="AY94" s="19"/>
      <c r="AZ94" s="19"/>
      <c r="BA94" s="19"/>
      <c r="BB94" s="19"/>
      <c r="BC94" s="19"/>
      <c r="BD94" s="19"/>
      <c r="BE94" s="19"/>
      <c r="BF94" s="19"/>
      <c r="BG94" s="19"/>
      <c r="BH94" s="20"/>
      <c r="BI94" s="20"/>
      <c r="BJ94" s="20"/>
      <c r="BK94" s="20"/>
      <c r="BL94" s="20"/>
      <c r="BM94" s="20"/>
      <c r="BN94" s="20"/>
      <c r="BO94" s="20"/>
      <c r="BP94" s="20"/>
      <c r="BQ94" s="20"/>
      <c r="BR94" s="20"/>
      <c r="BS94" s="20"/>
      <c r="BT94" s="20"/>
      <c r="BU94" s="20"/>
      <c r="BV94" s="20"/>
      <c r="BW94" s="20"/>
      <c r="IQ94" s="20"/>
      <c r="IR94" s="20"/>
      <c r="IS94" s="20"/>
      <c r="IT94" s="20"/>
      <c r="IU94" s="20"/>
      <c r="IV94" s="20"/>
      <c r="IW94" s="20"/>
    </row>
    <row r="95" spans="1:257" s="21" customFormat="1" ht="89.25">
      <c r="A95" s="92"/>
      <c r="B95" s="70">
        <v>89</v>
      </c>
      <c r="C95" s="68">
        <v>572105</v>
      </c>
      <c r="D95" s="4">
        <v>45769</v>
      </c>
      <c r="E95" s="5" t="s">
        <v>32</v>
      </c>
      <c r="F95" s="6">
        <v>61363</v>
      </c>
      <c r="G95" s="6">
        <v>169217</v>
      </c>
      <c r="H95" s="6">
        <v>34033</v>
      </c>
      <c r="I95" s="7">
        <v>247</v>
      </c>
      <c r="J95" s="7"/>
      <c r="K95" s="7">
        <v>5</v>
      </c>
      <c r="L95" s="7">
        <v>5</v>
      </c>
      <c r="M95" s="7" t="s">
        <v>41</v>
      </c>
      <c r="N95" s="7" t="s">
        <v>511</v>
      </c>
      <c r="O95" s="7" t="s">
        <v>512</v>
      </c>
      <c r="P95" s="7"/>
      <c r="Q95" s="7" t="s">
        <v>513</v>
      </c>
      <c r="R95" s="7"/>
      <c r="S95" s="7"/>
      <c r="T95" s="7"/>
      <c r="U95" s="7">
        <v>1</v>
      </c>
      <c r="V95" s="8"/>
      <c r="W95" s="7"/>
      <c r="X95" s="7"/>
      <c r="Y95" s="7" t="s">
        <v>37</v>
      </c>
      <c r="Z95" s="9">
        <v>3</v>
      </c>
      <c r="AA95" s="10"/>
      <c r="AB95" s="9">
        <f>+Z95+1</f>
        <v>4</v>
      </c>
      <c r="AC95" s="10"/>
      <c r="AD95" s="9">
        <f>+Z95*2</f>
        <v>6</v>
      </c>
      <c r="AE95" s="10"/>
      <c r="AF95" s="7"/>
      <c r="AG95" s="7"/>
      <c r="AH95" s="7">
        <f>96.76+52.48/2</f>
        <v>123</v>
      </c>
      <c r="AI95" s="7">
        <f>52.48/2</f>
        <v>26.24</v>
      </c>
      <c r="AJ95" s="11"/>
      <c r="AK95" s="12"/>
      <c r="AL95" s="13">
        <v>450</v>
      </c>
      <c r="AM95" s="13">
        <f>+(96.76+52.48)/AL95</f>
        <v>0.33164444444444446</v>
      </c>
      <c r="AN95" s="13">
        <f>+AH95/AL95</f>
        <v>0.27333333333333332</v>
      </c>
      <c r="AO95" s="13"/>
      <c r="AP95" s="113">
        <f>+(9*346505+9*277126+3*207674)/21*AH95</f>
        <v>36523391.571428567</v>
      </c>
      <c r="AQ95" s="15">
        <v>573620.71</v>
      </c>
      <c r="AR95" s="13" t="s">
        <v>45</v>
      </c>
      <c r="AS95" s="15" t="s">
        <v>514</v>
      </c>
      <c r="AT95" s="16">
        <v>45821</v>
      </c>
      <c r="AU95" s="17"/>
      <c r="AV95" s="18">
        <v>45792</v>
      </c>
      <c r="AW95" s="19"/>
      <c r="AX95" s="19"/>
      <c r="AY95" s="19"/>
      <c r="AZ95" s="19"/>
      <c r="BA95" s="19"/>
      <c r="BB95" s="19"/>
      <c r="BC95" s="19"/>
      <c r="BD95" s="19"/>
      <c r="BE95" s="19"/>
      <c r="BF95" s="19"/>
      <c r="BG95" s="19"/>
      <c r="BH95" s="20"/>
      <c r="BI95" s="20"/>
      <c r="BJ95" s="20"/>
      <c r="BK95" s="20"/>
      <c r="BL95" s="20"/>
      <c r="BM95" s="20"/>
      <c r="BN95" s="20"/>
      <c r="BO95" s="20"/>
      <c r="BP95" s="20"/>
      <c r="BQ95" s="20"/>
      <c r="BR95" s="20"/>
      <c r="BS95" s="20"/>
      <c r="BT95" s="20"/>
      <c r="BU95" s="20"/>
      <c r="BV95" s="20"/>
      <c r="BW95" s="20"/>
      <c r="IQ95" s="20"/>
      <c r="IR95" s="20"/>
      <c r="IS95" s="20"/>
      <c r="IT95" s="20"/>
      <c r="IU95" s="20"/>
      <c r="IV95" s="20"/>
      <c r="IW95" s="20"/>
    </row>
    <row r="96" spans="1:257" s="21" customFormat="1" ht="63.75">
      <c r="A96" s="92"/>
      <c r="B96" s="70">
        <v>90</v>
      </c>
      <c r="C96" s="68">
        <v>573199</v>
      </c>
      <c r="D96" s="4">
        <v>45804</v>
      </c>
      <c r="E96" s="5" t="s">
        <v>268</v>
      </c>
      <c r="F96" s="6">
        <v>5244</v>
      </c>
      <c r="G96" s="6"/>
      <c r="H96" s="6">
        <v>2882</v>
      </c>
      <c r="I96" s="7"/>
      <c r="J96" s="7"/>
      <c r="K96" s="7">
        <v>731</v>
      </c>
      <c r="L96" s="7">
        <v>20</v>
      </c>
      <c r="M96" s="7" t="s">
        <v>452</v>
      </c>
      <c r="N96" s="7" t="s">
        <v>515</v>
      </c>
      <c r="O96" s="7" t="s">
        <v>516</v>
      </c>
      <c r="P96" s="7" t="s">
        <v>517</v>
      </c>
      <c r="Q96" s="7" t="s">
        <v>234</v>
      </c>
      <c r="R96" s="7"/>
      <c r="S96" s="7"/>
      <c r="T96" s="7"/>
      <c r="U96" s="7">
        <v>1</v>
      </c>
      <c r="V96" s="8"/>
      <c r="W96" s="7"/>
      <c r="X96" s="7"/>
      <c r="Y96" s="7" t="s">
        <v>518</v>
      </c>
      <c r="Z96" s="9"/>
      <c r="AA96" s="10"/>
      <c r="AB96" s="9"/>
      <c r="AC96" s="10"/>
      <c r="AD96" s="9"/>
      <c r="AE96" s="10"/>
      <c r="AF96" s="7"/>
      <c r="AG96" s="7">
        <f>64.31+60.13</f>
        <v>124.44</v>
      </c>
      <c r="AH96" s="7"/>
      <c r="AI96" s="13">
        <f>103.31+30.03/2</f>
        <v>118.325</v>
      </c>
      <c r="AJ96" s="11"/>
      <c r="AK96" s="12"/>
      <c r="AL96" s="13">
        <v>341</v>
      </c>
      <c r="AM96" s="13">
        <v>0.57999999999999996</v>
      </c>
      <c r="AN96" s="13">
        <f>+(AG96+AI96)/AL96</f>
        <v>0.7119208211143695</v>
      </c>
      <c r="AO96" s="13"/>
      <c r="AP96" s="13">
        <v>2500000</v>
      </c>
      <c r="AQ96" s="15">
        <v>63096</v>
      </c>
      <c r="AR96" s="13" t="s">
        <v>45</v>
      </c>
      <c r="AS96" s="15" t="s">
        <v>519</v>
      </c>
      <c r="AT96" s="16">
        <v>45825</v>
      </c>
      <c r="AU96" s="17"/>
      <c r="AV96" s="18">
        <v>45805</v>
      </c>
      <c r="AW96" s="19"/>
      <c r="AX96" s="19"/>
      <c r="AY96" s="19"/>
      <c r="AZ96" s="19"/>
      <c r="BA96" s="19"/>
      <c r="BB96" s="19"/>
      <c r="BC96" s="19"/>
      <c r="BD96" s="19"/>
      <c r="BE96" s="19"/>
      <c r="BF96" s="19"/>
      <c r="BG96" s="19"/>
      <c r="BH96" s="20"/>
      <c r="BI96" s="20"/>
      <c r="BJ96" s="20"/>
      <c r="BK96" s="20"/>
      <c r="BL96" s="20"/>
      <c r="BM96" s="20"/>
      <c r="BN96" s="20"/>
      <c r="BO96" s="20"/>
      <c r="BP96" s="20"/>
      <c r="BQ96" s="20"/>
      <c r="BR96" s="20"/>
      <c r="BS96" s="20"/>
      <c r="BT96" s="20"/>
      <c r="BU96" s="20"/>
      <c r="BV96" s="20"/>
      <c r="BW96" s="20"/>
      <c r="IQ96" s="20"/>
      <c r="IR96" s="20"/>
      <c r="IS96" s="20"/>
      <c r="IT96" s="20"/>
      <c r="IU96" s="20"/>
      <c r="IV96" s="20"/>
      <c r="IW96" s="20"/>
    </row>
    <row r="97" spans="1:257" s="21" customFormat="1" ht="51">
      <c r="A97" s="92"/>
      <c r="B97" s="70">
        <v>91</v>
      </c>
      <c r="C97" s="68" t="s">
        <v>520</v>
      </c>
      <c r="D97" s="4">
        <v>45786</v>
      </c>
      <c r="E97" s="5" t="s">
        <v>32</v>
      </c>
      <c r="F97" s="6">
        <v>36214</v>
      </c>
      <c r="G97" s="6">
        <v>135740</v>
      </c>
      <c r="H97" s="6">
        <v>7679</v>
      </c>
      <c r="I97" s="7"/>
      <c r="J97" s="7"/>
      <c r="K97" s="7">
        <v>130</v>
      </c>
      <c r="L97" s="7">
        <v>20</v>
      </c>
      <c r="M97" s="7" t="s">
        <v>57</v>
      </c>
      <c r="N97" s="7" t="s">
        <v>521</v>
      </c>
      <c r="O97" s="7" t="s">
        <v>522</v>
      </c>
      <c r="P97" s="7"/>
      <c r="Q97" s="7" t="s">
        <v>523</v>
      </c>
      <c r="R97" s="7"/>
      <c r="S97" s="7"/>
      <c r="T97" s="7"/>
      <c r="U97" s="7">
        <f>1+1</f>
        <v>2</v>
      </c>
      <c r="V97" s="8"/>
      <c r="W97" s="7"/>
      <c r="X97" s="7"/>
      <c r="Y97" s="7" t="s">
        <v>524</v>
      </c>
      <c r="Z97" s="9">
        <v>2</v>
      </c>
      <c r="AA97" s="10"/>
      <c r="AB97" s="9">
        <f>+Z97+1</f>
        <v>3</v>
      </c>
      <c r="AC97" s="10"/>
      <c r="AD97" s="9">
        <f>+Z97*2</f>
        <v>4</v>
      </c>
      <c r="AE97" s="10"/>
      <c r="AF97" s="7"/>
      <c r="AG97" s="7"/>
      <c r="AH97" s="7">
        <f>132.34+39.72/2-AI97</f>
        <v>103.24449999999999</v>
      </c>
      <c r="AI97" s="7">
        <f>+((0.2+3.38+0.2)*(10+0.2+0.15))+((2.7+0.15)*(3.3+0.15))</f>
        <v>48.955500000000001</v>
      </c>
      <c r="AJ97" s="11"/>
      <c r="AK97" s="12"/>
      <c r="AL97" s="13">
        <v>208.09</v>
      </c>
      <c r="AM97" s="13">
        <f>+(132.34+39.72)/AL97</f>
        <v>0.826853765197751</v>
      </c>
      <c r="AN97" s="13">
        <f>+(AH97+AI97)/AL97</f>
        <v>0.73141429189293083</v>
      </c>
      <c r="AO97" s="13"/>
      <c r="AP97" s="13">
        <f>+((8*369028+295139*5+221386*4+3*147611)/20*AH97)+295139*AI97</f>
        <v>44163972.4331</v>
      </c>
      <c r="AQ97" s="15">
        <v>658703.59</v>
      </c>
      <c r="AR97" s="13" t="s">
        <v>38</v>
      </c>
      <c r="AS97" s="15" t="s">
        <v>525</v>
      </c>
      <c r="AT97" s="16">
        <v>45833</v>
      </c>
      <c r="AU97" s="17"/>
      <c r="AV97" s="18">
        <v>45831</v>
      </c>
      <c r="AW97" s="19"/>
      <c r="AX97" s="19"/>
      <c r="AY97" s="19"/>
      <c r="AZ97" s="19"/>
      <c r="BA97" s="19"/>
      <c r="BB97" s="19"/>
      <c r="BC97" s="19"/>
      <c r="BD97" s="19"/>
      <c r="BE97" s="19"/>
      <c r="BF97" s="19"/>
      <c r="BG97" s="19"/>
      <c r="BH97" s="20"/>
      <c r="BI97" s="20"/>
      <c r="BJ97" s="20"/>
      <c r="BK97" s="20"/>
      <c r="BL97" s="20"/>
      <c r="BM97" s="20"/>
      <c r="BN97" s="20"/>
      <c r="BO97" s="20"/>
      <c r="BP97" s="20"/>
      <c r="BQ97" s="20"/>
      <c r="BR97" s="20"/>
      <c r="BS97" s="20"/>
      <c r="BT97" s="20"/>
      <c r="BU97" s="20"/>
      <c r="BV97" s="20"/>
      <c r="BW97" s="20"/>
      <c r="IQ97" s="20"/>
      <c r="IR97" s="20"/>
      <c r="IS97" s="20"/>
      <c r="IT97" s="20"/>
      <c r="IU97" s="20"/>
      <c r="IV97" s="20"/>
      <c r="IW97" s="20"/>
    </row>
    <row r="98" spans="1:257" s="21" customFormat="1" ht="63.75">
      <c r="A98" s="114"/>
      <c r="B98" s="70">
        <v>92</v>
      </c>
      <c r="C98" s="68">
        <v>573198</v>
      </c>
      <c r="D98" s="4">
        <v>45804</v>
      </c>
      <c r="E98" s="5" t="s">
        <v>268</v>
      </c>
      <c r="F98" s="6">
        <v>1563</v>
      </c>
      <c r="G98" s="6">
        <v>403</v>
      </c>
      <c r="H98" s="6">
        <v>4229</v>
      </c>
      <c r="I98" s="7"/>
      <c r="J98" s="7"/>
      <c r="K98" s="7">
        <v>182</v>
      </c>
      <c r="L98" s="7">
        <v>19</v>
      </c>
      <c r="M98" s="7" t="s">
        <v>452</v>
      </c>
      <c r="N98" s="7" t="s">
        <v>526</v>
      </c>
      <c r="O98" s="7" t="s">
        <v>217</v>
      </c>
      <c r="P98" s="7"/>
      <c r="Q98" s="7" t="s">
        <v>218</v>
      </c>
      <c r="R98" s="7" t="s">
        <v>218</v>
      </c>
      <c r="S98" s="7" t="s">
        <v>218</v>
      </c>
      <c r="T98" s="7" t="s">
        <v>217</v>
      </c>
      <c r="U98" s="7">
        <f>10+1</f>
        <v>11</v>
      </c>
      <c r="V98" s="8"/>
      <c r="W98" s="7"/>
      <c r="X98" s="7"/>
      <c r="Y98" s="7" t="s">
        <v>527</v>
      </c>
      <c r="Z98" s="9">
        <f>2+2+8*1</f>
        <v>12</v>
      </c>
      <c r="AA98" s="10"/>
      <c r="AB98" s="9">
        <f>+Z98+10</f>
        <v>22</v>
      </c>
      <c r="AC98" s="10"/>
      <c r="AD98" s="9">
        <f>+Z98*2</f>
        <v>24</v>
      </c>
      <c r="AE98" s="10"/>
      <c r="AF98" s="7">
        <f>450.43+211.23/2</f>
        <v>556.04499999999996</v>
      </c>
      <c r="AG98" s="7"/>
      <c r="AH98" s="7">
        <v>156.22</v>
      </c>
      <c r="AI98" s="7"/>
      <c r="AJ98" s="11"/>
      <c r="AK98" s="12"/>
      <c r="AL98" s="13">
        <v>399.3</v>
      </c>
      <c r="AM98" s="13">
        <v>0.6</v>
      </c>
      <c r="AN98" s="13">
        <f>+(AF98+AH98)/AL98</f>
        <v>1.7837841222138742</v>
      </c>
      <c r="AO98" s="13"/>
      <c r="AP98" s="13">
        <v>1700000</v>
      </c>
      <c r="AQ98" s="15">
        <v>49463</v>
      </c>
      <c r="AR98" s="13" t="s">
        <v>38</v>
      </c>
      <c r="AS98" s="15" t="s">
        <v>528</v>
      </c>
      <c r="AT98" s="16">
        <v>45833</v>
      </c>
      <c r="AU98" s="17" t="s">
        <v>529</v>
      </c>
      <c r="AV98" s="18" t="s">
        <v>530</v>
      </c>
      <c r="AW98" s="19"/>
      <c r="AX98" s="19"/>
      <c r="AY98" s="19"/>
      <c r="AZ98" s="19"/>
      <c r="BA98" s="19"/>
      <c r="BB98" s="19"/>
      <c r="BC98" s="19"/>
      <c r="BD98" s="19"/>
      <c r="BE98" s="19"/>
      <c r="BF98" s="19"/>
      <c r="BG98" s="19"/>
      <c r="BH98" s="20"/>
      <c r="BI98" s="20"/>
      <c r="BJ98" s="20"/>
      <c r="BK98" s="20"/>
      <c r="BL98" s="20"/>
      <c r="BM98" s="20"/>
      <c r="BN98" s="20"/>
      <c r="BO98" s="20"/>
      <c r="BP98" s="20"/>
      <c r="BQ98" s="20"/>
      <c r="BR98" s="20"/>
      <c r="BS98" s="20"/>
      <c r="BT98" s="20"/>
      <c r="BU98" s="20"/>
      <c r="BV98" s="20"/>
      <c r="BW98" s="20"/>
      <c r="IQ98" s="20"/>
      <c r="IR98" s="20"/>
      <c r="IS98" s="20"/>
      <c r="IT98" s="20"/>
      <c r="IU98" s="20"/>
      <c r="IV98" s="20"/>
      <c r="IW98" s="20"/>
    </row>
    <row r="99" spans="1:257" s="21" customFormat="1" ht="51">
      <c r="A99" s="75" t="s">
        <v>531</v>
      </c>
      <c r="B99" s="115">
        <v>93</v>
      </c>
      <c r="C99" s="68">
        <v>572891</v>
      </c>
      <c r="D99" s="4">
        <v>45791</v>
      </c>
      <c r="E99" s="5" t="s">
        <v>532</v>
      </c>
      <c r="F99" s="6">
        <v>55682</v>
      </c>
      <c r="G99" s="6">
        <v>164551</v>
      </c>
      <c r="H99" s="6">
        <v>33507</v>
      </c>
      <c r="I99" s="7">
        <v>310</v>
      </c>
      <c r="J99" s="7"/>
      <c r="K99" s="7">
        <v>2</v>
      </c>
      <c r="L99" s="7">
        <v>27</v>
      </c>
      <c r="M99" s="7" t="s">
        <v>41</v>
      </c>
      <c r="N99" s="7" t="s">
        <v>533</v>
      </c>
      <c r="O99" s="7" t="s">
        <v>534</v>
      </c>
      <c r="P99" s="7"/>
      <c r="Q99" s="7" t="s">
        <v>206</v>
      </c>
      <c r="R99" s="7"/>
      <c r="S99" s="7" t="s">
        <v>206</v>
      </c>
      <c r="T99" s="7" t="s">
        <v>535</v>
      </c>
      <c r="U99" s="7">
        <v>1</v>
      </c>
      <c r="V99" s="8"/>
      <c r="W99" s="7"/>
      <c r="X99" s="7"/>
      <c r="Y99" s="7" t="s">
        <v>37</v>
      </c>
      <c r="Z99" s="9">
        <v>1</v>
      </c>
      <c r="AA99" s="10"/>
      <c r="AB99" s="9">
        <f>+Z99+1</f>
        <v>2</v>
      </c>
      <c r="AC99" s="10"/>
      <c r="AD99" s="9">
        <f>+Z99*2</f>
        <v>2</v>
      </c>
      <c r="AE99" s="10"/>
      <c r="AF99" s="7"/>
      <c r="AG99" s="7"/>
      <c r="AH99" s="7">
        <f>57.6+47.5/2</f>
        <v>81.349999999999994</v>
      </c>
      <c r="AI99" s="7"/>
      <c r="AJ99" s="11"/>
      <c r="AK99" s="12"/>
      <c r="AL99" s="13">
        <v>223.35</v>
      </c>
      <c r="AM99" s="13">
        <f>+(57.6+47.4)/AL99</f>
        <v>0.47011417058428479</v>
      </c>
      <c r="AN99" s="13">
        <f>+AH99/AL99</f>
        <v>0.36422655025744344</v>
      </c>
      <c r="AO99" s="13"/>
      <c r="AP99" s="13">
        <f>+(3*369028+295139*3+221386*7+147611*7)/20*AH99</f>
        <v>18610764.899999999</v>
      </c>
      <c r="AQ99" s="15">
        <v>49781.54</v>
      </c>
      <c r="AR99" s="13" t="s">
        <v>45</v>
      </c>
      <c r="AS99" s="15" t="s">
        <v>536</v>
      </c>
      <c r="AT99" s="16">
        <v>45841</v>
      </c>
      <c r="AU99" s="17"/>
      <c r="AV99" s="18">
        <v>45792</v>
      </c>
      <c r="AW99" s="19"/>
      <c r="AX99" s="19"/>
      <c r="AY99" s="19"/>
      <c r="AZ99" s="19"/>
      <c r="BA99" s="19"/>
      <c r="BB99" s="19"/>
      <c r="BC99" s="19"/>
      <c r="BD99" s="19"/>
      <c r="BE99" s="19"/>
      <c r="BF99" s="19"/>
      <c r="BG99" s="19"/>
      <c r="BH99" s="20"/>
      <c r="BI99" s="20"/>
      <c r="BJ99" s="20"/>
      <c r="BK99" s="20"/>
      <c r="BL99" s="20"/>
      <c r="BM99" s="20"/>
      <c r="BN99" s="20"/>
      <c r="BO99" s="20"/>
      <c r="BP99" s="20"/>
      <c r="BQ99" s="20"/>
      <c r="BR99" s="20"/>
      <c r="BS99" s="20"/>
      <c r="BT99" s="20"/>
      <c r="BU99" s="20"/>
      <c r="BV99" s="20"/>
      <c r="BW99" s="20"/>
      <c r="IQ99" s="20"/>
      <c r="IR99" s="20"/>
      <c r="IS99" s="20"/>
      <c r="IT99" s="20"/>
      <c r="IU99" s="20"/>
      <c r="IV99" s="20"/>
      <c r="IW99" s="20"/>
    </row>
    <row r="100" spans="1:257" s="46" customFormat="1" ht="51">
      <c r="A100" s="75"/>
      <c r="B100" s="115">
        <v>94</v>
      </c>
      <c r="C100" s="116" t="s">
        <v>537</v>
      </c>
      <c r="D100" s="54">
        <v>45020</v>
      </c>
      <c r="E100" s="29" t="s">
        <v>98</v>
      </c>
      <c r="F100" s="30"/>
      <c r="G100" s="30"/>
      <c r="H100" s="30"/>
      <c r="I100" s="31"/>
      <c r="J100" s="31"/>
      <c r="K100" s="31">
        <v>71</v>
      </c>
      <c r="L100" s="31"/>
      <c r="M100" s="31" t="s">
        <v>33</v>
      </c>
      <c r="N100" s="31" t="s">
        <v>538</v>
      </c>
      <c r="O100" s="32" t="s">
        <v>539</v>
      </c>
      <c r="P100" s="31"/>
      <c r="Q100" s="31" t="s">
        <v>540</v>
      </c>
      <c r="R100" s="31" t="s">
        <v>540</v>
      </c>
      <c r="S100" s="31" t="s">
        <v>540</v>
      </c>
      <c r="T100" s="31" t="s">
        <v>293</v>
      </c>
      <c r="U100" s="31">
        <v>1</v>
      </c>
      <c r="V100" s="33">
        <v>1</v>
      </c>
      <c r="W100" s="31"/>
      <c r="X100" s="31"/>
      <c r="Y100" s="31" t="s">
        <v>541</v>
      </c>
      <c r="Z100" s="34">
        <v>3</v>
      </c>
      <c r="AA100" s="35"/>
      <c r="AB100" s="36">
        <f>+Z100+1</f>
        <v>4</v>
      </c>
      <c r="AC100" s="35"/>
      <c r="AD100" s="36">
        <f>+Z100*2</f>
        <v>6</v>
      </c>
      <c r="AE100" s="35"/>
      <c r="AF100" s="31"/>
      <c r="AG100" s="31"/>
      <c r="AH100" s="31">
        <v>192.27</v>
      </c>
      <c r="AI100" s="31"/>
      <c r="AJ100" s="33"/>
      <c r="AK100" s="37">
        <f>27.05+9/2+3.11/2+28.48</f>
        <v>61.585000000000008</v>
      </c>
      <c r="AL100" s="38">
        <v>298.83999999999997</v>
      </c>
      <c r="AM100" s="38">
        <f>+(AH100+27.05+9)/AL100</f>
        <v>0.7640208807388571</v>
      </c>
      <c r="AN100" s="38">
        <f>+(AH100+AK100)/AL100</f>
        <v>0.84946794271181914</v>
      </c>
      <c r="AO100" s="38">
        <f>+(2+12+12+15+24)/(1+4+3+3+4)</f>
        <v>4.333333333333333</v>
      </c>
      <c r="AP100" s="38">
        <f>+(AK100*295139)</f>
        <v>18176135.315000001</v>
      </c>
      <c r="AQ100" s="40">
        <v>354685.42</v>
      </c>
      <c r="AR100" s="38" t="s">
        <v>45</v>
      </c>
      <c r="AS100" s="40" t="s">
        <v>542</v>
      </c>
      <c r="AT100" s="41">
        <v>45842</v>
      </c>
      <c r="AU100" s="42"/>
      <c r="AV100" s="40"/>
      <c r="AW100" s="44"/>
      <c r="AX100" s="44"/>
      <c r="AY100" s="44"/>
      <c r="AZ100" s="44"/>
      <c r="BA100" s="44"/>
      <c r="BB100" s="44"/>
      <c r="BC100" s="44"/>
      <c r="BD100" s="44"/>
      <c r="BE100" s="44"/>
      <c r="BF100" s="44"/>
      <c r="BG100" s="44"/>
      <c r="BH100" s="45"/>
      <c r="BI100" s="45"/>
      <c r="BJ100" s="45"/>
      <c r="BK100" s="45"/>
      <c r="BL100" s="45"/>
      <c r="BM100" s="45"/>
      <c r="BN100" s="45"/>
      <c r="BO100" s="45"/>
      <c r="BP100" s="45"/>
      <c r="BQ100" s="45"/>
      <c r="BR100" s="45"/>
      <c r="BS100" s="45"/>
      <c r="BT100" s="45"/>
      <c r="BU100" s="45"/>
      <c r="BV100" s="45"/>
      <c r="BW100" s="45"/>
      <c r="IQ100" s="45"/>
      <c r="IR100" s="45"/>
      <c r="IS100" s="45"/>
      <c r="IT100" s="45"/>
      <c r="IU100" s="45"/>
      <c r="IV100" s="45"/>
      <c r="IW100" s="45"/>
    </row>
    <row r="101" spans="1:257" s="21" customFormat="1" ht="51">
      <c r="A101" s="75"/>
      <c r="B101" s="117">
        <v>95</v>
      </c>
      <c r="C101" s="68">
        <v>573600</v>
      </c>
      <c r="D101" s="4">
        <v>45821</v>
      </c>
      <c r="E101" s="5" t="s">
        <v>48</v>
      </c>
      <c r="F101" s="6">
        <v>62257</v>
      </c>
      <c r="G101" s="6">
        <v>169903</v>
      </c>
      <c r="H101" s="6">
        <v>34216</v>
      </c>
      <c r="I101" s="7">
        <v>271</v>
      </c>
      <c r="J101" s="7"/>
      <c r="K101" s="7"/>
      <c r="L101" s="7">
        <v>20</v>
      </c>
      <c r="M101" s="7" t="s">
        <v>41</v>
      </c>
      <c r="N101" s="7" t="s">
        <v>76</v>
      </c>
      <c r="O101" s="7" t="s">
        <v>543</v>
      </c>
      <c r="P101" s="7"/>
      <c r="Q101" s="7" t="s">
        <v>544</v>
      </c>
      <c r="R101" s="7" t="s">
        <v>544</v>
      </c>
      <c r="S101" s="7" t="s">
        <v>544</v>
      </c>
      <c r="T101" s="7" t="s">
        <v>545</v>
      </c>
      <c r="U101" s="7"/>
      <c r="V101" s="8">
        <v>1</v>
      </c>
      <c r="W101" s="7"/>
      <c r="X101" s="7"/>
      <c r="Y101" s="7" t="s">
        <v>37</v>
      </c>
      <c r="Z101" s="9"/>
      <c r="AA101" s="10">
        <v>2</v>
      </c>
      <c r="AB101" s="9"/>
      <c r="AC101" s="10">
        <f>+AA101+1</f>
        <v>3</v>
      </c>
      <c r="AD101" s="9"/>
      <c r="AE101" s="10">
        <f>+AA101*2</f>
        <v>4</v>
      </c>
      <c r="AF101" s="7"/>
      <c r="AG101" s="7"/>
      <c r="AH101" s="7"/>
      <c r="AI101" s="7"/>
      <c r="AJ101" s="11">
        <f>74.36+0</f>
        <v>74.36</v>
      </c>
      <c r="AK101" s="12"/>
      <c r="AL101" s="13">
        <v>1211.92</v>
      </c>
      <c r="AM101" s="13">
        <f>+AJ101/AL101</f>
        <v>6.1357185292758597E-2</v>
      </c>
      <c r="AN101" s="13">
        <f>+AJ101/AL101</f>
        <v>6.1357185292758597E-2</v>
      </c>
      <c r="AO101" s="13"/>
      <c r="AP101" s="13">
        <f>+(369028+11*295139+221386*4+4*147611)/20*AJ101</f>
        <v>18930364.309999999</v>
      </c>
      <c r="AQ101" s="15">
        <v>302912.21000000002</v>
      </c>
      <c r="AR101" s="13" t="s">
        <v>38</v>
      </c>
      <c r="AS101" s="15" t="s">
        <v>546</v>
      </c>
      <c r="AT101" s="16">
        <v>45846</v>
      </c>
      <c r="AU101" s="17"/>
      <c r="AV101" s="18" t="s">
        <v>547</v>
      </c>
      <c r="AW101" s="19"/>
      <c r="AX101" s="19"/>
      <c r="AY101" s="19"/>
      <c r="AZ101" s="19"/>
      <c r="BA101" s="19"/>
      <c r="BB101" s="19"/>
      <c r="BC101" s="19"/>
      <c r="BD101" s="19"/>
      <c r="BE101" s="19"/>
      <c r="BF101" s="19"/>
      <c r="BG101" s="19"/>
      <c r="BH101" s="20"/>
      <c r="BI101" s="20"/>
      <c r="BJ101" s="20"/>
      <c r="BK101" s="20"/>
      <c r="BL101" s="20"/>
      <c r="BM101" s="20"/>
      <c r="BN101" s="20"/>
      <c r="BO101" s="20"/>
      <c r="BP101" s="20"/>
      <c r="BQ101" s="20"/>
      <c r="BR101" s="20"/>
      <c r="BS101" s="20"/>
      <c r="BT101" s="20"/>
      <c r="BU101" s="20"/>
      <c r="BV101" s="20"/>
      <c r="BW101" s="20"/>
      <c r="IQ101" s="20"/>
      <c r="IR101" s="20"/>
      <c r="IS101" s="20"/>
      <c r="IT101" s="20"/>
      <c r="IU101" s="20"/>
      <c r="IV101" s="20"/>
      <c r="IW101" s="20"/>
    </row>
    <row r="102" spans="1:257" s="21" customFormat="1" ht="51">
      <c r="A102" s="75"/>
      <c r="B102" s="115">
        <v>96</v>
      </c>
      <c r="C102" s="68">
        <v>573775</v>
      </c>
      <c r="D102" s="4">
        <v>45782</v>
      </c>
      <c r="E102" s="5" t="s">
        <v>532</v>
      </c>
      <c r="F102" s="6">
        <v>57521</v>
      </c>
      <c r="G102" s="6">
        <v>165945</v>
      </c>
      <c r="H102" s="6">
        <v>33724</v>
      </c>
      <c r="I102" s="7"/>
      <c r="J102" s="7"/>
      <c r="K102" s="7">
        <v>21</v>
      </c>
      <c r="L102" s="7">
        <v>4</v>
      </c>
      <c r="M102" s="7" t="s">
        <v>548</v>
      </c>
      <c r="N102" s="7" t="s">
        <v>549</v>
      </c>
      <c r="O102" s="7" t="s">
        <v>550</v>
      </c>
      <c r="P102" s="7"/>
      <c r="Q102" s="7" t="s">
        <v>101</v>
      </c>
      <c r="R102" s="7"/>
      <c r="S102" s="7"/>
      <c r="T102" s="7"/>
      <c r="U102" s="7"/>
      <c r="V102" s="8"/>
      <c r="W102" s="7">
        <v>1</v>
      </c>
      <c r="X102" s="7"/>
      <c r="Y102" s="7" t="s">
        <v>37</v>
      </c>
      <c r="Z102" s="9"/>
      <c r="AA102" s="10">
        <v>2</v>
      </c>
      <c r="AB102" s="9"/>
      <c r="AC102" s="10">
        <f>+AA102+1</f>
        <v>3</v>
      </c>
      <c r="AD102" s="9"/>
      <c r="AE102" s="10">
        <f>+AA102*2</f>
        <v>4</v>
      </c>
      <c r="AF102" s="7"/>
      <c r="AG102" s="7"/>
      <c r="AH102" s="7"/>
      <c r="AI102" s="7"/>
      <c r="AJ102" s="11">
        <v>92.64</v>
      </c>
      <c r="AK102" s="12"/>
      <c r="AL102" s="13">
        <v>930.93</v>
      </c>
      <c r="AM102" s="13">
        <f>+AJ102/AL102</f>
        <v>9.9513389835970481E-2</v>
      </c>
      <c r="AN102" s="13">
        <f>+AJ102/AL102</f>
        <v>9.9513389835970481E-2</v>
      </c>
      <c r="AO102" s="13"/>
      <c r="AP102" s="13">
        <v>33790039.200000003</v>
      </c>
      <c r="AQ102" s="15">
        <v>394128.19</v>
      </c>
      <c r="AR102" s="13" t="s">
        <v>45</v>
      </c>
      <c r="AS102" s="15" t="s">
        <v>551</v>
      </c>
      <c r="AT102" s="16">
        <v>45853</v>
      </c>
      <c r="AU102" s="17"/>
      <c r="AV102" s="18" t="s">
        <v>552</v>
      </c>
      <c r="AW102" s="19"/>
      <c r="AX102" s="19"/>
      <c r="AY102" s="19"/>
      <c r="AZ102" s="19"/>
      <c r="BA102" s="19"/>
      <c r="BB102" s="19"/>
      <c r="BC102" s="19"/>
      <c r="BD102" s="19"/>
      <c r="BE102" s="19"/>
      <c r="BF102" s="19"/>
      <c r="BG102" s="19"/>
      <c r="BH102" s="20"/>
      <c r="BI102" s="20"/>
      <c r="BJ102" s="20"/>
      <c r="BK102" s="20"/>
      <c r="BL102" s="20"/>
      <c r="BM102" s="20"/>
      <c r="BN102" s="20"/>
      <c r="BO102" s="20"/>
      <c r="BP102" s="20"/>
      <c r="BQ102" s="20"/>
      <c r="BR102" s="20"/>
      <c r="BS102" s="20"/>
      <c r="BT102" s="20"/>
      <c r="BU102" s="20"/>
      <c r="BV102" s="20"/>
      <c r="BW102" s="20"/>
      <c r="IQ102" s="20"/>
      <c r="IR102" s="20"/>
      <c r="IS102" s="20"/>
      <c r="IT102" s="20"/>
      <c r="IU102" s="20"/>
      <c r="IV102" s="20"/>
      <c r="IW102" s="20"/>
    </row>
    <row r="103" spans="1:257" s="21" customFormat="1" ht="38.25">
      <c r="A103" s="75"/>
      <c r="B103" s="115">
        <v>97</v>
      </c>
      <c r="C103" s="68">
        <v>569484</v>
      </c>
      <c r="D103" s="4">
        <v>45672</v>
      </c>
      <c r="E103" s="5" t="s">
        <v>32</v>
      </c>
      <c r="F103" s="6">
        <v>49209</v>
      </c>
      <c r="G103" s="6">
        <v>159481</v>
      </c>
      <c r="H103" s="6">
        <v>32632</v>
      </c>
      <c r="I103" s="7">
        <v>206</v>
      </c>
      <c r="J103" s="7"/>
      <c r="K103" s="7"/>
      <c r="L103" s="7">
        <v>11</v>
      </c>
      <c r="M103" s="7" t="s">
        <v>553</v>
      </c>
      <c r="N103" s="7" t="s">
        <v>554</v>
      </c>
      <c r="O103" s="7" t="s">
        <v>555</v>
      </c>
      <c r="P103" s="7"/>
      <c r="Q103" s="7" t="s">
        <v>243</v>
      </c>
      <c r="R103" s="7"/>
      <c r="S103" s="7"/>
      <c r="T103" s="7"/>
      <c r="U103" s="7">
        <v>1</v>
      </c>
      <c r="V103" s="8"/>
      <c r="W103" s="7"/>
      <c r="X103" s="7"/>
      <c r="Y103" s="7" t="s">
        <v>37</v>
      </c>
      <c r="Z103" s="9">
        <v>1</v>
      </c>
      <c r="AA103" s="10"/>
      <c r="AB103" s="9">
        <f>1+Z103</f>
        <v>2</v>
      </c>
      <c r="AC103" s="10"/>
      <c r="AD103" s="9">
        <f>+Z103*2</f>
        <v>2</v>
      </c>
      <c r="AE103" s="10"/>
      <c r="AF103" s="7"/>
      <c r="AG103" s="7"/>
      <c r="AH103" s="7">
        <v>65.790000000000006</v>
      </c>
      <c r="AI103" s="7"/>
      <c r="AJ103" s="11"/>
      <c r="AK103" s="12"/>
      <c r="AL103" s="13">
        <v>9994.89</v>
      </c>
      <c r="AM103" s="13">
        <f>+AH103/AL103</f>
        <v>6.5823635877933634E-3</v>
      </c>
      <c r="AN103" s="13">
        <f>+AM103</f>
        <v>6.5823635877933634E-3</v>
      </c>
      <c r="AO103" s="13"/>
      <c r="AP103" s="13">
        <f>+(369028*7+3*295139+221386*5+5*147611)/20*AH103</f>
        <v>17479080.621000003</v>
      </c>
      <c r="AQ103" s="76">
        <v>283698.84999999998</v>
      </c>
      <c r="AR103" s="13" t="s">
        <v>180</v>
      </c>
      <c r="AS103" s="15" t="s">
        <v>556</v>
      </c>
      <c r="AT103" s="16">
        <v>45853</v>
      </c>
      <c r="AU103" s="17"/>
      <c r="AV103" s="18">
        <v>45673</v>
      </c>
      <c r="AW103" s="19"/>
      <c r="AX103" s="19"/>
      <c r="AY103" s="19"/>
      <c r="AZ103" s="19"/>
      <c r="BA103" s="19"/>
      <c r="BB103" s="19"/>
      <c r="BC103" s="19"/>
      <c r="BD103" s="19"/>
      <c r="BE103" s="19"/>
      <c r="BF103" s="19"/>
      <c r="BG103" s="19"/>
      <c r="BH103" s="20"/>
      <c r="BI103" s="20"/>
      <c r="BJ103" s="20"/>
      <c r="BK103" s="20"/>
      <c r="BL103" s="20"/>
      <c r="BM103" s="20"/>
      <c r="BN103" s="20"/>
      <c r="BO103" s="20"/>
      <c r="BP103" s="20"/>
      <c r="BQ103" s="20"/>
      <c r="BR103" s="20"/>
      <c r="BS103" s="20"/>
      <c r="BT103" s="20"/>
      <c r="BU103" s="20"/>
      <c r="BV103" s="20"/>
      <c r="BW103" s="20"/>
      <c r="IQ103" s="20"/>
      <c r="IR103" s="20"/>
      <c r="IS103" s="20"/>
      <c r="IT103" s="20"/>
      <c r="IU103" s="20"/>
      <c r="IV103" s="20"/>
      <c r="IW103" s="20"/>
    </row>
    <row r="104" spans="1:257" s="21" customFormat="1" ht="63.75">
      <c r="A104" s="75"/>
      <c r="B104" s="115">
        <v>98</v>
      </c>
      <c r="C104" s="68">
        <v>572350</v>
      </c>
      <c r="D104" s="4">
        <v>45777</v>
      </c>
      <c r="E104" s="5" t="s">
        <v>98</v>
      </c>
      <c r="F104" s="6">
        <v>26289</v>
      </c>
      <c r="G104" s="6">
        <v>119645</v>
      </c>
      <c r="H104" s="6">
        <v>5958</v>
      </c>
      <c r="I104" s="7"/>
      <c r="J104" s="7"/>
      <c r="K104" s="7">
        <v>711</v>
      </c>
      <c r="L104" s="7">
        <v>9</v>
      </c>
      <c r="M104" s="7" t="s">
        <v>33</v>
      </c>
      <c r="N104" s="7" t="s">
        <v>557</v>
      </c>
      <c r="O104" s="7" t="s">
        <v>558</v>
      </c>
      <c r="P104" s="7"/>
      <c r="Q104" s="7" t="s">
        <v>206</v>
      </c>
      <c r="R104" s="7" t="s">
        <v>206</v>
      </c>
      <c r="S104" s="7" t="s">
        <v>206</v>
      </c>
      <c r="T104" s="7" t="s">
        <v>559</v>
      </c>
      <c r="U104" s="7"/>
      <c r="V104" s="8">
        <v>1</v>
      </c>
      <c r="W104" s="7"/>
      <c r="X104" s="7"/>
      <c r="Y104" s="7" t="s">
        <v>37</v>
      </c>
      <c r="Z104" s="9">
        <v>2</v>
      </c>
      <c r="AA104" s="10"/>
      <c r="AB104" s="9">
        <f>+Y3112</f>
        <v>0</v>
      </c>
      <c r="AC104" s="10"/>
      <c r="AD104" s="9">
        <f>+Z104*2</f>
        <v>4</v>
      </c>
      <c r="AE104" s="10"/>
      <c r="AF104" s="7"/>
      <c r="AG104" s="7"/>
      <c r="AH104" s="7">
        <v>122.68</v>
      </c>
      <c r="AI104" s="7"/>
      <c r="AJ104" s="11"/>
      <c r="AK104" s="12"/>
      <c r="AL104" s="13">
        <v>389.7</v>
      </c>
      <c r="AM104" s="13">
        <f>+AH104/AL104</f>
        <v>0.31480626122658456</v>
      </c>
      <c r="AN104" s="13">
        <f>+AH104/AL104</f>
        <v>0.31480626122658456</v>
      </c>
      <c r="AO104" s="13"/>
      <c r="AP104" s="13">
        <v>48196474.039999999</v>
      </c>
      <c r="AQ104" s="15">
        <v>222822.37</v>
      </c>
      <c r="AR104" s="13" t="s">
        <v>45</v>
      </c>
      <c r="AS104" s="15" t="s">
        <v>560</v>
      </c>
      <c r="AT104" s="16">
        <v>45853</v>
      </c>
      <c r="AU104" s="17"/>
      <c r="AV104" s="18" t="s">
        <v>561</v>
      </c>
      <c r="AW104" s="19"/>
      <c r="AX104" s="19"/>
      <c r="AY104" s="19"/>
      <c r="AZ104" s="19"/>
      <c r="BA104" s="19"/>
      <c r="BB104" s="19"/>
      <c r="BC104" s="19"/>
      <c r="BD104" s="19"/>
      <c r="BE104" s="19"/>
      <c r="BF104" s="19"/>
      <c r="BG104" s="19"/>
      <c r="BH104" s="20"/>
      <c r="BI104" s="20"/>
      <c r="BJ104" s="20"/>
      <c r="BK104" s="20"/>
      <c r="BL104" s="20"/>
      <c r="BM104" s="20"/>
      <c r="BN104" s="20"/>
      <c r="BO104" s="20"/>
      <c r="BP104" s="20"/>
      <c r="BQ104" s="20"/>
      <c r="BR104" s="20"/>
      <c r="BS104" s="20"/>
      <c r="BT104" s="20"/>
      <c r="BU104" s="20"/>
      <c r="BV104" s="20"/>
      <c r="BW104" s="20"/>
      <c r="IQ104" s="20"/>
      <c r="IR104" s="20"/>
      <c r="IS104" s="20"/>
      <c r="IT104" s="20"/>
      <c r="IU104" s="20"/>
      <c r="IV104" s="20"/>
      <c r="IW104" s="20"/>
    </row>
    <row r="105" spans="1:257" s="21" customFormat="1" ht="63.75">
      <c r="A105" s="75"/>
      <c r="B105" s="115">
        <v>99</v>
      </c>
      <c r="C105" s="68">
        <v>572692</v>
      </c>
      <c r="D105" s="4">
        <v>45784</v>
      </c>
      <c r="E105" s="5" t="s">
        <v>32</v>
      </c>
      <c r="F105" s="6">
        <v>48777</v>
      </c>
      <c r="G105" s="6">
        <v>141438</v>
      </c>
      <c r="H105" s="6">
        <v>20614</v>
      </c>
      <c r="I105" s="7">
        <v>91</v>
      </c>
      <c r="J105" s="7"/>
      <c r="K105" s="7">
        <v>554</v>
      </c>
      <c r="L105" s="7">
        <v>13</v>
      </c>
      <c r="M105" s="7" t="s">
        <v>33</v>
      </c>
      <c r="N105" s="7" t="s">
        <v>562</v>
      </c>
      <c r="O105" s="7" t="s">
        <v>563</v>
      </c>
      <c r="P105" s="7"/>
      <c r="Q105" s="7" t="s">
        <v>243</v>
      </c>
      <c r="R105" s="7"/>
      <c r="S105" s="7"/>
      <c r="T105" s="7"/>
      <c r="U105" s="7">
        <f>3+4</f>
        <v>7</v>
      </c>
      <c r="V105" s="8"/>
      <c r="W105" s="7"/>
      <c r="X105" s="7"/>
      <c r="Y105" s="7" t="s">
        <v>67</v>
      </c>
      <c r="Z105" s="9">
        <f>4+3</f>
        <v>7</v>
      </c>
      <c r="AA105" s="10"/>
      <c r="AB105" s="9">
        <f>+Z105</f>
        <v>7</v>
      </c>
      <c r="AC105" s="10"/>
      <c r="AD105" s="9">
        <f>+Z105*2</f>
        <v>14</v>
      </c>
      <c r="AE105" s="10"/>
      <c r="AF105" s="7"/>
      <c r="AG105" s="7"/>
      <c r="AH105" s="7">
        <f>261.24+23.2/2</f>
        <v>272.84000000000003</v>
      </c>
      <c r="AI105" s="7"/>
      <c r="AJ105" s="11"/>
      <c r="AK105" s="12"/>
      <c r="AL105" s="13">
        <v>369.46</v>
      </c>
      <c r="AM105" s="13">
        <f>+(130.62+11.6)/AL105</f>
        <v>0.38494018296973964</v>
      </c>
      <c r="AN105" s="13">
        <f>+AH105/AL105</f>
        <v>0.7384831916851623</v>
      </c>
      <c r="AO105" s="13"/>
      <c r="AP105" s="13">
        <f>+(4*369028+295139*4+6*221386+147611*7)/21*AH105</f>
        <v>65199158.630476199</v>
      </c>
      <c r="AQ105" s="15">
        <v>89799.17</v>
      </c>
      <c r="AR105" s="13" t="s">
        <v>180</v>
      </c>
      <c r="AS105" s="15" t="s">
        <v>564</v>
      </c>
      <c r="AT105" s="16">
        <v>45853</v>
      </c>
      <c r="AU105" s="17"/>
      <c r="AV105" s="18">
        <v>45790</v>
      </c>
      <c r="AW105" s="19"/>
      <c r="AX105" s="19"/>
      <c r="AY105" s="19"/>
      <c r="AZ105" s="19"/>
      <c r="BA105" s="19"/>
      <c r="BB105" s="19"/>
      <c r="BC105" s="19"/>
      <c r="BD105" s="19"/>
      <c r="BE105" s="19"/>
      <c r="BF105" s="19"/>
      <c r="BG105" s="19"/>
      <c r="BH105" s="20"/>
      <c r="BI105" s="20"/>
      <c r="BJ105" s="20"/>
      <c r="BK105" s="20"/>
      <c r="BL105" s="20"/>
      <c r="BM105" s="20"/>
      <c r="BN105" s="20"/>
      <c r="BO105" s="20"/>
      <c r="BP105" s="20"/>
      <c r="BQ105" s="20"/>
      <c r="BR105" s="20"/>
      <c r="BS105" s="20"/>
      <c r="BT105" s="20"/>
      <c r="BU105" s="20"/>
      <c r="BV105" s="20"/>
      <c r="BW105" s="20"/>
      <c r="IQ105" s="20"/>
      <c r="IR105" s="20"/>
      <c r="IS105" s="20"/>
      <c r="IT105" s="20"/>
      <c r="IU105" s="20"/>
      <c r="IV105" s="20"/>
      <c r="IW105" s="20"/>
    </row>
    <row r="106" spans="1:257" s="21" customFormat="1" ht="89.25">
      <c r="A106" s="75"/>
      <c r="B106" s="115">
        <v>100</v>
      </c>
      <c r="C106" s="68">
        <v>573708</v>
      </c>
      <c r="D106" s="4">
        <v>573708</v>
      </c>
      <c r="E106" s="5" t="s">
        <v>32</v>
      </c>
      <c r="F106" s="6">
        <v>48621</v>
      </c>
      <c r="G106" s="6">
        <v>133045</v>
      </c>
      <c r="H106" s="6">
        <v>8511</v>
      </c>
      <c r="I106" s="7"/>
      <c r="J106" s="7"/>
      <c r="K106" s="7">
        <v>295</v>
      </c>
      <c r="L106" s="7">
        <v>6</v>
      </c>
      <c r="M106" s="7" t="s">
        <v>33</v>
      </c>
      <c r="N106" s="7" t="s">
        <v>565</v>
      </c>
      <c r="O106" s="7" t="s">
        <v>566</v>
      </c>
      <c r="P106" s="7"/>
      <c r="Q106" s="7" t="s">
        <v>567</v>
      </c>
      <c r="R106" s="7"/>
      <c r="S106" s="7"/>
      <c r="T106" s="7"/>
      <c r="U106" s="7">
        <f>2+1</f>
        <v>3</v>
      </c>
      <c r="V106" s="8"/>
      <c r="W106" s="7"/>
      <c r="X106" s="7"/>
      <c r="Y106" s="7" t="s">
        <v>67</v>
      </c>
      <c r="Z106" s="9">
        <f>1+1+3</f>
        <v>5</v>
      </c>
      <c r="AA106" s="10"/>
      <c r="AB106" s="9">
        <f>+Z106+1</f>
        <v>6</v>
      </c>
      <c r="AC106" s="10"/>
      <c r="AD106" s="9">
        <f>+Z106*2</f>
        <v>10</v>
      </c>
      <c r="AE106" s="10"/>
      <c r="AF106" s="7">
        <f>122.93+3.1/2+72.67</f>
        <v>197.15</v>
      </c>
      <c r="AG106" s="7"/>
      <c r="AH106" s="7">
        <v>61.8</v>
      </c>
      <c r="AI106" s="7"/>
      <c r="AJ106" s="11"/>
      <c r="AK106" s="12"/>
      <c r="AL106" s="13">
        <v>320.37</v>
      </c>
      <c r="AM106" s="13">
        <f>+(122.93+3.1)/AL106</f>
        <v>0.39338889409120703</v>
      </c>
      <c r="AN106" s="13">
        <f>+(AF106+AH106)/AL106</f>
        <v>0.80828417142678777</v>
      </c>
      <c r="AO106" s="13"/>
      <c r="AP106" s="13">
        <f>1565800+((5*295139+221386*9+147611*6)/20*AH106)</f>
        <v>15019150.149999999</v>
      </c>
      <c r="AQ106" s="15">
        <v>280156.03999999998</v>
      </c>
      <c r="AR106" s="13" t="s">
        <v>45</v>
      </c>
      <c r="AS106" s="15" t="s">
        <v>568</v>
      </c>
      <c r="AT106" s="16">
        <v>45854</v>
      </c>
      <c r="AU106" s="17"/>
      <c r="AV106" s="18">
        <v>45842</v>
      </c>
      <c r="AW106" s="19"/>
      <c r="AX106" s="19"/>
      <c r="AY106" s="19"/>
      <c r="AZ106" s="19"/>
      <c r="BA106" s="19"/>
      <c r="BB106" s="19"/>
      <c r="BC106" s="19"/>
      <c r="BD106" s="19"/>
      <c r="BE106" s="19"/>
      <c r="BF106" s="19"/>
      <c r="BG106" s="19"/>
      <c r="BH106" s="20"/>
      <c r="BI106" s="20"/>
      <c r="BJ106" s="20"/>
      <c r="BK106" s="20"/>
      <c r="BL106" s="20"/>
      <c r="BM106" s="20"/>
      <c r="BN106" s="20"/>
      <c r="BO106" s="20"/>
      <c r="BP106" s="20"/>
      <c r="BQ106" s="20"/>
      <c r="BR106" s="20"/>
      <c r="BS106" s="20"/>
      <c r="BT106" s="20"/>
      <c r="BU106" s="20"/>
      <c r="BV106" s="20"/>
      <c r="BW106" s="20"/>
      <c r="IQ106" s="20"/>
      <c r="IR106" s="20"/>
      <c r="IS106" s="20"/>
      <c r="IT106" s="20"/>
      <c r="IU106" s="20"/>
      <c r="IV106" s="20"/>
      <c r="IW106" s="20"/>
    </row>
    <row r="107" spans="1:257" s="21" customFormat="1" ht="76.5">
      <c r="A107" s="75"/>
      <c r="B107" s="115">
        <v>101</v>
      </c>
      <c r="C107" s="68">
        <v>573282</v>
      </c>
      <c r="D107" s="4">
        <v>45807</v>
      </c>
      <c r="E107" s="5" t="s">
        <v>32</v>
      </c>
      <c r="F107" s="6">
        <v>59885</v>
      </c>
      <c r="G107" s="6">
        <v>168087</v>
      </c>
      <c r="H107" s="6">
        <v>10451</v>
      </c>
      <c r="I107" s="7"/>
      <c r="J107" s="7"/>
      <c r="K107" s="7">
        <v>322</v>
      </c>
      <c r="L107" s="7">
        <v>17</v>
      </c>
      <c r="M107" s="7" t="s">
        <v>452</v>
      </c>
      <c r="N107" s="7" t="s">
        <v>569</v>
      </c>
      <c r="O107" s="7" t="s">
        <v>570</v>
      </c>
      <c r="P107" s="7"/>
      <c r="Q107" s="7" t="s">
        <v>571</v>
      </c>
      <c r="R107" s="7"/>
      <c r="S107" s="7"/>
      <c r="T107" s="7"/>
      <c r="U107" s="7">
        <v>2</v>
      </c>
      <c r="V107" s="8"/>
      <c r="W107" s="7"/>
      <c r="X107" s="7"/>
      <c r="Y107" s="7" t="s">
        <v>67</v>
      </c>
      <c r="Z107" s="9">
        <f>2+2</f>
        <v>4</v>
      </c>
      <c r="AA107" s="10"/>
      <c r="AB107" s="9">
        <f>+Z107+1+1</f>
        <v>6</v>
      </c>
      <c r="AC107" s="10"/>
      <c r="AD107" s="9">
        <f>+Z107*2</f>
        <v>8</v>
      </c>
      <c r="AE107" s="10"/>
      <c r="AF107" s="7"/>
      <c r="AG107" s="7"/>
      <c r="AH107" s="7">
        <f>164.18+14/2+47.74/2</f>
        <v>195.05</v>
      </c>
      <c r="AI107" s="7"/>
      <c r="AJ107" s="11"/>
      <c r="AK107" s="12"/>
      <c r="AL107" s="13">
        <v>1305.71</v>
      </c>
      <c r="AM107" s="13">
        <f>+(87.09+47.74+14.3)/AL107</f>
        <v>0.11421372280215364</v>
      </c>
      <c r="AN107" s="13">
        <f>+AH107/AL107</f>
        <v>0.14938232838838639</v>
      </c>
      <c r="AO107" s="13">
        <f>+(8+15)/(4+5)</f>
        <v>2.5555555555555554</v>
      </c>
      <c r="AP107" s="13">
        <v>4000000</v>
      </c>
      <c r="AQ107" s="15">
        <v>242748.2</v>
      </c>
      <c r="AR107" s="13" t="s">
        <v>38</v>
      </c>
      <c r="AS107" s="15" t="s">
        <v>572</v>
      </c>
      <c r="AT107" s="16">
        <v>45854</v>
      </c>
      <c r="AU107" s="17"/>
      <c r="AV107" s="18">
        <v>45812</v>
      </c>
      <c r="AW107" s="19"/>
      <c r="AX107" s="19"/>
      <c r="AY107" s="19"/>
      <c r="AZ107" s="19"/>
      <c r="BA107" s="19"/>
      <c r="BB107" s="19"/>
      <c r="BC107" s="19"/>
      <c r="BD107" s="19"/>
      <c r="BE107" s="19"/>
      <c r="BF107" s="19"/>
      <c r="BG107" s="19"/>
      <c r="BH107" s="20"/>
      <c r="BI107" s="20"/>
      <c r="BJ107" s="20"/>
      <c r="BK107" s="20"/>
      <c r="BL107" s="20"/>
      <c r="BM107" s="20"/>
      <c r="BN107" s="20"/>
      <c r="BO107" s="20"/>
      <c r="BP107" s="20"/>
      <c r="BQ107" s="20"/>
      <c r="BR107" s="20"/>
      <c r="BS107" s="20"/>
      <c r="BT107" s="20"/>
      <c r="BU107" s="20"/>
      <c r="BV107" s="20"/>
      <c r="BW107" s="20"/>
      <c r="IQ107" s="20"/>
      <c r="IR107" s="20"/>
      <c r="IS107" s="20"/>
      <c r="IT107" s="20"/>
      <c r="IU107" s="20"/>
      <c r="IV107" s="20"/>
      <c r="IW107" s="20"/>
    </row>
    <row r="108" spans="1:257" s="21" customFormat="1" ht="76.5">
      <c r="A108" s="75"/>
      <c r="B108" s="115">
        <v>102</v>
      </c>
      <c r="C108" s="71">
        <v>563789</v>
      </c>
      <c r="D108" s="24">
        <v>45489</v>
      </c>
      <c r="E108" s="25" t="s">
        <v>48</v>
      </c>
      <c r="F108" s="6">
        <v>62339</v>
      </c>
      <c r="G108" s="6">
        <v>169964</v>
      </c>
      <c r="H108" s="6">
        <v>34198</v>
      </c>
      <c r="I108" s="7">
        <v>341</v>
      </c>
      <c r="J108" s="7"/>
      <c r="K108" s="26">
        <v>3</v>
      </c>
      <c r="L108" s="7">
        <v>3</v>
      </c>
      <c r="M108" s="26" t="s">
        <v>41</v>
      </c>
      <c r="N108" s="7" t="s">
        <v>76</v>
      </c>
      <c r="O108" s="26" t="s">
        <v>573</v>
      </c>
      <c r="P108" s="7"/>
      <c r="Q108" s="7" t="s">
        <v>574</v>
      </c>
      <c r="R108" s="7" t="s">
        <v>574</v>
      </c>
      <c r="S108" s="7" t="s">
        <v>574</v>
      </c>
      <c r="T108" s="7" t="s">
        <v>575</v>
      </c>
      <c r="U108" s="7"/>
      <c r="V108" s="8">
        <v>1</v>
      </c>
      <c r="W108" s="7"/>
      <c r="X108" s="7"/>
      <c r="Y108" s="26" t="s">
        <v>37</v>
      </c>
      <c r="Z108" s="9"/>
      <c r="AA108" s="10">
        <v>2</v>
      </c>
      <c r="AB108" s="9"/>
      <c r="AC108" s="10">
        <f>+AA108+1</f>
        <v>3</v>
      </c>
      <c r="AD108" s="9"/>
      <c r="AE108" s="10">
        <f>+AA108*2</f>
        <v>4</v>
      </c>
      <c r="AF108" s="7"/>
      <c r="AG108" s="7"/>
      <c r="AH108" s="7"/>
      <c r="AI108" s="7"/>
      <c r="AJ108" s="11">
        <f>168.78+15/2</f>
        <v>176.28</v>
      </c>
      <c r="AK108" s="12"/>
      <c r="AL108" s="13">
        <v>1245.74</v>
      </c>
      <c r="AM108" s="13">
        <v>0.16</v>
      </c>
      <c r="AN108" s="13">
        <f>+AJ108/AL108</f>
        <v>0.14150625331128486</v>
      </c>
      <c r="AO108" s="13"/>
      <c r="AP108" s="13">
        <f>+(7*369028+5*295139+221386*3+6*147611)/21*AJ108</f>
        <v>47081156.200000003</v>
      </c>
      <c r="AQ108" s="15">
        <v>725767.43</v>
      </c>
      <c r="AR108" s="13" t="s">
        <v>45</v>
      </c>
      <c r="AS108" s="15" t="s">
        <v>576</v>
      </c>
      <c r="AT108" s="16">
        <v>45854</v>
      </c>
      <c r="AU108" s="17"/>
      <c r="AV108" s="18" t="s">
        <v>577</v>
      </c>
      <c r="AW108" s="19"/>
      <c r="AX108" s="19"/>
      <c r="AY108" s="19"/>
      <c r="AZ108" s="19"/>
      <c r="BA108" s="19"/>
      <c r="BB108" s="19"/>
      <c r="BC108" s="19"/>
      <c r="BD108" s="19"/>
      <c r="BE108" s="19"/>
      <c r="BF108" s="19"/>
      <c r="BG108" s="19"/>
      <c r="BH108" s="20"/>
      <c r="BI108" s="20"/>
      <c r="BJ108" s="20"/>
      <c r="BK108" s="20"/>
      <c r="BL108" s="20"/>
      <c r="BM108" s="20"/>
      <c r="BN108" s="20"/>
      <c r="BO108" s="20"/>
      <c r="BP108" s="20"/>
      <c r="BQ108" s="20"/>
      <c r="BR108" s="20"/>
      <c r="BS108" s="20"/>
      <c r="BT108" s="20"/>
      <c r="BU108" s="20"/>
      <c r="BV108" s="20"/>
      <c r="BW108" s="20"/>
      <c r="IQ108" s="20"/>
      <c r="IR108" s="20"/>
      <c r="IS108" s="20"/>
      <c r="IT108" s="20"/>
      <c r="IU108" s="20"/>
      <c r="IV108" s="20"/>
      <c r="IW108" s="20"/>
    </row>
    <row r="109" spans="1:257" s="21" customFormat="1" ht="76.5">
      <c r="A109" s="75"/>
      <c r="B109" s="115">
        <v>103</v>
      </c>
      <c r="C109" s="68">
        <v>559450</v>
      </c>
      <c r="D109" s="4">
        <v>45309</v>
      </c>
      <c r="E109" s="5" t="s">
        <v>48</v>
      </c>
      <c r="F109" s="6">
        <v>60813</v>
      </c>
      <c r="G109" s="6">
        <v>2281</v>
      </c>
      <c r="H109" s="6">
        <v>2220</v>
      </c>
      <c r="I109" s="7"/>
      <c r="J109" s="7"/>
      <c r="K109" s="7">
        <v>40</v>
      </c>
      <c r="L109" s="7">
        <v>13</v>
      </c>
      <c r="M109" s="7" t="s">
        <v>33</v>
      </c>
      <c r="N109" s="7" t="s">
        <v>578</v>
      </c>
      <c r="O109" s="7" t="s">
        <v>579</v>
      </c>
      <c r="P109" s="7"/>
      <c r="Q109" s="7" t="s">
        <v>580</v>
      </c>
      <c r="R109" s="7" t="s">
        <v>580</v>
      </c>
      <c r="S109" s="7" t="s">
        <v>580</v>
      </c>
      <c r="T109" s="7" t="s">
        <v>575</v>
      </c>
      <c r="U109" s="7"/>
      <c r="V109" s="8">
        <v>3</v>
      </c>
      <c r="W109" s="7"/>
      <c r="X109" s="7"/>
      <c r="Y109" s="7" t="s">
        <v>67</v>
      </c>
      <c r="Z109" s="9"/>
      <c r="AA109" s="10">
        <f>2*3</f>
        <v>6</v>
      </c>
      <c r="AB109" s="9"/>
      <c r="AC109" s="10">
        <f>+AA109+3</f>
        <v>9</v>
      </c>
      <c r="AD109" s="9"/>
      <c r="AE109" s="10">
        <f>+AA109*2</f>
        <v>12</v>
      </c>
      <c r="AF109" s="7"/>
      <c r="AG109" s="7"/>
      <c r="AH109" s="7"/>
      <c r="AI109" s="7"/>
      <c r="AJ109" s="11">
        <f>107.55+22/2+122.38</f>
        <v>240.93</v>
      </c>
      <c r="AK109" s="12"/>
      <c r="AL109" s="13">
        <v>392.5</v>
      </c>
      <c r="AM109" s="13">
        <f>+(107.55+22)/AL109</f>
        <v>0.33006369426751597</v>
      </c>
      <c r="AN109" s="13">
        <f>+AJ109/AL109</f>
        <v>0.61383439490445857</v>
      </c>
      <c r="AO109" s="13"/>
      <c r="AP109" s="13">
        <f>+(3*369028+11*295139+7*221386+147611*1)/21*AJ109</f>
        <v>69421409.579999998</v>
      </c>
      <c r="AQ109" s="15">
        <v>1054716.54</v>
      </c>
      <c r="AR109" s="13" t="s">
        <v>45</v>
      </c>
      <c r="AS109" s="15" t="s">
        <v>581</v>
      </c>
      <c r="AT109" s="16">
        <v>45855</v>
      </c>
      <c r="AU109" s="17"/>
      <c r="AV109" s="18" t="s">
        <v>582</v>
      </c>
      <c r="AW109" s="19"/>
      <c r="AX109" s="19"/>
      <c r="AY109" s="19"/>
      <c r="AZ109" s="19"/>
      <c r="BA109" s="19"/>
      <c r="BB109" s="19"/>
      <c r="BC109" s="19"/>
      <c r="BD109" s="19"/>
      <c r="BE109" s="19"/>
      <c r="BF109" s="19"/>
      <c r="BG109" s="19"/>
      <c r="BH109" s="20"/>
      <c r="BI109" s="20"/>
      <c r="BJ109" s="20"/>
      <c r="BK109" s="20"/>
      <c r="BL109" s="20"/>
      <c r="BM109" s="20"/>
      <c r="BN109" s="20"/>
      <c r="BO109" s="20"/>
      <c r="BP109" s="20"/>
      <c r="BQ109" s="20"/>
      <c r="BR109" s="20"/>
      <c r="BS109" s="20"/>
      <c r="BT109" s="20"/>
      <c r="BU109" s="20"/>
      <c r="BV109" s="20"/>
      <c r="BW109" s="20"/>
      <c r="IQ109" s="20"/>
      <c r="IR109" s="20"/>
      <c r="IS109" s="20"/>
      <c r="IT109" s="20"/>
      <c r="IU109" s="20"/>
      <c r="IV109" s="20"/>
      <c r="IW109" s="20"/>
    </row>
    <row r="110" spans="1:257" s="21" customFormat="1" ht="38.25">
      <c r="A110" s="75"/>
      <c r="B110" s="115">
        <v>104</v>
      </c>
      <c r="C110" s="68">
        <v>566554</v>
      </c>
      <c r="D110" s="4">
        <v>45581</v>
      </c>
      <c r="E110" s="5" t="s">
        <v>32</v>
      </c>
      <c r="F110" s="6">
        <v>30474</v>
      </c>
      <c r="G110" s="6">
        <v>50544</v>
      </c>
      <c r="H110" s="6">
        <v>2008</v>
      </c>
      <c r="I110" s="7"/>
      <c r="J110" s="7"/>
      <c r="K110" s="7">
        <v>456</v>
      </c>
      <c r="L110" s="7">
        <v>1</v>
      </c>
      <c r="M110" s="7" t="s">
        <v>33</v>
      </c>
      <c r="N110" s="7" t="s">
        <v>583</v>
      </c>
      <c r="O110" s="7" t="s">
        <v>584</v>
      </c>
      <c r="P110" s="7" t="s">
        <v>585</v>
      </c>
      <c r="Q110" s="7" t="s">
        <v>243</v>
      </c>
      <c r="R110" s="7"/>
      <c r="S110" s="7"/>
      <c r="T110" s="7"/>
      <c r="U110" s="7">
        <v>1</v>
      </c>
      <c r="V110" s="8"/>
      <c r="W110" s="7"/>
      <c r="X110" s="7"/>
      <c r="Y110" s="7" t="s">
        <v>586</v>
      </c>
      <c r="Z110" s="9"/>
      <c r="AA110" s="10"/>
      <c r="AB110" s="9"/>
      <c r="AC110" s="10"/>
      <c r="AD110" s="9"/>
      <c r="AE110" s="10"/>
      <c r="AF110" s="7"/>
      <c r="AG110" s="7"/>
      <c r="AH110" s="7"/>
      <c r="AI110" s="7">
        <v>1424.5</v>
      </c>
      <c r="AJ110" s="11"/>
      <c r="AK110" s="12"/>
      <c r="AL110" s="13">
        <v>3693.75</v>
      </c>
      <c r="AM110" s="13">
        <v>0.33</v>
      </c>
      <c r="AN110" s="13">
        <f>+AI110/AL110</f>
        <v>0.38565143824027071</v>
      </c>
      <c r="AO110" s="13"/>
      <c r="AP110" s="13">
        <v>31000000</v>
      </c>
      <c r="AQ110" s="15">
        <v>2527376.86</v>
      </c>
      <c r="AR110" s="13" t="s">
        <v>180</v>
      </c>
      <c r="AS110" s="15" t="s">
        <v>587</v>
      </c>
      <c r="AT110" s="16">
        <v>45856</v>
      </c>
      <c r="AU110" s="17"/>
      <c r="AV110" s="18">
        <v>45586</v>
      </c>
      <c r="AW110" s="19"/>
      <c r="AX110" s="19"/>
      <c r="AY110" s="19"/>
      <c r="AZ110" s="19"/>
      <c r="BA110" s="19"/>
      <c r="BB110" s="19"/>
      <c r="BC110" s="19"/>
      <c r="BD110" s="19"/>
      <c r="BE110" s="19"/>
      <c r="BF110" s="19"/>
      <c r="BG110" s="19"/>
      <c r="BH110" s="20"/>
      <c r="BI110" s="20"/>
      <c r="BJ110" s="20"/>
      <c r="BK110" s="20"/>
      <c r="BL110" s="20"/>
      <c r="BM110" s="20"/>
      <c r="BN110" s="20"/>
      <c r="BO110" s="20"/>
      <c r="BP110" s="20"/>
      <c r="BQ110" s="20"/>
      <c r="BR110" s="20"/>
      <c r="BS110" s="20"/>
      <c r="BT110" s="20"/>
      <c r="BU110" s="20"/>
      <c r="BV110" s="20"/>
      <c r="BW110" s="20"/>
      <c r="IQ110" s="20"/>
      <c r="IR110" s="20"/>
      <c r="IS110" s="20"/>
      <c r="IT110" s="20"/>
      <c r="IU110" s="20"/>
      <c r="IV110" s="20"/>
      <c r="IW110" s="20"/>
    </row>
    <row r="111" spans="1:257" s="21" customFormat="1" ht="51">
      <c r="A111" s="75"/>
      <c r="B111" s="115">
        <v>105</v>
      </c>
      <c r="C111" s="68">
        <v>572773</v>
      </c>
      <c r="D111" s="4">
        <v>45786</v>
      </c>
      <c r="E111" s="5" t="s">
        <v>48</v>
      </c>
      <c r="F111" s="6">
        <v>21465</v>
      </c>
      <c r="G111" s="6">
        <v>110690</v>
      </c>
      <c r="H111" s="6">
        <v>5160</v>
      </c>
      <c r="I111" s="7"/>
      <c r="J111" s="7"/>
      <c r="K111" s="7">
        <v>544</v>
      </c>
      <c r="L111" s="7">
        <v>12</v>
      </c>
      <c r="M111" s="7" t="s">
        <v>33</v>
      </c>
      <c r="N111" s="7" t="s">
        <v>588</v>
      </c>
      <c r="O111" s="7" t="s">
        <v>589</v>
      </c>
      <c r="P111" s="7"/>
      <c r="Q111" s="7" t="s">
        <v>493</v>
      </c>
      <c r="R111" s="7" t="s">
        <v>493</v>
      </c>
      <c r="S111" s="7" t="s">
        <v>493</v>
      </c>
      <c r="T111" s="7" t="s">
        <v>84</v>
      </c>
      <c r="U111" s="7"/>
      <c r="V111" s="8">
        <v>3</v>
      </c>
      <c r="W111" s="7"/>
      <c r="X111" s="7"/>
      <c r="Y111" s="7" t="s">
        <v>67</v>
      </c>
      <c r="Z111" s="9"/>
      <c r="AA111" s="10">
        <f>2*3</f>
        <v>6</v>
      </c>
      <c r="AB111" s="9"/>
      <c r="AC111" s="10">
        <f>+AA111+3</f>
        <v>9</v>
      </c>
      <c r="AD111" s="9"/>
      <c r="AE111" s="10">
        <f>+AA111*2</f>
        <v>12</v>
      </c>
      <c r="AF111" s="7"/>
      <c r="AG111" s="7"/>
      <c r="AH111" s="7"/>
      <c r="AI111" s="7"/>
      <c r="AJ111" s="11">
        <f>99.27+16.45/2+103.77</f>
        <v>211.26499999999999</v>
      </c>
      <c r="AK111" s="12"/>
      <c r="AL111" s="13">
        <v>256.3</v>
      </c>
      <c r="AM111" s="13">
        <f>+(99.27+16.45)/AL111</f>
        <v>0.45150214592274673</v>
      </c>
      <c r="AN111" s="13">
        <f>+AJ111/AL111</f>
        <v>0.8242879438158407</v>
      </c>
      <c r="AO111" s="13"/>
      <c r="AP111" s="13">
        <f>+(2*369028+295139*11+221386*7+2*147611)/22*AJ111</f>
        <v>55980509.949318178</v>
      </c>
      <c r="AQ111" s="15">
        <v>845689.65</v>
      </c>
      <c r="AR111" s="13" t="s">
        <v>180</v>
      </c>
      <c r="AS111" s="15" t="s">
        <v>590</v>
      </c>
      <c r="AT111" s="16">
        <v>45859</v>
      </c>
      <c r="AU111" s="17"/>
      <c r="AV111" s="18" t="s">
        <v>591</v>
      </c>
      <c r="AW111" s="19"/>
      <c r="AX111" s="19"/>
      <c r="AY111" s="19"/>
      <c r="AZ111" s="19"/>
      <c r="BA111" s="19"/>
      <c r="BB111" s="19"/>
      <c r="BC111" s="19"/>
      <c r="BD111" s="19"/>
      <c r="BE111" s="19"/>
      <c r="BF111" s="19"/>
      <c r="BG111" s="19"/>
      <c r="BH111" s="20"/>
      <c r="BI111" s="20"/>
      <c r="BJ111" s="20"/>
      <c r="BK111" s="20"/>
      <c r="BL111" s="20"/>
      <c r="BM111" s="20"/>
      <c r="BN111" s="20"/>
      <c r="BO111" s="20"/>
      <c r="BP111" s="20"/>
      <c r="BQ111" s="20"/>
      <c r="BR111" s="20"/>
      <c r="BS111" s="20"/>
      <c r="BT111" s="20"/>
      <c r="BU111" s="20"/>
      <c r="BV111" s="20"/>
      <c r="BW111" s="20"/>
      <c r="IQ111" s="20"/>
      <c r="IR111" s="20"/>
      <c r="IS111" s="20"/>
      <c r="IT111" s="20"/>
      <c r="IU111" s="20"/>
      <c r="IV111" s="20"/>
      <c r="IW111" s="20"/>
    </row>
    <row r="112" spans="1:257" s="21" customFormat="1" ht="76.5">
      <c r="A112" s="75"/>
      <c r="B112" s="115">
        <v>106</v>
      </c>
      <c r="C112" s="68">
        <v>573771</v>
      </c>
      <c r="D112" s="4">
        <v>45832</v>
      </c>
      <c r="E112" s="5" t="s">
        <v>32</v>
      </c>
      <c r="F112" s="6">
        <v>30199</v>
      </c>
      <c r="G112" s="6">
        <v>105814</v>
      </c>
      <c r="H112" s="6">
        <v>3186</v>
      </c>
      <c r="I112" s="7"/>
      <c r="J112" s="7"/>
      <c r="K112" s="7">
        <v>191</v>
      </c>
      <c r="L112" s="7">
        <v>12</v>
      </c>
      <c r="M112" s="7" t="s">
        <v>33</v>
      </c>
      <c r="N112" s="7" t="s">
        <v>592</v>
      </c>
      <c r="O112" s="7" t="s">
        <v>593</v>
      </c>
      <c r="P112" s="7"/>
      <c r="Q112" s="7" t="s">
        <v>372</v>
      </c>
      <c r="R112" s="7"/>
      <c r="S112" s="7"/>
      <c r="T112" s="7"/>
      <c r="U112" s="7">
        <v>2</v>
      </c>
      <c r="V112" s="8"/>
      <c r="W112" s="7"/>
      <c r="X112" s="7"/>
      <c r="Y112" s="7" t="s">
        <v>67</v>
      </c>
      <c r="Z112" s="9">
        <f>2+2</f>
        <v>4</v>
      </c>
      <c r="AA112" s="10"/>
      <c r="AB112" s="9">
        <f>+Z112+1+1</f>
        <v>6</v>
      </c>
      <c r="AC112" s="10"/>
      <c r="AD112" s="9">
        <f>+Z112*2</f>
        <v>8</v>
      </c>
      <c r="AE112" s="10"/>
      <c r="AF112" s="7">
        <f>127.41+33.64/2</f>
        <v>144.22999999999999</v>
      </c>
      <c r="AG112" s="7"/>
      <c r="AH112" s="7">
        <f>74+43.65/2+73.5-AF112</f>
        <v>25.094999999999999</v>
      </c>
      <c r="AI112" s="7"/>
      <c r="AJ112" s="11"/>
      <c r="AK112" s="12"/>
      <c r="AL112" s="13">
        <v>225.23</v>
      </c>
      <c r="AM112" s="13">
        <f>+(74+43.65)/AL112</f>
        <v>0.52235492607556722</v>
      </c>
      <c r="AN112" s="13">
        <f>+(AF112+AH112)/AL112</f>
        <v>0.75178706211428314</v>
      </c>
      <c r="AO112" s="13"/>
      <c r="AP112" s="13">
        <v>1236022.3500000001</v>
      </c>
      <c r="AQ112" s="15">
        <v>746197.72</v>
      </c>
      <c r="AR112" s="13" t="s">
        <v>45</v>
      </c>
      <c r="AS112" s="15" t="s">
        <v>594</v>
      </c>
      <c r="AT112" s="16">
        <v>45859</v>
      </c>
      <c r="AU112" s="17"/>
      <c r="AV112" s="18">
        <v>45846</v>
      </c>
      <c r="AW112" s="19"/>
      <c r="AX112" s="19"/>
      <c r="AY112" s="19"/>
      <c r="AZ112" s="19"/>
      <c r="BA112" s="19"/>
      <c r="BB112" s="19"/>
      <c r="BC112" s="19"/>
      <c r="BD112" s="19"/>
      <c r="BE112" s="19"/>
      <c r="BF112" s="19"/>
      <c r="BG112" s="19"/>
      <c r="BH112" s="20"/>
      <c r="BI112" s="20"/>
      <c r="BJ112" s="20"/>
      <c r="BK112" s="20"/>
      <c r="BL112" s="20"/>
      <c r="BM112" s="20"/>
      <c r="BN112" s="20"/>
      <c r="BO112" s="20"/>
      <c r="BP112" s="20"/>
      <c r="BQ112" s="20"/>
      <c r="BR112" s="20"/>
      <c r="BS112" s="20"/>
      <c r="BT112" s="20"/>
      <c r="BU112" s="20"/>
      <c r="BV112" s="20"/>
      <c r="BW112" s="20"/>
      <c r="IQ112" s="20"/>
      <c r="IR112" s="20"/>
      <c r="IS112" s="20"/>
      <c r="IT112" s="20"/>
      <c r="IU112" s="20"/>
      <c r="IV112" s="20"/>
      <c r="IW112" s="20"/>
    </row>
    <row r="113" spans="1:257" s="21" customFormat="1" ht="76.5">
      <c r="A113" s="75"/>
      <c r="B113" s="115">
        <v>107</v>
      </c>
      <c r="C113" s="68">
        <v>570531</v>
      </c>
      <c r="D113" s="4">
        <v>45709</v>
      </c>
      <c r="E113" s="5" t="s">
        <v>32</v>
      </c>
      <c r="F113" s="6">
        <v>59750</v>
      </c>
      <c r="G113" s="6">
        <v>139100</v>
      </c>
      <c r="H113" s="6">
        <v>31688</v>
      </c>
      <c r="I113" s="7">
        <v>223</v>
      </c>
      <c r="J113" s="7"/>
      <c r="K113" s="7">
        <v>8</v>
      </c>
      <c r="L113" s="7">
        <v>2</v>
      </c>
      <c r="M113" s="7" t="s">
        <v>41</v>
      </c>
      <c r="N113" s="7" t="s">
        <v>131</v>
      </c>
      <c r="O113" s="7" t="s">
        <v>595</v>
      </c>
      <c r="P113" s="7"/>
      <c r="Q113" s="7" t="s">
        <v>463</v>
      </c>
      <c r="R113" s="7"/>
      <c r="S113" s="7"/>
      <c r="T113" s="7"/>
      <c r="U113" s="7">
        <v>1</v>
      </c>
      <c r="V113" s="8"/>
      <c r="W113" s="7"/>
      <c r="X113" s="7"/>
      <c r="Y113" s="7" t="s">
        <v>37</v>
      </c>
      <c r="Z113" s="9">
        <v>2</v>
      </c>
      <c r="AA113" s="10"/>
      <c r="AB113" s="9">
        <f>1+Z113</f>
        <v>3</v>
      </c>
      <c r="AC113" s="10"/>
      <c r="AD113" s="9">
        <f>+Z113*2</f>
        <v>4</v>
      </c>
      <c r="AE113" s="10"/>
      <c r="AF113" s="7"/>
      <c r="AG113" s="7"/>
      <c r="AH113" s="7">
        <f>106.35+62.14/2</f>
        <v>137.41999999999999</v>
      </c>
      <c r="AI113" s="7"/>
      <c r="AJ113" s="11"/>
      <c r="AK113" s="12"/>
      <c r="AL113" s="13">
        <v>770.87</v>
      </c>
      <c r="AM113" s="13">
        <f>+(106.35+62.04)/AL113</f>
        <v>0.21844150116102584</v>
      </c>
      <c r="AN113" s="13">
        <f>+AH113/AL113</f>
        <v>0.17826611490912864</v>
      </c>
      <c r="AO113" s="13"/>
      <c r="AP113" s="13">
        <f>+(6*369028+295139*8+221386*5+3*147611)/22*AH113</f>
        <v>38259245.866363637</v>
      </c>
      <c r="AQ113" s="15">
        <v>577732.05000000005</v>
      </c>
      <c r="AR113" s="13" t="s">
        <v>180</v>
      </c>
      <c r="AS113" s="15" t="s">
        <v>596</v>
      </c>
      <c r="AT113" s="16">
        <v>45859</v>
      </c>
      <c r="AU113" s="17"/>
      <c r="AV113" s="18" t="s">
        <v>597</v>
      </c>
      <c r="AW113" s="19"/>
      <c r="AX113" s="19"/>
      <c r="AY113" s="19"/>
      <c r="AZ113" s="19"/>
      <c r="BA113" s="19"/>
      <c r="BB113" s="19"/>
      <c r="BC113" s="19"/>
      <c r="BD113" s="19"/>
      <c r="BE113" s="19"/>
      <c r="BF113" s="19"/>
      <c r="BG113" s="19"/>
      <c r="BH113" s="20"/>
      <c r="BI113" s="20"/>
      <c r="BJ113" s="20"/>
      <c r="BK113" s="20"/>
      <c r="BL113" s="20"/>
      <c r="BM113" s="20"/>
      <c r="BN113" s="20"/>
      <c r="BO113" s="20"/>
      <c r="BP113" s="20"/>
      <c r="BQ113" s="20"/>
      <c r="BR113" s="20"/>
      <c r="BS113" s="20"/>
      <c r="BT113" s="20"/>
      <c r="BU113" s="20"/>
      <c r="BV113" s="20"/>
      <c r="BW113" s="20"/>
      <c r="IQ113" s="20"/>
      <c r="IR113" s="20"/>
      <c r="IS113" s="20"/>
      <c r="IT113" s="20"/>
      <c r="IU113" s="20"/>
      <c r="IV113" s="20"/>
      <c r="IW113" s="20"/>
    </row>
    <row r="114" spans="1:257" s="21" customFormat="1" ht="38.25">
      <c r="A114" s="75"/>
      <c r="B114" s="115">
        <v>108</v>
      </c>
      <c r="C114" s="68">
        <v>574021</v>
      </c>
      <c r="D114" s="4">
        <v>45842</v>
      </c>
      <c r="E114" s="5" t="s">
        <v>32</v>
      </c>
      <c r="F114" s="6">
        <v>50545</v>
      </c>
      <c r="G114" s="6">
        <v>160536</v>
      </c>
      <c r="H114" s="6">
        <v>21167</v>
      </c>
      <c r="I114" s="7">
        <v>8</v>
      </c>
      <c r="J114" s="7"/>
      <c r="K114" s="7">
        <v>248</v>
      </c>
      <c r="L114" s="7">
        <v>15</v>
      </c>
      <c r="M114" s="7" t="s">
        <v>452</v>
      </c>
      <c r="N114" s="7" t="s">
        <v>598</v>
      </c>
      <c r="O114" s="7" t="s">
        <v>599</v>
      </c>
      <c r="P114" s="7"/>
      <c r="Q114" s="7" t="s">
        <v>218</v>
      </c>
      <c r="R114" s="7"/>
      <c r="S114" s="7"/>
      <c r="T114" s="7"/>
      <c r="U114" s="7">
        <v>1</v>
      </c>
      <c r="V114" s="8"/>
      <c r="W114" s="7"/>
      <c r="X114" s="7"/>
      <c r="Y114" s="7" t="s">
        <v>37</v>
      </c>
      <c r="Z114" s="9"/>
      <c r="AA114" s="10">
        <v>2</v>
      </c>
      <c r="AB114" s="9"/>
      <c r="AC114" s="10">
        <v>3</v>
      </c>
      <c r="AD114" s="9"/>
      <c r="AE114" s="10">
        <f>+AA114*2</f>
        <v>4</v>
      </c>
      <c r="AF114" s="31">
        <f>97.85+12.08/2+46.76</f>
        <v>150.65</v>
      </c>
      <c r="AG114" s="7"/>
      <c r="AH114" s="7">
        <v>55.76</v>
      </c>
      <c r="AI114" s="7"/>
      <c r="AJ114" s="11"/>
      <c r="AK114" s="12"/>
      <c r="AL114" s="118">
        <v>308.39999999999998</v>
      </c>
      <c r="AM114" s="13">
        <v>0.52</v>
      </c>
      <c r="AN114" s="13">
        <f>+(AF114+AH114)/AL114</f>
        <v>0.6692931258106356</v>
      </c>
      <c r="AO114" s="13"/>
      <c r="AP114" s="13">
        <f>+(10*295139+8*221386+147611*2)/20*AH114</f>
        <v>13989347.6</v>
      </c>
      <c r="AQ114" s="15">
        <v>214219.26</v>
      </c>
      <c r="AR114" s="119" t="s">
        <v>600</v>
      </c>
      <c r="AS114" s="120" t="s">
        <v>601</v>
      </c>
      <c r="AT114" s="16">
        <v>45862</v>
      </c>
      <c r="AU114" s="17"/>
      <c r="AV114" s="18" t="s">
        <v>602</v>
      </c>
      <c r="AW114" s="19"/>
      <c r="AX114" s="19"/>
      <c r="AY114" s="19"/>
      <c r="AZ114" s="19"/>
      <c r="BA114" s="19"/>
      <c r="BB114" s="19"/>
      <c r="BC114" s="19"/>
      <c r="BD114" s="19"/>
      <c r="BE114" s="19"/>
      <c r="BF114" s="19"/>
      <c r="BG114" s="19"/>
      <c r="BH114" s="20"/>
      <c r="BI114" s="20"/>
      <c r="BJ114" s="20"/>
      <c r="BK114" s="20"/>
      <c r="BL114" s="20"/>
      <c r="BM114" s="20"/>
      <c r="BN114" s="20"/>
      <c r="BO114" s="20"/>
      <c r="BP114" s="20"/>
      <c r="BQ114" s="20"/>
      <c r="BR114" s="20"/>
      <c r="BS114" s="20"/>
      <c r="BT114" s="20"/>
      <c r="BU114" s="20"/>
      <c r="BV114" s="20"/>
      <c r="BW114" s="20"/>
      <c r="IQ114" s="20"/>
      <c r="IR114" s="20"/>
      <c r="IS114" s="20"/>
      <c r="IT114" s="20"/>
      <c r="IU114" s="20"/>
      <c r="IV114" s="20"/>
      <c r="IW114" s="20"/>
    </row>
    <row r="115" spans="1:257" s="21" customFormat="1" ht="51">
      <c r="A115" s="75"/>
      <c r="B115" s="115">
        <v>109</v>
      </c>
      <c r="C115" s="68">
        <v>572017</v>
      </c>
      <c r="D115" s="4">
        <v>45762</v>
      </c>
      <c r="E115" s="5" t="s">
        <v>32</v>
      </c>
      <c r="F115" s="6">
        <v>22004</v>
      </c>
      <c r="G115" s="6">
        <v>102174</v>
      </c>
      <c r="H115" s="6">
        <v>369</v>
      </c>
      <c r="I115" s="7"/>
      <c r="J115" s="7"/>
      <c r="K115" s="7">
        <v>130</v>
      </c>
      <c r="L115" s="7">
        <v>12</v>
      </c>
      <c r="M115" s="7" t="s">
        <v>57</v>
      </c>
      <c r="N115" s="7" t="s">
        <v>603</v>
      </c>
      <c r="O115" s="7" t="s">
        <v>604</v>
      </c>
      <c r="P115" s="7" t="s">
        <v>605</v>
      </c>
      <c r="Q115" s="7" t="s">
        <v>243</v>
      </c>
      <c r="R115" s="7"/>
      <c r="S115" s="7"/>
      <c r="T115" s="7"/>
      <c r="U115" s="7">
        <v>1</v>
      </c>
      <c r="V115" s="8"/>
      <c r="W115" s="7"/>
      <c r="X115" s="7"/>
      <c r="Y115" s="7" t="s">
        <v>85</v>
      </c>
      <c r="Z115" s="9"/>
      <c r="AA115" s="10"/>
      <c r="AB115" s="9"/>
      <c r="AC115" s="10"/>
      <c r="AD115" s="9"/>
      <c r="AE115" s="10"/>
      <c r="AF115" s="7"/>
      <c r="AG115" s="7"/>
      <c r="AH115" s="7"/>
      <c r="AI115" s="7">
        <v>92.86</v>
      </c>
      <c r="AJ115" s="11"/>
      <c r="AK115" s="12"/>
      <c r="AL115" s="13">
        <v>93.46</v>
      </c>
      <c r="AM115" s="13">
        <f>+AI115/AL115</f>
        <v>0.99358014123689287</v>
      </c>
      <c r="AN115" s="13">
        <f>+AM115</f>
        <v>0.99358014123689287</v>
      </c>
      <c r="AO115" s="13"/>
      <c r="AP115" s="13">
        <f>+AI115*295139</f>
        <v>27406607.539999999</v>
      </c>
      <c r="AQ115" s="15">
        <v>417225.59</v>
      </c>
      <c r="AR115" s="13" t="s">
        <v>180</v>
      </c>
      <c r="AS115" s="15" t="s">
        <v>606</v>
      </c>
      <c r="AT115" s="16">
        <v>45862</v>
      </c>
      <c r="AU115" s="17"/>
      <c r="AV115" s="18">
        <v>45769</v>
      </c>
      <c r="AW115" s="19"/>
      <c r="AX115" s="19"/>
      <c r="AY115" s="19"/>
      <c r="AZ115" s="19"/>
      <c r="BA115" s="19"/>
      <c r="BB115" s="19"/>
      <c r="BC115" s="19"/>
      <c r="BD115" s="19"/>
      <c r="BE115" s="19"/>
      <c r="BF115" s="19"/>
      <c r="BG115" s="19"/>
      <c r="BH115" s="20"/>
      <c r="BI115" s="20"/>
      <c r="BJ115" s="20"/>
      <c r="BK115" s="20"/>
      <c r="BL115" s="20"/>
      <c r="BM115" s="20"/>
      <c r="BN115" s="20"/>
      <c r="BO115" s="20"/>
      <c r="BP115" s="20"/>
      <c r="BQ115" s="20"/>
      <c r="BR115" s="20"/>
      <c r="BS115" s="20"/>
      <c r="BT115" s="20"/>
      <c r="BU115" s="20"/>
      <c r="BV115" s="20"/>
      <c r="BW115" s="20"/>
      <c r="IQ115" s="20"/>
      <c r="IR115" s="20"/>
      <c r="IS115" s="20"/>
      <c r="IT115" s="20"/>
      <c r="IU115" s="20"/>
      <c r="IV115" s="20"/>
      <c r="IW115" s="20"/>
    </row>
    <row r="116" spans="1:257" s="21" customFormat="1" ht="76.5">
      <c r="A116" s="91"/>
      <c r="B116" s="115">
        <v>110</v>
      </c>
      <c r="C116" s="68" t="s">
        <v>607</v>
      </c>
      <c r="D116" s="4">
        <v>45768</v>
      </c>
      <c r="E116" s="5" t="s">
        <v>32</v>
      </c>
      <c r="F116" s="6">
        <v>22868</v>
      </c>
      <c r="G116" s="6">
        <v>107626</v>
      </c>
      <c r="H116" s="6">
        <v>902</v>
      </c>
      <c r="I116" s="7"/>
      <c r="J116" s="7"/>
      <c r="K116" s="7">
        <v>48</v>
      </c>
      <c r="L116" s="7">
        <v>13</v>
      </c>
      <c r="M116" s="7" t="s">
        <v>33</v>
      </c>
      <c r="N116" s="7" t="s">
        <v>608</v>
      </c>
      <c r="O116" s="7" t="s">
        <v>609</v>
      </c>
      <c r="P116" s="7"/>
      <c r="Q116" s="7" t="s">
        <v>610</v>
      </c>
      <c r="R116" s="7"/>
      <c r="S116" s="7"/>
      <c r="T116" s="7"/>
      <c r="U116" s="7">
        <v>1</v>
      </c>
      <c r="V116" s="8"/>
      <c r="W116" s="7"/>
      <c r="X116" s="7"/>
      <c r="Y116" s="7" t="s">
        <v>37</v>
      </c>
      <c r="Z116" s="9">
        <v>2</v>
      </c>
      <c r="AA116" s="10"/>
      <c r="AB116" s="9">
        <f>+Z116+1</f>
        <v>3</v>
      </c>
      <c r="AC116" s="10"/>
      <c r="AD116" s="9">
        <f>+Z116*2</f>
        <v>4</v>
      </c>
      <c r="AE116" s="10"/>
      <c r="AF116" s="7">
        <v>196.36</v>
      </c>
      <c r="AG116" s="7"/>
      <c r="AH116" s="7">
        <f>9.53/2</f>
        <v>4.7649999999999997</v>
      </c>
      <c r="AI116" s="7"/>
      <c r="AJ116" s="11"/>
      <c r="AK116" s="12"/>
      <c r="AL116" s="13">
        <v>249.98</v>
      </c>
      <c r="AM116" s="13">
        <f>+(107.96+3.92+3.2)/AL116</f>
        <v>0.46035682854628374</v>
      </c>
      <c r="AN116" s="13">
        <f>+(AF116+AH116)/AL116</f>
        <v>0.80456436514921192</v>
      </c>
      <c r="AO116" s="13"/>
      <c r="AP116" s="13">
        <f>+((9*369028+5*295139+8*221386+147611*3)/25)*(9.53/2)</f>
        <v>1336271.4407999997</v>
      </c>
      <c r="AQ116" s="15">
        <v>53013.63</v>
      </c>
      <c r="AR116" s="13" t="s">
        <v>45</v>
      </c>
      <c r="AS116" s="15" t="s">
        <v>611</v>
      </c>
      <c r="AT116" s="16">
        <v>45869</v>
      </c>
      <c r="AU116" s="17"/>
      <c r="AV116" s="18"/>
      <c r="AW116" s="19"/>
      <c r="AX116" s="19"/>
      <c r="AY116" s="19"/>
      <c r="AZ116" s="19"/>
      <c r="BA116" s="19"/>
      <c r="BB116" s="19"/>
      <c r="BC116" s="19"/>
      <c r="BD116" s="19"/>
      <c r="BE116" s="19"/>
      <c r="BF116" s="19"/>
      <c r="BG116" s="19"/>
      <c r="BH116" s="20"/>
      <c r="BI116" s="20"/>
      <c r="BJ116" s="20"/>
      <c r="BK116" s="20"/>
      <c r="BL116" s="20"/>
      <c r="BM116" s="20"/>
      <c r="BN116" s="20"/>
      <c r="BO116" s="20"/>
      <c r="BP116" s="20"/>
      <c r="BQ116" s="20"/>
      <c r="BR116" s="20"/>
      <c r="BS116" s="20"/>
      <c r="BT116" s="20"/>
      <c r="BU116" s="20"/>
      <c r="BV116" s="20"/>
      <c r="BW116" s="20"/>
      <c r="IQ116" s="20"/>
      <c r="IR116" s="20"/>
      <c r="IS116" s="20"/>
      <c r="IT116" s="20"/>
      <c r="IU116" s="20"/>
      <c r="IV116" s="20"/>
      <c r="IW116" s="20"/>
    </row>
    <row r="117" spans="1:257" s="46" customFormat="1" ht="38.25">
      <c r="A117" s="121" t="s">
        <v>612</v>
      </c>
      <c r="B117" s="122">
        <v>111</v>
      </c>
      <c r="C117" s="89">
        <v>525100</v>
      </c>
      <c r="D117" s="54">
        <v>44132</v>
      </c>
      <c r="E117" s="29" t="s">
        <v>32</v>
      </c>
      <c r="F117" s="30">
        <v>42338</v>
      </c>
      <c r="G117" s="30">
        <v>140536</v>
      </c>
      <c r="H117" s="30">
        <v>8659</v>
      </c>
      <c r="I117" s="31"/>
      <c r="J117" s="31"/>
      <c r="K117" s="31">
        <v>372</v>
      </c>
      <c r="L117" s="31">
        <v>12</v>
      </c>
      <c r="M117" s="31" t="s">
        <v>613</v>
      </c>
      <c r="N117" s="31" t="s">
        <v>614</v>
      </c>
      <c r="O117" s="32" t="s">
        <v>615</v>
      </c>
      <c r="P117" s="31"/>
      <c r="Q117" s="31" t="s">
        <v>616</v>
      </c>
      <c r="R117" s="31"/>
      <c r="S117" s="31"/>
      <c r="T117" s="31"/>
      <c r="U117" s="31">
        <v>1</v>
      </c>
      <c r="V117" s="33"/>
      <c r="W117" s="31"/>
      <c r="X117" s="31"/>
      <c r="Y117" s="31" t="s">
        <v>85</v>
      </c>
      <c r="Z117" s="34"/>
      <c r="AA117" s="35"/>
      <c r="AB117" s="36"/>
      <c r="AC117" s="35"/>
      <c r="AD117" s="36"/>
      <c r="AE117" s="35"/>
      <c r="AF117" s="31"/>
      <c r="AG117" s="31">
        <v>142</v>
      </c>
      <c r="AH117" s="31"/>
      <c r="AI117" s="31">
        <v>42.04</v>
      </c>
      <c r="AJ117" s="33"/>
      <c r="AK117" s="37"/>
      <c r="AL117" s="38">
        <v>237.84</v>
      </c>
      <c r="AM117" s="38">
        <f>+(AG117+AI117)/AL117</f>
        <v>0.77379751093171878</v>
      </c>
      <c r="AN117" s="38">
        <f>+(AG117+AI117)/AL117</f>
        <v>0.77379751093171878</v>
      </c>
      <c r="AO117" s="38"/>
      <c r="AP117" s="38">
        <f>+AI117*12964</f>
        <v>545006.55999999994</v>
      </c>
      <c r="AQ117" s="40">
        <v>159033.04</v>
      </c>
      <c r="AR117" s="38" t="s">
        <v>180</v>
      </c>
      <c r="AS117" s="40" t="s">
        <v>617</v>
      </c>
      <c r="AT117" s="41">
        <v>45870</v>
      </c>
      <c r="AU117" s="42"/>
      <c r="AV117" s="40" t="s">
        <v>618</v>
      </c>
      <c r="AW117" s="44"/>
      <c r="AX117" s="44"/>
      <c r="AY117" s="44"/>
      <c r="AZ117" s="44"/>
      <c r="BA117" s="44"/>
      <c r="BB117" s="44"/>
      <c r="BC117" s="44"/>
      <c r="BD117" s="44"/>
      <c r="BE117" s="44"/>
      <c r="BF117" s="44"/>
      <c r="BG117" s="44"/>
      <c r="BH117" s="45"/>
      <c r="BI117" s="45"/>
      <c r="BJ117" s="45"/>
      <c r="BK117" s="45"/>
      <c r="BL117" s="45"/>
      <c r="BM117" s="45"/>
      <c r="BN117" s="45"/>
      <c r="BO117" s="45"/>
      <c r="BP117" s="45"/>
      <c r="BQ117" s="45"/>
      <c r="BR117" s="45"/>
      <c r="BS117" s="45"/>
      <c r="BT117" s="45"/>
      <c r="BU117" s="45"/>
      <c r="BV117" s="45"/>
      <c r="BW117" s="45"/>
      <c r="IQ117" s="45"/>
      <c r="IR117" s="45"/>
      <c r="IS117" s="45"/>
      <c r="IT117" s="45"/>
      <c r="IU117" s="45"/>
      <c r="IV117" s="45"/>
      <c r="IW117" s="45"/>
    </row>
    <row r="118" spans="1:257" s="21" customFormat="1" ht="102">
      <c r="A118" s="112"/>
      <c r="B118" s="70">
        <v>112</v>
      </c>
      <c r="C118" s="68">
        <v>573062</v>
      </c>
      <c r="D118" s="4">
        <v>45797</v>
      </c>
      <c r="E118" s="5" t="s">
        <v>32</v>
      </c>
      <c r="F118" s="6">
        <v>19755</v>
      </c>
      <c r="G118" s="6">
        <v>109357</v>
      </c>
      <c r="H118" s="6">
        <v>4134</v>
      </c>
      <c r="I118" s="7"/>
      <c r="J118" s="7"/>
      <c r="K118" s="7">
        <v>398</v>
      </c>
      <c r="L118" s="7">
        <v>9</v>
      </c>
      <c r="M118" s="7" t="s">
        <v>452</v>
      </c>
      <c r="N118" s="7" t="s">
        <v>619</v>
      </c>
      <c r="O118" s="7" t="s">
        <v>620</v>
      </c>
      <c r="P118" s="7"/>
      <c r="Q118" s="7" t="s">
        <v>243</v>
      </c>
      <c r="R118" s="7"/>
      <c r="S118" s="7"/>
      <c r="T118" s="7"/>
      <c r="U118" s="7">
        <f>1+1+1</f>
        <v>3</v>
      </c>
      <c r="V118" s="8"/>
      <c r="W118" s="7"/>
      <c r="X118" s="7"/>
      <c r="Y118" s="7" t="s">
        <v>67</v>
      </c>
      <c r="Z118" s="9">
        <f>1+2+1</f>
        <v>4</v>
      </c>
      <c r="AA118" s="10"/>
      <c r="AB118" s="9">
        <f>+Z118+1</f>
        <v>5</v>
      </c>
      <c r="AC118" s="10"/>
      <c r="AD118" s="9">
        <f>+Z118*2</f>
        <v>8</v>
      </c>
      <c r="AE118" s="10"/>
      <c r="AF118" s="7"/>
      <c r="AG118" s="7"/>
      <c r="AH118" s="7">
        <f>150.87+13.89/2</f>
        <v>157.815</v>
      </c>
      <c r="AI118" s="7"/>
      <c r="AJ118" s="11"/>
      <c r="AK118" s="12"/>
      <c r="AL118" s="13">
        <v>270</v>
      </c>
      <c r="AM118" s="13">
        <f>+(150.87+13.89)/AL118</f>
        <v>0.61022222222222222</v>
      </c>
      <c r="AN118" s="13">
        <f>+AH118/AL118</f>
        <v>0.58450000000000002</v>
      </c>
      <c r="AO118" s="13"/>
      <c r="AP118" s="13">
        <f>+(2*369028+295139*6+221386*7+7*147611)/22*AH118</f>
        <v>36526059.374318182</v>
      </c>
      <c r="AQ118" s="15">
        <v>580617.91</v>
      </c>
      <c r="AR118" s="13" t="s">
        <v>180</v>
      </c>
      <c r="AS118" s="15" t="s">
        <v>621</v>
      </c>
      <c r="AT118" s="16">
        <v>45874</v>
      </c>
      <c r="AU118" s="17"/>
      <c r="AV118" s="18">
        <v>45799</v>
      </c>
      <c r="AW118" s="19"/>
      <c r="AX118" s="19"/>
      <c r="AY118" s="19"/>
      <c r="AZ118" s="19"/>
      <c r="BA118" s="19"/>
      <c r="BB118" s="19"/>
      <c r="BC118" s="19"/>
      <c r="BD118" s="19"/>
      <c r="BE118" s="19"/>
      <c r="BF118" s="19"/>
      <c r="BG118" s="19"/>
      <c r="BH118" s="20"/>
      <c r="BI118" s="20"/>
      <c r="BJ118" s="20"/>
      <c r="BK118" s="20"/>
      <c r="BL118" s="20"/>
      <c r="BM118" s="20"/>
      <c r="BN118" s="20"/>
      <c r="BO118" s="20"/>
      <c r="BP118" s="20"/>
      <c r="BQ118" s="20"/>
      <c r="BR118" s="20"/>
      <c r="BS118" s="20"/>
      <c r="BT118" s="20"/>
      <c r="BU118" s="20"/>
      <c r="BV118" s="20"/>
      <c r="BW118" s="20"/>
      <c r="IQ118" s="20"/>
      <c r="IR118" s="20"/>
      <c r="IS118" s="20"/>
      <c r="IT118" s="20"/>
      <c r="IU118" s="20"/>
      <c r="IV118" s="20"/>
      <c r="IW118" s="20"/>
    </row>
    <row r="119" spans="1:257" s="21" customFormat="1" ht="76.5">
      <c r="A119" s="112"/>
      <c r="B119" s="70">
        <v>113</v>
      </c>
      <c r="C119" s="68" t="s">
        <v>622</v>
      </c>
      <c r="D119" s="4">
        <v>45820</v>
      </c>
      <c r="E119" s="5" t="s">
        <v>48</v>
      </c>
      <c r="F119" s="6">
        <v>34660</v>
      </c>
      <c r="G119" s="6">
        <v>134741</v>
      </c>
      <c r="H119" s="6">
        <v>7355</v>
      </c>
      <c r="I119" s="7"/>
      <c r="J119" s="7"/>
      <c r="K119" s="7">
        <v>629</v>
      </c>
      <c r="L119" s="7">
        <v>7</v>
      </c>
      <c r="M119" s="7" t="s">
        <v>33</v>
      </c>
      <c r="N119" s="7" t="s">
        <v>623</v>
      </c>
      <c r="O119" s="7" t="s">
        <v>624</v>
      </c>
      <c r="P119" s="7"/>
      <c r="Q119" s="7" t="s">
        <v>625</v>
      </c>
      <c r="R119" s="7" t="s">
        <v>625</v>
      </c>
      <c r="S119" s="7" t="s">
        <v>625</v>
      </c>
      <c r="T119" s="7" t="s">
        <v>626</v>
      </c>
      <c r="U119" s="7"/>
      <c r="V119" s="8">
        <v>3</v>
      </c>
      <c r="W119" s="7"/>
      <c r="X119" s="7"/>
      <c r="Y119" s="7" t="s">
        <v>67</v>
      </c>
      <c r="Z119" s="9"/>
      <c r="AA119" s="10">
        <f>2*2+1</f>
        <v>5</v>
      </c>
      <c r="AB119" s="9"/>
      <c r="AC119" s="10">
        <f>+AA119+3</f>
        <v>8</v>
      </c>
      <c r="AD119" s="9"/>
      <c r="AE119" s="10">
        <f>+AA119*2</f>
        <v>10</v>
      </c>
      <c r="AF119" s="7"/>
      <c r="AG119" s="7"/>
      <c r="AH119" s="7"/>
      <c r="AI119" s="7"/>
      <c r="AJ119" s="11">
        <f>233.31+42.2/2</f>
        <v>254.41</v>
      </c>
      <c r="AK119" s="12"/>
      <c r="AL119" s="13">
        <v>256</v>
      </c>
      <c r="AM119" s="13">
        <f>+(131.75+27.9)/AL119</f>
        <v>0.62363281250000002</v>
      </c>
      <c r="AN119" s="13">
        <f>+AJ119/AL119</f>
        <v>0.99378906249999999</v>
      </c>
      <c r="AO119" s="13">
        <f>+(1+2+24+12)/(1+1+8+2)</f>
        <v>3.25</v>
      </c>
      <c r="AP119" s="13">
        <f>+(2*369028+7*295139+7*221386+6*147611)/22*AJ119</f>
        <v>60588863.216818184</v>
      </c>
      <c r="AQ119" s="15">
        <v>981949.18</v>
      </c>
      <c r="AR119" s="13" t="s">
        <v>45</v>
      </c>
      <c r="AS119" s="15" t="s">
        <v>627</v>
      </c>
      <c r="AT119" s="16">
        <v>45881</v>
      </c>
      <c r="AU119" s="17"/>
      <c r="AV119" s="18" t="s">
        <v>628</v>
      </c>
      <c r="AW119" s="19"/>
      <c r="AX119" s="19"/>
      <c r="AY119" s="19"/>
      <c r="AZ119" s="19"/>
      <c r="BA119" s="19"/>
      <c r="BB119" s="19"/>
      <c r="BC119" s="19"/>
      <c r="BD119" s="19"/>
      <c r="BE119" s="19"/>
      <c r="BF119" s="19"/>
      <c r="BG119" s="19"/>
      <c r="BH119" s="20"/>
      <c r="BI119" s="20"/>
      <c r="BJ119" s="20"/>
      <c r="BK119" s="20"/>
      <c r="BL119" s="20"/>
      <c r="BM119" s="20"/>
      <c r="BN119" s="20"/>
      <c r="BO119" s="20"/>
      <c r="BP119" s="20"/>
      <c r="BQ119" s="20"/>
      <c r="BR119" s="20"/>
      <c r="BS119" s="20"/>
      <c r="BT119" s="20"/>
      <c r="BU119" s="20"/>
      <c r="BV119" s="20"/>
      <c r="BW119" s="20"/>
      <c r="IQ119" s="20"/>
      <c r="IR119" s="20"/>
      <c r="IS119" s="20"/>
      <c r="IT119" s="20"/>
      <c r="IU119" s="20"/>
      <c r="IV119" s="20"/>
      <c r="IW119" s="20"/>
    </row>
    <row r="120" spans="1:257" s="21" customFormat="1" ht="63.75">
      <c r="A120" s="112"/>
      <c r="B120" s="70">
        <v>114</v>
      </c>
      <c r="C120" s="68">
        <v>572106</v>
      </c>
      <c r="D120" s="4">
        <v>45769</v>
      </c>
      <c r="E120" s="5" t="s">
        <v>48</v>
      </c>
      <c r="F120" s="6">
        <v>6230</v>
      </c>
      <c r="G120" s="6">
        <v>1558</v>
      </c>
      <c r="H120" s="6">
        <v>4618</v>
      </c>
      <c r="I120" s="7"/>
      <c r="J120" s="7"/>
      <c r="K120" s="7">
        <v>112</v>
      </c>
      <c r="L120" s="7">
        <v>13</v>
      </c>
      <c r="M120" s="7" t="s">
        <v>33</v>
      </c>
      <c r="N120" s="7" t="s">
        <v>629</v>
      </c>
      <c r="O120" s="7" t="s">
        <v>393</v>
      </c>
      <c r="P120" s="7" t="s">
        <v>630</v>
      </c>
      <c r="Q120" s="7" t="s">
        <v>631</v>
      </c>
      <c r="R120" s="7" t="s">
        <v>631</v>
      </c>
      <c r="S120" s="7" t="s">
        <v>631</v>
      </c>
      <c r="T120" s="7" t="s">
        <v>84</v>
      </c>
      <c r="U120" s="7"/>
      <c r="V120" s="8"/>
      <c r="W120" s="7">
        <v>1</v>
      </c>
      <c r="X120" s="7"/>
      <c r="Y120" s="7" t="s">
        <v>632</v>
      </c>
      <c r="Z120" s="9"/>
      <c r="AA120" s="10"/>
      <c r="AB120" s="9"/>
      <c r="AC120" s="10"/>
      <c r="AD120" s="9"/>
      <c r="AE120" s="10"/>
      <c r="AF120" s="7">
        <v>211.64</v>
      </c>
      <c r="AG120" s="7"/>
      <c r="AH120" s="7"/>
      <c r="AI120" s="7"/>
      <c r="AJ120" s="11"/>
      <c r="AK120" s="12">
        <v>211.64</v>
      </c>
      <c r="AL120" s="13">
        <v>271.5</v>
      </c>
      <c r="AM120" s="13">
        <f>+AK120/AL120</f>
        <v>0.77952117863720072</v>
      </c>
      <c r="AN120" s="13">
        <f>+(AF120+AK120)/AL120</f>
        <v>1.5590423572744014</v>
      </c>
      <c r="AO120" s="13"/>
      <c r="AP120" s="13">
        <v>67520</v>
      </c>
      <c r="AQ120" s="15">
        <v>1054999</v>
      </c>
      <c r="AR120" s="13" t="s">
        <v>45</v>
      </c>
      <c r="AS120" s="15" t="s">
        <v>633</v>
      </c>
      <c r="AT120" s="16">
        <v>45881</v>
      </c>
      <c r="AU120" s="17"/>
      <c r="AV120" s="18" t="s">
        <v>634</v>
      </c>
      <c r="AW120" s="19"/>
      <c r="AX120" s="19"/>
      <c r="AY120" s="19"/>
      <c r="AZ120" s="19"/>
      <c r="BA120" s="19"/>
      <c r="BB120" s="19"/>
      <c r="BC120" s="19"/>
      <c r="BD120" s="19"/>
      <c r="BE120" s="19"/>
      <c r="BF120" s="19"/>
      <c r="BG120" s="19"/>
      <c r="BH120" s="20"/>
      <c r="BI120" s="20"/>
      <c r="BJ120" s="20"/>
      <c r="BK120" s="20"/>
      <c r="BL120" s="20"/>
      <c r="BM120" s="20"/>
      <c r="BN120" s="20"/>
      <c r="BO120" s="20"/>
      <c r="BP120" s="20"/>
      <c r="BQ120" s="20"/>
      <c r="BR120" s="20"/>
      <c r="BS120" s="20"/>
      <c r="BT120" s="20"/>
      <c r="BU120" s="20"/>
      <c r="BV120" s="20"/>
      <c r="BW120" s="20"/>
      <c r="IQ120" s="20"/>
      <c r="IR120" s="20"/>
      <c r="IS120" s="20"/>
      <c r="IT120" s="20"/>
      <c r="IU120" s="20"/>
      <c r="IV120" s="20"/>
      <c r="IW120" s="20"/>
    </row>
    <row r="121" spans="1:257" s="21" customFormat="1" ht="89.25">
      <c r="A121" s="112"/>
      <c r="B121" s="70">
        <v>115</v>
      </c>
      <c r="C121" s="68" t="s">
        <v>635</v>
      </c>
      <c r="D121" s="4">
        <v>45757</v>
      </c>
      <c r="E121" s="5" t="s">
        <v>268</v>
      </c>
      <c r="F121" s="6">
        <v>47914</v>
      </c>
      <c r="G121" s="6">
        <v>158521</v>
      </c>
      <c r="H121" s="6">
        <v>32423</v>
      </c>
      <c r="I121" s="7">
        <v>288</v>
      </c>
      <c r="J121" s="7"/>
      <c r="K121" s="7"/>
      <c r="L121" s="7">
        <v>4</v>
      </c>
      <c r="M121" s="7" t="s">
        <v>41</v>
      </c>
      <c r="N121" s="7" t="s">
        <v>636</v>
      </c>
      <c r="O121" s="7" t="s">
        <v>637</v>
      </c>
      <c r="P121" s="7"/>
      <c r="Q121" s="7" t="s">
        <v>152</v>
      </c>
      <c r="R121" s="7"/>
      <c r="S121" s="7"/>
      <c r="T121" s="7"/>
      <c r="U121" s="7">
        <v>1</v>
      </c>
      <c r="V121" s="8"/>
      <c r="W121" s="7"/>
      <c r="X121" s="7"/>
      <c r="Y121" s="7" t="s">
        <v>638</v>
      </c>
      <c r="Z121" s="9"/>
      <c r="AA121" s="10"/>
      <c r="AB121" s="9"/>
      <c r="AC121" s="10"/>
      <c r="AD121" s="9"/>
      <c r="AE121" s="10"/>
      <c r="AF121" s="7"/>
      <c r="AG121" s="7"/>
      <c r="AH121" s="7"/>
      <c r="AI121" s="7" t="s">
        <v>639</v>
      </c>
      <c r="AJ121" s="11"/>
      <c r="AK121" s="12"/>
      <c r="AL121" s="13">
        <v>2000</v>
      </c>
      <c r="AM121" s="13">
        <f>+(213+9.3)/AL121</f>
        <v>0.11115</v>
      </c>
      <c r="AN121" s="13" t="e">
        <f>+AI121/AL121</f>
        <v>#VALUE!</v>
      </c>
      <c r="AO121" s="13"/>
      <c r="AP121" s="13">
        <f>76023679+7280815</f>
        <v>83304494</v>
      </c>
      <c r="AQ121" s="15">
        <v>1495892.36</v>
      </c>
      <c r="AR121" s="13" t="s">
        <v>45</v>
      </c>
      <c r="AS121" s="15" t="s">
        <v>640</v>
      </c>
      <c r="AT121" s="16">
        <v>45881</v>
      </c>
      <c r="AU121" s="17"/>
      <c r="AV121" s="18" t="s">
        <v>641</v>
      </c>
      <c r="AW121" s="19"/>
      <c r="AX121" s="19"/>
      <c r="AY121" s="19"/>
      <c r="AZ121" s="19"/>
      <c r="BA121" s="19"/>
      <c r="BB121" s="19"/>
      <c r="BC121" s="19"/>
      <c r="BD121" s="19"/>
      <c r="BE121" s="19"/>
      <c r="BF121" s="19"/>
      <c r="BG121" s="19"/>
      <c r="BH121" s="20"/>
      <c r="BI121" s="20"/>
      <c r="BJ121" s="20"/>
      <c r="BK121" s="20"/>
      <c r="BL121" s="20"/>
      <c r="BM121" s="20"/>
      <c r="BN121" s="20"/>
      <c r="BO121" s="20"/>
      <c r="BP121" s="20"/>
      <c r="BQ121" s="20"/>
      <c r="BR121" s="20"/>
      <c r="BS121" s="20"/>
      <c r="BT121" s="20"/>
      <c r="BU121" s="20"/>
      <c r="BV121" s="20"/>
      <c r="BW121" s="20"/>
      <c r="IQ121" s="20"/>
      <c r="IR121" s="20"/>
      <c r="IS121" s="20"/>
      <c r="IT121" s="20"/>
      <c r="IU121" s="20"/>
      <c r="IV121" s="20"/>
      <c r="IW121" s="20"/>
    </row>
    <row r="122" spans="1:257" s="21" customFormat="1" ht="76.5">
      <c r="A122" s="112"/>
      <c r="B122" s="70">
        <v>116</v>
      </c>
      <c r="C122" s="68">
        <v>574687</v>
      </c>
      <c r="D122" s="4">
        <v>45873</v>
      </c>
      <c r="E122" s="5" t="s">
        <v>98</v>
      </c>
      <c r="F122" s="6">
        <v>50928</v>
      </c>
      <c r="G122" s="6">
        <v>160846</v>
      </c>
      <c r="H122" s="6">
        <v>32818</v>
      </c>
      <c r="I122" s="7">
        <v>2</v>
      </c>
      <c r="J122" s="7"/>
      <c r="K122" s="7"/>
      <c r="L122" s="7">
        <v>123</v>
      </c>
      <c r="M122" s="7" t="s">
        <v>41</v>
      </c>
      <c r="N122" s="7" t="s">
        <v>76</v>
      </c>
      <c r="O122" s="7" t="s">
        <v>642</v>
      </c>
      <c r="P122" s="7"/>
      <c r="Q122" s="7" t="s">
        <v>643</v>
      </c>
      <c r="R122" s="7" t="s">
        <v>643</v>
      </c>
      <c r="S122" s="7" t="s">
        <v>643</v>
      </c>
      <c r="T122" s="7" t="s">
        <v>644</v>
      </c>
      <c r="U122" s="7"/>
      <c r="V122" s="8"/>
      <c r="W122" s="7">
        <v>1</v>
      </c>
      <c r="X122" s="7"/>
      <c r="Y122" s="7" t="s">
        <v>37</v>
      </c>
      <c r="Z122" s="9">
        <v>2</v>
      </c>
      <c r="AA122" s="10">
        <v>2</v>
      </c>
      <c r="AB122" s="9">
        <f>+Z122+1</f>
        <v>3</v>
      </c>
      <c r="AC122" s="10">
        <f>+AA122+1</f>
        <v>3</v>
      </c>
      <c r="AD122" s="9">
        <f>+Z122*2</f>
        <v>4</v>
      </c>
      <c r="AE122" s="10">
        <f>+AA122*2</f>
        <v>4</v>
      </c>
      <c r="AF122" s="7"/>
      <c r="AG122" s="7"/>
      <c r="AH122" s="7">
        <f>81.91+13.42/2+15.59</f>
        <v>104.21</v>
      </c>
      <c r="AI122" s="7"/>
      <c r="AJ122" s="11">
        <f>39.37+44.21</f>
        <v>83.58</v>
      </c>
      <c r="AK122" s="12"/>
      <c r="AL122" s="13">
        <v>452.87</v>
      </c>
      <c r="AM122" s="13">
        <f>+(39.37+81.91+15.59)/AL122</f>
        <v>0.30222801245390513</v>
      </c>
      <c r="AN122" s="13">
        <f>+(AH122+AJ122)/AL122</f>
        <v>0.41466646057367457</v>
      </c>
      <c r="AO122" s="13"/>
      <c r="AP122" s="13"/>
      <c r="AQ122" s="15">
        <v>166005.4</v>
      </c>
      <c r="AR122" s="13" t="s">
        <v>45</v>
      </c>
      <c r="AS122" s="15" t="s">
        <v>645</v>
      </c>
      <c r="AT122" s="16">
        <v>45882</v>
      </c>
      <c r="AU122" s="17"/>
      <c r="AV122" s="18" t="s">
        <v>646</v>
      </c>
      <c r="AW122" s="19"/>
      <c r="AX122" s="19"/>
      <c r="AY122" s="19"/>
      <c r="AZ122" s="19"/>
      <c r="BA122" s="19"/>
      <c r="BB122" s="19"/>
      <c r="BC122" s="19"/>
      <c r="BD122" s="19"/>
      <c r="BE122" s="19"/>
      <c r="BF122" s="19"/>
      <c r="BG122" s="19"/>
      <c r="BH122" s="20"/>
      <c r="BI122" s="20"/>
      <c r="BJ122" s="20"/>
      <c r="BK122" s="20"/>
      <c r="BL122" s="20"/>
      <c r="BM122" s="20"/>
      <c r="BN122" s="20"/>
      <c r="BO122" s="20"/>
      <c r="BP122" s="20"/>
      <c r="BQ122" s="20"/>
      <c r="BR122" s="20"/>
      <c r="BS122" s="20"/>
      <c r="BT122" s="20"/>
      <c r="BU122" s="20"/>
      <c r="BV122" s="20"/>
      <c r="BW122" s="20"/>
      <c r="IQ122" s="20"/>
      <c r="IR122" s="20"/>
      <c r="IS122" s="20"/>
      <c r="IT122" s="20"/>
      <c r="IU122" s="20"/>
      <c r="IV122" s="20"/>
      <c r="IW122" s="20"/>
    </row>
    <row r="123" spans="1:257" s="21" customFormat="1" ht="38.25">
      <c r="A123" s="112"/>
      <c r="B123" s="70">
        <v>117</v>
      </c>
      <c r="C123" s="68">
        <v>573597</v>
      </c>
      <c r="D123" s="4">
        <v>45821</v>
      </c>
      <c r="E123" s="5" t="s">
        <v>48</v>
      </c>
      <c r="F123" s="6">
        <v>47228</v>
      </c>
      <c r="G123" s="6">
        <v>122659</v>
      </c>
      <c r="H123" s="6">
        <v>6342</v>
      </c>
      <c r="I123" s="7"/>
      <c r="J123" s="7"/>
      <c r="K123" s="7">
        <v>114</v>
      </c>
      <c r="L123" s="7">
        <v>8</v>
      </c>
      <c r="M123" s="7" t="s">
        <v>57</v>
      </c>
      <c r="N123" s="7" t="s">
        <v>647</v>
      </c>
      <c r="O123" s="7" t="s">
        <v>648</v>
      </c>
      <c r="P123" s="7"/>
      <c r="Q123" s="7" t="s">
        <v>649</v>
      </c>
      <c r="R123" s="7" t="s">
        <v>649</v>
      </c>
      <c r="S123" s="7" t="s">
        <v>649</v>
      </c>
      <c r="T123" s="7" t="s">
        <v>650</v>
      </c>
      <c r="U123" s="7"/>
      <c r="V123" s="8">
        <v>1</v>
      </c>
      <c r="W123" s="7"/>
      <c r="X123" s="7"/>
      <c r="Y123" s="7" t="s">
        <v>651</v>
      </c>
      <c r="Z123" s="9"/>
      <c r="AA123" s="10"/>
      <c r="AB123" s="9"/>
      <c r="AC123" s="10"/>
      <c r="AD123" s="9"/>
      <c r="AE123" s="10"/>
      <c r="AF123" s="7"/>
      <c r="AG123" s="7"/>
      <c r="AH123" s="7"/>
      <c r="AI123" s="7"/>
      <c r="AJ123" s="11"/>
      <c r="AK123" s="12">
        <f>3.43+87.15/2</f>
        <v>47.005000000000003</v>
      </c>
      <c r="AL123" s="13">
        <v>160.44</v>
      </c>
      <c r="AM123" s="13">
        <f>+(87.15+3.43)/AL123</f>
        <v>0.56457242582897038</v>
      </c>
      <c r="AN123" s="13">
        <f>+AK123/AL123</f>
        <v>0.29297556719022688</v>
      </c>
      <c r="AO123" s="13"/>
      <c r="AP123" s="13">
        <v>8149603.4000000004</v>
      </c>
      <c r="AQ123" s="15">
        <v>50584.69</v>
      </c>
      <c r="AR123" s="13" t="s">
        <v>86</v>
      </c>
      <c r="AS123" s="15" t="s">
        <v>652</v>
      </c>
      <c r="AT123" s="16">
        <v>45890</v>
      </c>
      <c r="AU123" s="17"/>
      <c r="AV123" s="18" t="s">
        <v>653</v>
      </c>
      <c r="AW123" s="19"/>
      <c r="AX123" s="19"/>
      <c r="AY123" s="19"/>
      <c r="AZ123" s="19"/>
      <c r="BA123" s="19"/>
      <c r="BB123" s="19"/>
      <c r="BC123" s="19"/>
      <c r="BD123" s="19"/>
      <c r="BE123" s="19"/>
      <c r="BF123" s="19"/>
      <c r="BG123" s="19"/>
      <c r="BH123" s="20"/>
      <c r="BI123" s="20"/>
      <c r="BJ123" s="20"/>
      <c r="BK123" s="20"/>
      <c r="BL123" s="20"/>
      <c r="BM123" s="20"/>
      <c r="BN123" s="20"/>
      <c r="BO123" s="20"/>
      <c r="BP123" s="20"/>
      <c r="BQ123" s="20"/>
      <c r="BR123" s="20"/>
      <c r="BS123" s="20"/>
      <c r="BT123" s="20"/>
      <c r="BU123" s="20"/>
      <c r="BV123" s="20"/>
      <c r="BW123" s="20"/>
      <c r="IQ123" s="20"/>
      <c r="IR123" s="20"/>
      <c r="IS123" s="20"/>
      <c r="IT123" s="20"/>
      <c r="IU123" s="20"/>
      <c r="IV123" s="20"/>
      <c r="IW123" s="20"/>
    </row>
    <row r="124" spans="1:257" s="21" customFormat="1" ht="63.75">
      <c r="A124" s="112"/>
      <c r="B124" s="70">
        <v>118</v>
      </c>
      <c r="C124" s="68" t="s">
        <v>654</v>
      </c>
      <c r="D124" s="4">
        <v>45813</v>
      </c>
      <c r="E124" s="5" t="s">
        <v>268</v>
      </c>
      <c r="F124" s="6">
        <v>26456</v>
      </c>
      <c r="G124" s="6">
        <v>119782</v>
      </c>
      <c r="H124" s="6">
        <v>5991</v>
      </c>
      <c r="I124" s="7"/>
      <c r="J124" s="7"/>
      <c r="K124" s="7">
        <v>319</v>
      </c>
      <c r="L124" s="7">
        <v>5</v>
      </c>
      <c r="M124" s="7" t="s">
        <v>452</v>
      </c>
      <c r="N124" s="7" t="s">
        <v>655</v>
      </c>
      <c r="O124" s="7" t="s">
        <v>656</v>
      </c>
      <c r="P124" s="7"/>
      <c r="Q124" s="7" t="s">
        <v>78</v>
      </c>
      <c r="R124" s="7" t="s">
        <v>78</v>
      </c>
      <c r="S124" s="7" t="s">
        <v>78</v>
      </c>
      <c r="T124" s="7" t="s">
        <v>84</v>
      </c>
      <c r="U124" s="7">
        <v>1</v>
      </c>
      <c r="V124" s="8"/>
      <c r="W124" s="7"/>
      <c r="X124" s="7"/>
      <c r="Y124" s="7" t="s">
        <v>85</v>
      </c>
      <c r="Z124" s="9"/>
      <c r="AA124" s="10"/>
      <c r="AB124" s="9"/>
      <c r="AC124" s="10"/>
      <c r="AD124" s="9"/>
      <c r="AE124" s="10"/>
      <c r="AF124" s="7"/>
      <c r="AG124" s="7">
        <v>118.25</v>
      </c>
      <c r="AH124" s="7"/>
      <c r="AI124" s="7">
        <f>159.54+21.67-AG124+15.03/2</f>
        <v>70.47499999999998</v>
      </c>
      <c r="AJ124" s="11"/>
      <c r="AK124" s="12"/>
      <c r="AL124" s="13">
        <v>200</v>
      </c>
      <c r="AM124" s="13">
        <f>+(159.54/AL124)</f>
        <v>0.79769999999999996</v>
      </c>
      <c r="AN124" s="13">
        <f>+(AG124+AI124)/AL124</f>
        <v>0.94362499999999983</v>
      </c>
      <c r="AO124" s="13"/>
      <c r="AP124" s="38">
        <v>10051905.43</v>
      </c>
      <c r="AQ124" s="15">
        <v>335593.98</v>
      </c>
      <c r="AR124" s="13" t="s">
        <v>38</v>
      </c>
      <c r="AS124" s="15" t="s">
        <v>657</v>
      </c>
      <c r="AT124" s="16">
        <v>45890</v>
      </c>
      <c r="AU124" s="17"/>
      <c r="AV124" s="55">
        <v>45866</v>
      </c>
      <c r="AW124" s="19"/>
      <c r="AX124" s="19"/>
      <c r="AY124" s="19"/>
      <c r="AZ124" s="19"/>
      <c r="BA124" s="19"/>
      <c r="BB124" s="19"/>
      <c r="BC124" s="19"/>
      <c r="BD124" s="19"/>
      <c r="BE124" s="19"/>
      <c r="BF124" s="19"/>
      <c r="BG124" s="19"/>
      <c r="BH124" s="20"/>
      <c r="BI124" s="20"/>
      <c r="BJ124" s="20"/>
      <c r="BK124" s="20"/>
      <c r="BL124" s="20"/>
      <c r="BM124" s="20"/>
      <c r="BN124" s="20"/>
      <c r="BO124" s="20"/>
      <c r="BP124" s="20"/>
      <c r="BQ124" s="20"/>
      <c r="BR124" s="20"/>
      <c r="BS124" s="20"/>
      <c r="BT124" s="20"/>
      <c r="BU124" s="20"/>
      <c r="BV124" s="20"/>
      <c r="BW124" s="20"/>
      <c r="IQ124" s="20"/>
      <c r="IR124" s="20"/>
      <c r="IS124" s="20"/>
      <c r="IT124" s="20"/>
      <c r="IU124" s="20"/>
      <c r="IV124" s="20"/>
      <c r="IW124" s="20"/>
    </row>
    <row r="125" spans="1:257" s="21" customFormat="1" ht="38.25">
      <c r="A125" s="112"/>
      <c r="B125" s="70">
        <v>119</v>
      </c>
      <c r="C125" s="68" t="s">
        <v>658</v>
      </c>
      <c r="D125" s="4">
        <v>45791</v>
      </c>
      <c r="E125" s="5" t="s">
        <v>32</v>
      </c>
      <c r="F125" s="6">
        <v>49163</v>
      </c>
      <c r="G125" s="6"/>
      <c r="H125" s="6">
        <v>1953</v>
      </c>
      <c r="I125" s="7"/>
      <c r="J125" s="7"/>
      <c r="K125" s="7">
        <v>486</v>
      </c>
      <c r="L125" s="7">
        <v>16</v>
      </c>
      <c r="M125" s="7" t="s">
        <v>452</v>
      </c>
      <c r="N125" s="7" t="s">
        <v>659</v>
      </c>
      <c r="O125" s="7" t="s">
        <v>660</v>
      </c>
      <c r="P125" s="7"/>
      <c r="Q125" s="7" t="s">
        <v>372</v>
      </c>
      <c r="R125" s="7"/>
      <c r="S125" s="7"/>
      <c r="T125" s="7"/>
      <c r="U125" s="7"/>
      <c r="V125" s="8">
        <v>1</v>
      </c>
      <c r="W125" s="7"/>
      <c r="X125" s="7"/>
      <c r="Y125" s="7" t="s">
        <v>661</v>
      </c>
      <c r="Z125" s="9"/>
      <c r="AA125" s="10"/>
      <c r="AB125" s="9"/>
      <c r="AC125" s="10"/>
      <c r="AD125" s="9"/>
      <c r="AE125" s="10"/>
      <c r="AF125" s="7"/>
      <c r="AG125" s="7"/>
      <c r="AH125" s="7"/>
      <c r="AI125" s="7"/>
      <c r="AJ125" s="11"/>
      <c r="AK125" s="12">
        <v>280.3</v>
      </c>
      <c r="AL125" s="13">
        <v>280.3</v>
      </c>
      <c r="AM125" s="13">
        <f>+AK125/AL125</f>
        <v>1</v>
      </c>
      <c r="AN125" s="13">
        <f>+AK125/AL125</f>
        <v>1</v>
      </c>
      <c r="AO125" s="13"/>
      <c r="AP125" s="13">
        <v>20049764.91</v>
      </c>
      <c r="AQ125" s="15">
        <v>355705.73</v>
      </c>
      <c r="AR125" s="13" t="s">
        <v>45</v>
      </c>
      <c r="AS125" s="15" t="s">
        <v>662</v>
      </c>
      <c r="AT125" s="16">
        <v>45891</v>
      </c>
      <c r="AU125" s="17"/>
      <c r="AV125" s="18" t="s">
        <v>663</v>
      </c>
      <c r="AW125" s="19"/>
      <c r="AX125" s="19"/>
      <c r="AY125" s="19"/>
      <c r="AZ125" s="19"/>
      <c r="BA125" s="19"/>
      <c r="BB125" s="19"/>
      <c r="BC125" s="19"/>
      <c r="BD125" s="19"/>
      <c r="BE125" s="19"/>
      <c r="BF125" s="19"/>
      <c r="BG125" s="19"/>
      <c r="BH125" s="20"/>
      <c r="BI125" s="20"/>
      <c r="BJ125" s="20"/>
      <c r="BK125" s="20"/>
      <c r="BL125" s="20"/>
      <c r="BM125" s="20"/>
      <c r="BN125" s="20"/>
      <c r="BO125" s="20"/>
      <c r="BP125" s="20"/>
      <c r="BQ125" s="20"/>
      <c r="BR125" s="20"/>
      <c r="BS125" s="20"/>
      <c r="BT125" s="20"/>
      <c r="BU125" s="20"/>
      <c r="BV125" s="20"/>
      <c r="BW125" s="20"/>
      <c r="IQ125" s="20"/>
      <c r="IR125" s="20"/>
      <c r="IS125" s="20"/>
      <c r="IT125" s="20"/>
      <c r="IU125" s="20"/>
      <c r="IV125" s="20"/>
      <c r="IW125" s="20"/>
    </row>
    <row r="126" spans="1:257" s="21" customFormat="1" ht="89.25">
      <c r="A126" s="112"/>
      <c r="B126" s="70">
        <v>120</v>
      </c>
      <c r="C126" s="68" t="s">
        <v>664</v>
      </c>
      <c r="D126" s="4">
        <v>45835</v>
      </c>
      <c r="E126" s="5" t="s">
        <v>32</v>
      </c>
      <c r="F126" s="6">
        <v>56050</v>
      </c>
      <c r="G126" s="6">
        <v>1365407</v>
      </c>
      <c r="H126" s="6">
        <v>10261</v>
      </c>
      <c r="I126" s="7"/>
      <c r="J126" s="7"/>
      <c r="K126" s="7">
        <v>747</v>
      </c>
      <c r="L126" s="7">
        <v>12</v>
      </c>
      <c r="M126" s="7" t="s">
        <v>33</v>
      </c>
      <c r="N126" s="7" t="s">
        <v>665</v>
      </c>
      <c r="O126" s="7" t="s">
        <v>666</v>
      </c>
      <c r="P126" s="7"/>
      <c r="Q126" s="7" t="s">
        <v>129</v>
      </c>
      <c r="R126" s="7"/>
      <c r="S126" s="7"/>
      <c r="T126" s="7"/>
      <c r="U126" s="7">
        <v>3</v>
      </c>
      <c r="V126" s="8"/>
      <c r="W126" s="7"/>
      <c r="X126" s="7"/>
      <c r="Y126" s="7" t="s">
        <v>67</v>
      </c>
      <c r="Z126" s="9">
        <f>2+1+1</f>
        <v>4</v>
      </c>
      <c r="AA126" s="10"/>
      <c r="AB126" s="9">
        <v>1</v>
      </c>
      <c r="AC126" s="10"/>
      <c r="AD126" s="9">
        <f>+Z126*2</f>
        <v>8</v>
      </c>
      <c r="AE126" s="10"/>
      <c r="AF126" s="7">
        <f>61.52+2.64/2</f>
        <v>62.84</v>
      </c>
      <c r="AG126" s="7"/>
      <c r="AH126" s="7">
        <f>38.25+10.09/2</f>
        <v>43.295000000000002</v>
      </c>
      <c r="AI126" s="7"/>
      <c r="AJ126" s="11"/>
      <c r="AK126" s="12"/>
      <c r="AL126" s="13">
        <v>133.28</v>
      </c>
      <c r="AM126" s="13">
        <f>+(61.52+2.64+18.75+3.94)/AL126</f>
        <v>0.65163565426170467</v>
      </c>
      <c r="AN126" s="13">
        <f>+(61.52+2.64/2+18.75+3.94/2+19.5+6.15/2)/AL126</f>
        <v>0.79633103241296521</v>
      </c>
      <c r="AO126" s="13"/>
      <c r="AP126" s="13">
        <f>+(8*369028+295139*4+6*221386+147611*5)/23*AH126</f>
        <v>11669227.936739132</v>
      </c>
      <c r="AQ126" s="15">
        <v>213518.88</v>
      </c>
      <c r="AR126" s="13" t="s">
        <v>38</v>
      </c>
      <c r="AS126" s="15" t="s">
        <v>667</v>
      </c>
      <c r="AT126" s="16">
        <v>45897</v>
      </c>
      <c r="AU126" s="17"/>
      <c r="AV126" s="18">
        <v>45895</v>
      </c>
      <c r="AW126" s="19"/>
      <c r="AX126" s="19"/>
      <c r="AY126" s="19"/>
      <c r="AZ126" s="19"/>
      <c r="BA126" s="19"/>
      <c r="BB126" s="19"/>
      <c r="BC126" s="19"/>
      <c r="BD126" s="19"/>
      <c r="BE126" s="19"/>
      <c r="BF126" s="19"/>
      <c r="BG126" s="19"/>
      <c r="BH126" s="20"/>
      <c r="BI126" s="20"/>
      <c r="BJ126" s="20"/>
      <c r="BK126" s="20"/>
      <c r="BL126" s="20"/>
      <c r="BM126" s="20"/>
      <c r="BN126" s="20"/>
      <c r="BO126" s="20"/>
      <c r="BP126" s="20"/>
      <c r="BQ126" s="20"/>
      <c r="BR126" s="20"/>
      <c r="BS126" s="20"/>
      <c r="BT126" s="20"/>
      <c r="BU126" s="20"/>
      <c r="BV126" s="20"/>
      <c r="BW126" s="20"/>
      <c r="IQ126" s="20"/>
      <c r="IR126" s="20"/>
      <c r="IS126" s="20"/>
      <c r="IT126" s="20"/>
      <c r="IU126" s="20"/>
      <c r="IV126" s="20"/>
      <c r="IW126" s="20"/>
    </row>
    <row r="127" spans="1:257" s="21" customFormat="1" ht="63.75">
      <c r="A127" s="123"/>
      <c r="B127" s="70">
        <v>121</v>
      </c>
      <c r="C127" s="68" t="s">
        <v>668</v>
      </c>
      <c r="D127" s="4">
        <v>45796</v>
      </c>
      <c r="E127" s="5" t="s">
        <v>268</v>
      </c>
      <c r="F127" s="6"/>
      <c r="G127" s="6">
        <v>103976</v>
      </c>
      <c r="H127" s="6">
        <v>1122</v>
      </c>
      <c r="I127" s="7"/>
      <c r="J127" s="7"/>
      <c r="K127" s="7">
        <v>215</v>
      </c>
      <c r="L127" s="7">
        <v>1</v>
      </c>
      <c r="M127" s="7" t="s">
        <v>57</v>
      </c>
      <c r="N127" s="7" t="s">
        <v>669</v>
      </c>
      <c r="O127" s="7" t="s">
        <v>670</v>
      </c>
      <c r="P127" s="7"/>
      <c r="Q127" s="7" t="s">
        <v>366</v>
      </c>
      <c r="R127" s="7" t="s">
        <v>366</v>
      </c>
      <c r="S127" s="7" t="s">
        <v>366</v>
      </c>
      <c r="T127" s="7" t="s">
        <v>367</v>
      </c>
      <c r="U127" s="7">
        <v>4</v>
      </c>
      <c r="V127" s="8"/>
      <c r="W127" s="7"/>
      <c r="X127" s="7"/>
      <c r="Y127" s="7" t="s">
        <v>67</v>
      </c>
      <c r="Z127" s="9">
        <f>3*4</f>
        <v>12</v>
      </c>
      <c r="AA127" s="10"/>
      <c r="AB127" s="9">
        <f>+Z127+4</f>
        <v>16</v>
      </c>
      <c r="AC127" s="10"/>
      <c r="AD127" s="9">
        <f>+Z127*2</f>
        <v>24</v>
      </c>
      <c r="AE127" s="10"/>
      <c r="AF127" s="7"/>
      <c r="AG127" s="7"/>
      <c r="AH127" s="7">
        <f>211+211</f>
        <v>422</v>
      </c>
      <c r="AI127" s="7"/>
      <c r="AJ127" s="11"/>
      <c r="AK127" s="12"/>
      <c r="AL127" s="13">
        <v>385.38</v>
      </c>
      <c r="AM127" s="13">
        <f>211/AL127</f>
        <v>0.54751154704447558</v>
      </c>
      <c r="AN127" s="13">
        <f>+AH127/AL127</f>
        <v>1.0950230940889512</v>
      </c>
      <c r="AO127" s="13"/>
      <c r="AP127" s="13">
        <f>+(5*330729+8*254509+198410*6+132292)/20*AH127</f>
        <v>105763095.90000001</v>
      </c>
      <c r="AQ127" s="15">
        <v>96137.1</v>
      </c>
      <c r="AR127" s="13" t="s">
        <v>45</v>
      </c>
      <c r="AS127" s="15" t="s">
        <v>671</v>
      </c>
      <c r="AT127" s="16">
        <v>45897</v>
      </c>
      <c r="AU127" s="17"/>
      <c r="AV127" s="18">
        <v>45896</v>
      </c>
      <c r="AW127" s="19"/>
      <c r="AX127" s="19"/>
      <c r="AY127" s="19"/>
      <c r="AZ127" s="19"/>
      <c r="BA127" s="19"/>
      <c r="BB127" s="19"/>
      <c r="BC127" s="19"/>
      <c r="BD127" s="19"/>
      <c r="BE127" s="19"/>
      <c r="BF127" s="19"/>
      <c r="BG127" s="19"/>
      <c r="BH127" s="20"/>
      <c r="BI127" s="20"/>
      <c r="BJ127" s="20"/>
      <c r="BK127" s="20"/>
      <c r="BL127" s="20"/>
      <c r="BM127" s="20"/>
      <c r="BN127" s="20"/>
      <c r="BO127" s="20"/>
      <c r="BP127" s="20"/>
      <c r="BQ127" s="20"/>
      <c r="BR127" s="20"/>
      <c r="BS127" s="20"/>
      <c r="BT127" s="20"/>
      <c r="BU127" s="20"/>
      <c r="BV127" s="20"/>
      <c r="BW127" s="20"/>
      <c r="IQ127" s="20"/>
      <c r="IR127" s="20"/>
      <c r="IS127" s="20"/>
      <c r="IT127" s="20"/>
      <c r="IU127" s="20"/>
      <c r="IV127" s="20"/>
      <c r="IW127" s="20"/>
    </row>
    <row r="128" spans="1:257" s="21" customFormat="1" ht="76.5">
      <c r="A128" s="111" t="s">
        <v>672</v>
      </c>
      <c r="B128" s="115">
        <v>122</v>
      </c>
      <c r="C128" s="68" t="s">
        <v>673</v>
      </c>
      <c r="D128" s="4">
        <v>45825</v>
      </c>
      <c r="E128" s="5" t="s">
        <v>48</v>
      </c>
      <c r="F128" s="6">
        <v>9075</v>
      </c>
      <c r="G128" s="6">
        <v>123</v>
      </c>
      <c r="H128" s="6">
        <v>4392</v>
      </c>
      <c r="I128" s="7"/>
      <c r="J128" s="7"/>
      <c r="K128" s="7">
        <v>140</v>
      </c>
      <c r="L128" s="7">
        <v>18</v>
      </c>
      <c r="M128" s="7" t="s">
        <v>57</v>
      </c>
      <c r="N128" s="7" t="s">
        <v>674</v>
      </c>
      <c r="O128" s="7" t="s">
        <v>675</v>
      </c>
      <c r="P128" s="7"/>
      <c r="Q128" s="7" t="s">
        <v>44</v>
      </c>
      <c r="R128" s="7" t="s">
        <v>44</v>
      </c>
      <c r="S128" s="7" t="s">
        <v>44</v>
      </c>
      <c r="T128" s="7" t="s">
        <v>84</v>
      </c>
      <c r="U128" s="7"/>
      <c r="V128" s="8">
        <v>1</v>
      </c>
      <c r="W128" s="7"/>
      <c r="X128" s="7"/>
      <c r="Y128" s="7" t="s">
        <v>676</v>
      </c>
      <c r="Z128" s="9"/>
      <c r="AA128" s="10"/>
      <c r="AB128" s="9"/>
      <c r="AC128" s="10"/>
      <c r="AD128" s="9"/>
      <c r="AE128" s="10"/>
      <c r="AF128" s="7"/>
      <c r="AG128" s="7"/>
      <c r="AH128" s="7"/>
      <c r="AI128" s="7"/>
      <c r="AJ128" s="11"/>
      <c r="AK128" s="12">
        <f>55.34+7.03/2</f>
        <v>58.855000000000004</v>
      </c>
      <c r="AL128" s="13">
        <v>547.83000000000004</v>
      </c>
      <c r="AM128" s="13">
        <f>+(55.34+7.03)/AL128</f>
        <v>0.11384918679152292</v>
      </c>
      <c r="AN128" s="13">
        <f>+AK128/AL128</f>
        <v>0.10743296278042458</v>
      </c>
      <c r="AO128" s="13"/>
      <c r="AP128" s="13">
        <f>+AK128*293457</f>
        <v>17271411.734999999</v>
      </c>
      <c r="AQ128" s="15">
        <v>271825.65000000002</v>
      </c>
      <c r="AR128" s="13" t="s">
        <v>45</v>
      </c>
      <c r="AS128" s="15" t="s">
        <v>677</v>
      </c>
      <c r="AT128" s="16">
        <v>45903</v>
      </c>
      <c r="AU128" s="17"/>
      <c r="AV128" s="18" t="s">
        <v>678</v>
      </c>
      <c r="AW128" s="19"/>
      <c r="AX128" s="19"/>
      <c r="AY128" s="19"/>
      <c r="AZ128" s="19"/>
      <c r="BA128" s="19"/>
      <c r="BB128" s="19"/>
      <c r="BC128" s="19"/>
      <c r="BD128" s="19"/>
      <c r="BE128" s="19"/>
      <c r="BF128" s="19"/>
      <c r="BG128" s="19"/>
      <c r="BH128" s="20"/>
      <c r="BI128" s="20"/>
      <c r="BJ128" s="20"/>
      <c r="BK128" s="20"/>
      <c r="BL128" s="20"/>
      <c r="BM128" s="20"/>
      <c r="BN128" s="20"/>
      <c r="BO128" s="20"/>
      <c r="BP128" s="20"/>
      <c r="BQ128" s="20"/>
      <c r="BR128" s="20"/>
      <c r="BS128" s="20"/>
      <c r="BT128" s="20"/>
      <c r="BU128" s="20"/>
      <c r="BV128" s="20"/>
      <c r="BW128" s="20"/>
      <c r="IQ128" s="20"/>
      <c r="IR128" s="20"/>
      <c r="IS128" s="20"/>
      <c r="IT128" s="20"/>
      <c r="IU128" s="20"/>
      <c r="IV128" s="20"/>
      <c r="IW128" s="20"/>
    </row>
    <row r="129" spans="1:257" s="21" customFormat="1" ht="51">
      <c r="A129" s="75"/>
      <c r="B129" s="115">
        <v>123</v>
      </c>
      <c r="C129" s="68" t="s">
        <v>679</v>
      </c>
      <c r="D129" s="4">
        <v>45853</v>
      </c>
      <c r="E129" s="5" t="s">
        <v>98</v>
      </c>
      <c r="F129" s="6">
        <v>5911</v>
      </c>
      <c r="G129" s="6">
        <v>101906</v>
      </c>
      <c r="H129" s="6">
        <v>2479</v>
      </c>
      <c r="I129" s="7"/>
      <c r="J129" s="7"/>
      <c r="K129" s="7">
        <v>119</v>
      </c>
      <c r="L129" s="7">
        <v>4</v>
      </c>
      <c r="M129" s="7" t="s">
        <v>33</v>
      </c>
      <c r="N129" s="7" t="s">
        <v>680</v>
      </c>
      <c r="O129" s="7" t="s">
        <v>681</v>
      </c>
      <c r="P129" s="7" t="s">
        <v>682</v>
      </c>
      <c r="Q129" s="7" t="s">
        <v>683</v>
      </c>
      <c r="R129" s="7" t="s">
        <v>683</v>
      </c>
      <c r="S129" s="7" t="s">
        <v>683</v>
      </c>
      <c r="T129" s="7" t="s">
        <v>159</v>
      </c>
      <c r="U129" s="7"/>
      <c r="V129" s="8"/>
      <c r="W129" s="7">
        <v>1</v>
      </c>
      <c r="X129" s="7"/>
      <c r="Y129" s="7" t="s">
        <v>684</v>
      </c>
      <c r="Z129" s="9"/>
      <c r="AA129" s="10"/>
      <c r="AB129" s="9"/>
      <c r="AC129" s="10"/>
      <c r="AD129" s="9"/>
      <c r="AE129" s="10"/>
      <c r="AF129" s="7"/>
      <c r="AG129" s="7">
        <f>187+3/2</f>
        <v>188.5</v>
      </c>
      <c r="AH129" s="7"/>
      <c r="AI129" s="7"/>
      <c r="AJ129" s="11"/>
      <c r="AK129" s="12">
        <f>6.75+(13.1-3)</f>
        <v>16.850000000000001</v>
      </c>
      <c r="AL129" s="13">
        <v>353.52</v>
      </c>
      <c r="AM129" s="13">
        <f>+(187+6.75+13.1/2)/AL129</f>
        <v>0.56658746322697451</v>
      </c>
      <c r="AN129" s="13">
        <f>+(187+6.75+13.1)/AL129</f>
        <v>0.58511541072640871</v>
      </c>
      <c r="AO129" s="13"/>
      <c r="AP129" s="13">
        <v>12500000</v>
      </c>
      <c r="AQ129" s="15">
        <v>77166</v>
      </c>
      <c r="AR129" s="13" t="s">
        <v>45</v>
      </c>
      <c r="AS129" s="15" t="s">
        <v>685</v>
      </c>
      <c r="AT129" s="16">
        <v>45922</v>
      </c>
      <c r="AU129" s="17"/>
      <c r="AV129" s="18" t="s">
        <v>686</v>
      </c>
      <c r="AW129" s="19"/>
      <c r="AX129" s="19"/>
      <c r="AY129" s="19"/>
      <c r="AZ129" s="19"/>
      <c r="BA129" s="19"/>
      <c r="BB129" s="19"/>
      <c r="BC129" s="19"/>
      <c r="BD129" s="19"/>
      <c r="BE129" s="19"/>
      <c r="BF129" s="19"/>
      <c r="BG129" s="19"/>
      <c r="BH129" s="20"/>
      <c r="BI129" s="20"/>
      <c r="BJ129" s="20"/>
      <c r="BK129" s="20"/>
      <c r="BL129" s="20"/>
      <c r="BM129" s="20"/>
      <c r="BN129" s="20"/>
      <c r="BO129" s="20"/>
      <c r="BP129" s="20"/>
      <c r="BQ129" s="20"/>
      <c r="BR129" s="20"/>
      <c r="BS129" s="20"/>
      <c r="BT129" s="20"/>
      <c r="BU129" s="20"/>
      <c r="BV129" s="20"/>
      <c r="BW129" s="20"/>
      <c r="IQ129" s="20"/>
      <c r="IR129" s="20"/>
      <c r="IS129" s="20"/>
      <c r="IT129" s="20"/>
      <c r="IU129" s="20"/>
      <c r="IV129" s="20"/>
      <c r="IW129" s="20"/>
    </row>
    <row r="130" spans="1:257" s="21" customFormat="1" ht="63.75">
      <c r="A130" s="75"/>
      <c r="B130" s="115">
        <v>124</v>
      </c>
      <c r="C130" s="68" t="s">
        <v>687</v>
      </c>
      <c r="D130" s="4">
        <v>45806</v>
      </c>
      <c r="E130" s="5" t="s">
        <v>268</v>
      </c>
      <c r="F130" s="6">
        <v>-1</v>
      </c>
      <c r="G130" s="6">
        <v>169141</v>
      </c>
      <c r="H130" s="6">
        <v>34057</v>
      </c>
      <c r="I130" s="7"/>
      <c r="J130" s="7"/>
      <c r="K130" s="7"/>
      <c r="L130" s="7">
        <v>158</v>
      </c>
      <c r="M130" s="7" t="s">
        <v>41</v>
      </c>
      <c r="N130" s="7" t="s">
        <v>688</v>
      </c>
      <c r="O130" s="7" t="s">
        <v>610</v>
      </c>
      <c r="P130" s="7"/>
      <c r="Q130" s="7" t="s">
        <v>610</v>
      </c>
      <c r="R130" s="7"/>
      <c r="S130" s="7"/>
      <c r="T130" s="7"/>
      <c r="U130" s="7">
        <v>2</v>
      </c>
      <c r="V130" s="8"/>
      <c r="W130" s="7"/>
      <c r="X130" s="7"/>
      <c r="Y130" s="7" t="s">
        <v>67</v>
      </c>
      <c r="Z130" s="9">
        <f>2+2</f>
        <v>4</v>
      </c>
      <c r="AA130" s="10"/>
      <c r="AB130" s="9">
        <f>+Z130+1+1</f>
        <v>6</v>
      </c>
      <c r="AC130" s="10"/>
      <c r="AD130" s="9">
        <f>+Z130*2</f>
        <v>8</v>
      </c>
      <c r="AE130" s="10"/>
      <c r="AF130" s="7">
        <f>116.3+10.74/2</f>
        <v>121.67</v>
      </c>
      <c r="AG130" s="7"/>
      <c r="AH130" s="7">
        <f>0.75+46.72/2</f>
        <v>24.11</v>
      </c>
      <c r="AI130" s="7"/>
      <c r="AJ130" s="11"/>
      <c r="AK130" s="12"/>
      <c r="AL130" s="13">
        <v>446.88</v>
      </c>
      <c r="AM130" s="13">
        <f>+(116.3+10.74+0.75+46.72)/AL130</f>
        <v>0.39050751879699247</v>
      </c>
      <c r="AN130" s="13">
        <f>+(AF130+AH130)/AL130</f>
        <v>0.32621732903687789</v>
      </c>
      <c r="AO130" s="13"/>
      <c r="AP130" s="13">
        <f>+(2*366925+293457*4+13*220124+146770*2)/21*AH130</f>
        <v>5812611.0142857144</v>
      </c>
      <c r="AQ130" s="15">
        <v>119729.81</v>
      </c>
      <c r="AR130" s="13" t="s">
        <v>45</v>
      </c>
      <c r="AS130" s="15" t="s">
        <v>689</v>
      </c>
      <c r="AT130" s="16">
        <v>45910</v>
      </c>
      <c r="AU130" s="17"/>
      <c r="AV130" s="18">
        <v>45905</v>
      </c>
      <c r="AW130" s="19"/>
      <c r="AX130" s="19"/>
      <c r="AY130" s="19"/>
      <c r="AZ130" s="19"/>
      <c r="BA130" s="19"/>
      <c r="BB130" s="19"/>
      <c r="BC130" s="19"/>
      <c r="BD130" s="19"/>
      <c r="BE130" s="19"/>
      <c r="BF130" s="19"/>
      <c r="BG130" s="19"/>
      <c r="BH130" s="20"/>
      <c r="BI130" s="20"/>
      <c r="BJ130" s="20"/>
      <c r="BK130" s="20"/>
      <c r="BL130" s="20"/>
      <c r="BM130" s="20"/>
      <c r="BN130" s="20"/>
      <c r="BO130" s="20"/>
      <c r="BP130" s="20"/>
      <c r="BQ130" s="20"/>
      <c r="BR130" s="20"/>
      <c r="BS130" s="20"/>
      <c r="BT130" s="20"/>
      <c r="BU130" s="20"/>
      <c r="BV130" s="20"/>
      <c r="BW130" s="20"/>
      <c r="IQ130" s="20"/>
      <c r="IR130" s="20"/>
      <c r="IS130" s="20"/>
      <c r="IT130" s="20"/>
      <c r="IU130" s="20"/>
      <c r="IV130" s="20"/>
      <c r="IW130" s="20"/>
    </row>
    <row r="131" spans="1:257" s="21" customFormat="1" ht="63.75">
      <c r="A131" s="75"/>
      <c r="B131" s="115">
        <v>125</v>
      </c>
      <c r="C131" s="68">
        <v>575616</v>
      </c>
      <c r="D131" s="4">
        <v>45909</v>
      </c>
      <c r="E131" s="5" t="s">
        <v>32</v>
      </c>
      <c r="F131" s="6">
        <v>51011</v>
      </c>
      <c r="G131" s="6">
        <v>160894</v>
      </c>
      <c r="H131" s="6">
        <v>9651</v>
      </c>
      <c r="I131" s="7"/>
      <c r="J131" s="7"/>
      <c r="K131" s="7">
        <v>302</v>
      </c>
      <c r="L131" s="7">
        <v>19</v>
      </c>
      <c r="M131" s="7" t="s">
        <v>33</v>
      </c>
      <c r="N131" s="7" t="s">
        <v>690</v>
      </c>
      <c r="O131" s="7" t="s">
        <v>691</v>
      </c>
      <c r="P131" s="7"/>
      <c r="Q131" s="7" t="s">
        <v>78</v>
      </c>
      <c r="R131" s="7"/>
      <c r="S131" s="7"/>
      <c r="T131" s="7"/>
      <c r="U131" s="7">
        <v>1</v>
      </c>
      <c r="V131" s="8"/>
      <c r="W131" s="7"/>
      <c r="X131" s="7"/>
      <c r="Y131" s="7" t="s">
        <v>37</v>
      </c>
      <c r="Z131" s="9">
        <f>1+1</f>
        <v>2</v>
      </c>
      <c r="AA131" s="10"/>
      <c r="AB131" s="9">
        <f>+Z131+1+1</f>
        <v>4</v>
      </c>
      <c r="AC131" s="10"/>
      <c r="AD131" s="9">
        <f>+Z131*2</f>
        <v>4</v>
      </c>
      <c r="AE131" s="10"/>
      <c r="AF131" s="7"/>
      <c r="AG131" s="7"/>
      <c r="AH131" s="7">
        <f>35.54+20.85/2+53.73+3.18/2</f>
        <v>101.285</v>
      </c>
      <c r="AI131" s="7"/>
      <c r="AJ131" s="11"/>
      <c r="AK131" s="12"/>
      <c r="AL131" s="13">
        <v>162.5</v>
      </c>
      <c r="AM131" s="13">
        <f>+(35.54+20.85)/AL131</f>
        <v>0.34701538461538461</v>
      </c>
      <c r="AN131" s="13">
        <f>+AH131/AL131</f>
        <v>0.6232923076923077</v>
      </c>
      <c r="AO131" s="13"/>
      <c r="AP131" s="13">
        <f>+(6*366925+293457*6+220124*6+146770*3)/21*AH131</f>
        <v>27604242.838571429</v>
      </c>
      <c r="AQ131" s="15">
        <v>384794.61</v>
      </c>
      <c r="AR131" s="13" t="s">
        <v>38</v>
      </c>
      <c r="AS131" s="15" t="s">
        <v>692</v>
      </c>
      <c r="AT131" s="16">
        <v>45917</v>
      </c>
      <c r="AU131" s="17"/>
      <c r="AV131" s="18">
        <v>45910</v>
      </c>
      <c r="AW131" s="19"/>
      <c r="AX131" s="19"/>
      <c r="AY131" s="19"/>
      <c r="AZ131" s="19"/>
      <c r="BA131" s="19"/>
      <c r="BB131" s="19"/>
      <c r="BC131" s="19"/>
      <c r="BD131" s="19"/>
      <c r="BE131" s="19"/>
      <c r="BF131" s="19"/>
      <c r="BG131" s="19"/>
      <c r="BH131" s="20"/>
      <c r="BI131" s="20"/>
      <c r="BJ131" s="20"/>
      <c r="BK131" s="20"/>
      <c r="BL131" s="20"/>
      <c r="BM131" s="20"/>
      <c r="BN131" s="20"/>
      <c r="BO131" s="20"/>
      <c r="BP131" s="20"/>
      <c r="BQ131" s="20"/>
      <c r="BR131" s="20"/>
      <c r="BS131" s="20"/>
      <c r="BT131" s="20"/>
      <c r="BU131" s="20"/>
      <c r="BV131" s="20"/>
      <c r="BW131" s="20"/>
      <c r="IQ131" s="20"/>
      <c r="IR131" s="20"/>
      <c r="IS131" s="20"/>
      <c r="IT131" s="20"/>
      <c r="IU131" s="20"/>
      <c r="IV131" s="20"/>
      <c r="IW131" s="20"/>
    </row>
    <row r="132" spans="1:257" s="21" customFormat="1" ht="25.5" customHeight="1">
      <c r="A132" s="75"/>
      <c r="B132" s="149">
        <v>126</v>
      </c>
      <c r="C132" s="146">
        <v>573366</v>
      </c>
      <c r="D132" s="144">
        <v>45812</v>
      </c>
      <c r="E132" s="5" t="s">
        <v>402</v>
      </c>
      <c r="F132" s="6">
        <v>4661</v>
      </c>
      <c r="G132" s="6">
        <v>1221</v>
      </c>
      <c r="H132" s="6">
        <v>849</v>
      </c>
      <c r="I132" s="7"/>
      <c r="J132" s="7"/>
      <c r="K132" s="77">
        <v>225</v>
      </c>
      <c r="L132" s="7">
        <v>10</v>
      </c>
      <c r="M132" s="7" t="s">
        <v>57</v>
      </c>
      <c r="N132" s="7" t="s">
        <v>693</v>
      </c>
      <c r="O132" s="77" t="s">
        <v>694</v>
      </c>
      <c r="P132" s="7"/>
      <c r="Q132" s="77" t="s">
        <v>36</v>
      </c>
      <c r="R132" s="77" t="s">
        <v>36</v>
      </c>
      <c r="S132" s="77" t="s">
        <v>36</v>
      </c>
      <c r="T132" s="77" t="s">
        <v>114</v>
      </c>
      <c r="U132" s="7"/>
      <c r="V132" s="78">
        <v>1</v>
      </c>
      <c r="W132" s="7"/>
      <c r="X132" s="7"/>
      <c r="Y132" s="77" t="s">
        <v>695</v>
      </c>
      <c r="Z132" s="9"/>
      <c r="AA132" s="10">
        <f>+(1+1+2)*3</f>
        <v>12</v>
      </c>
      <c r="AB132" s="9"/>
      <c r="AC132" s="10">
        <f>+AA132+3</f>
        <v>15</v>
      </c>
      <c r="AD132" s="9"/>
      <c r="AE132" s="10">
        <f>+AA132*2</f>
        <v>24</v>
      </c>
      <c r="AF132" s="7"/>
      <c r="AG132" s="7"/>
      <c r="AH132" s="7"/>
      <c r="AI132" s="7"/>
      <c r="AJ132" s="11">
        <v>663.76</v>
      </c>
      <c r="AK132" s="12"/>
      <c r="AL132" s="13">
        <v>203.1</v>
      </c>
      <c r="AM132" s="13"/>
      <c r="AN132" s="13"/>
      <c r="AO132" s="13"/>
      <c r="AP132" s="83">
        <f>887756*AJ132</f>
        <v>589256922.55999994</v>
      </c>
      <c r="AQ132" s="77">
        <v>8991477.3200000003</v>
      </c>
      <c r="AR132" s="83" t="s">
        <v>38</v>
      </c>
      <c r="AS132" s="77" t="s">
        <v>696</v>
      </c>
      <c r="AT132" s="86">
        <v>45919</v>
      </c>
      <c r="AU132" s="17"/>
      <c r="AV132" s="147" t="s">
        <v>697</v>
      </c>
      <c r="AW132" s="19"/>
      <c r="AX132" s="19"/>
      <c r="AY132" s="19"/>
      <c r="AZ132" s="19"/>
      <c r="BA132" s="19"/>
      <c r="BB132" s="19"/>
      <c r="BC132" s="19"/>
      <c r="BD132" s="19"/>
      <c r="BE132" s="19"/>
      <c r="BF132" s="19"/>
      <c r="BG132" s="19"/>
      <c r="BH132" s="20"/>
      <c r="BI132" s="20"/>
      <c r="BJ132" s="20"/>
      <c r="BK132" s="20"/>
      <c r="BL132" s="20"/>
      <c r="BM132" s="20"/>
      <c r="BN132" s="20"/>
      <c r="BO132" s="20"/>
      <c r="BP132" s="20"/>
      <c r="BQ132" s="20"/>
      <c r="BR132" s="20"/>
      <c r="BS132" s="20"/>
      <c r="BT132" s="20"/>
      <c r="BU132" s="20"/>
      <c r="BV132" s="20"/>
      <c r="BW132" s="20"/>
      <c r="IQ132" s="20"/>
      <c r="IR132" s="20"/>
      <c r="IS132" s="20"/>
      <c r="IT132" s="20"/>
      <c r="IU132" s="20"/>
      <c r="IV132" s="20"/>
      <c r="IW132" s="20"/>
    </row>
    <row r="133" spans="1:257" s="21" customFormat="1" ht="25.5" customHeight="1">
      <c r="A133" s="75"/>
      <c r="B133" s="167"/>
      <c r="C133" s="164"/>
      <c r="D133" s="164"/>
      <c r="E133" s="5" t="s">
        <v>402</v>
      </c>
      <c r="F133" s="6">
        <v>34121</v>
      </c>
      <c r="G133" s="6">
        <v>134112</v>
      </c>
      <c r="H133" s="6">
        <v>7251</v>
      </c>
      <c r="I133" s="7"/>
      <c r="J133" s="7"/>
      <c r="K133" s="164"/>
      <c r="L133" s="7">
        <v>9</v>
      </c>
      <c r="M133" s="7" t="s">
        <v>57</v>
      </c>
      <c r="N133" s="7" t="s">
        <v>698</v>
      </c>
      <c r="O133" s="164"/>
      <c r="P133" s="7"/>
      <c r="Q133" s="164"/>
      <c r="R133" s="164"/>
      <c r="S133" s="164"/>
      <c r="T133" s="164"/>
      <c r="U133" s="7"/>
      <c r="V133" s="164"/>
      <c r="W133" s="7"/>
      <c r="X133" s="7"/>
      <c r="Y133" s="164"/>
      <c r="Z133" s="9"/>
      <c r="AA133" s="10">
        <v>16</v>
      </c>
      <c r="AB133" s="9"/>
      <c r="AC133" s="10">
        <v>17</v>
      </c>
      <c r="AD133" s="9"/>
      <c r="AE133" s="10">
        <f>+AA133*2</f>
        <v>32</v>
      </c>
      <c r="AF133" s="7"/>
      <c r="AG133" s="7"/>
      <c r="AH133" s="7">
        <f>1460.36+12.88/2</f>
        <v>1466.8</v>
      </c>
      <c r="AI133" s="7"/>
      <c r="AJ133" s="11"/>
      <c r="AK133" s="12"/>
      <c r="AL133" s="13">
        <v>498.6</v>
      </c>
      <c r="AM133" s="13"/>
      <c r="AN133" s="13"/>
      <c r="AO133" s="13"/>
      <c r="AP133" s="164"/>
      <c r="AQ133" s="164"/>
      <c r="AR133" s="164"/>
      <c r="AS133" s="164"/>
      <c r="AT133" s="164"/>
      <c r="AU133" s="17"/>
      <c r="AV133" s="164"/>
      <c r="AW133" s="19"/>
      <c r="AX133" s="19"/>
      <c r="AY133" s="19"/>
      <c r="AZ133" s="19"/>
      <c r="BA133" s="19"/>
      <c r="BB133" s="19"/>
      <c r="BC133" s="19"/>
      <c r="BD133" s="19"/>
      <c r="BE133" s="19"/>
      <c r="BF133" s="19"/>
      <c r="BG133" s="19"/>
      <c r="BH133" s="20"/>
      <c r="BI133" s="20"/>
      <c r="BJ133" s="20"/>
      <c r="BK133" s="20"/>
      <c r="BL133" s="20"/>
      <c r="BM133" s="20"/>
      <c r="BN133" s="20"/>
      <c r="BO133" s="20"/>
      <c r="BP133" s="20"/>
      <c r="BQ133" s="20"/>
      <c r="BR133" s="20"/>
      <c r="BS133" s="20"/>
      <c r="BT133" s="20"/>
      <c r="BU133" s="20"/>
      <c r="BV133" s="20"/>
      <c r="BW133" s="20"/>
      <c r="IQ133" s="20"/>
      <c r="IR133" s="20"/>
      <c r="IS133" s="20"/>
      <c r="IT133" s="20"/>
      <c r="IU133" s="20"/>
      <c r="IV133" s="20"/>
      <c r="IW133" s="20"/>
    </row>
    <row r="134" spans="1:257" s="21" customFormat="1" ht="51">
      <c r="A134" s="75"/>
      <c r="B134" s="115">
        <v>127</v>
      </c>
      <c r="C134" s="68">
        <v>574548</v>
      </c>
      <c r="D134" s="4">
        <v>45867</v>
      </c>
      <c r="E134" s="5" t="s">
        <v>32</v>
      </c>
      <c r="F134" s="6">
        <v>49823</v>
      </c>
      <c r="G134" s="6">
        <v>159974</v>
      </c>
      <c r="H134" s="6">
        <v>32520</v>
      </c>
      <c r="I134" s="7">
        <v>111</v>
      </c>
      <c r="J134" s="7"/>
      <c r="K134" s="7">
        <v>8</v>
      </c>
      <c r="L134" s="7">
        <v>3</v>
      </c>
      <c r="M134" s="7" t="s">
        <v>41</v>
      </c>
      <c r="N134" s="7" t="s">
        <v>76</v>
      </c>
      <c r="O134" s="7" t="s">
        <v>699</v>
      </c>
      <c r="P134" s="7"/>
      <c r="Q134" s="7" t="s">
        <v>257</v>
      </c>
      <c r="R134" s="7"/>
      <c r="S134" s="7"/>
      <c r="T134" s="7"/>
      <c r="U134" s="7">
        <v>1</v>
      </c>
      <c r="V134" s="8"/>
      <c r="W134" s="7"/>
      <c r="X134" s="7"/>
      <c r="Y134" s="7" t="s">
        <v>37</v>
      </c>
      <c r="Z134" s="9">
        <v>1</v>
      </c>
      <c r="AA134" s="10"/>
      <c r="AB134" s="9">
        <f>+Z134+1</f>
        <v>2</v>
      </c>
      <c r="AC134" s="10"/>
      <c r="AD134" s="9">
        <f>+Z134*2</f>
        <v>2</v>
      </c>
      <c r="AE134" s="10"/>
      <c r="AF134" s="7"/>
      <c r="AG134" s="7"/>
      <c r="AH134" s="7">
        <f>124.95+68.9/2</f>
        <v>159.4</v>
      </c>
      <c r="AI134" s="7"/>
      <c r="AJ134" s="11"/>
      <c r="AK134" s="12"/>
      <c r="AL134" s="13">
        <v>2360</v>
      </c>
      <c r="AM134" s="13">
        <f>+(124.95+68.9)/AL134</f>
        <v>8.2139830508474593E-2</v>
      </c>
      <c r="AN134" s="13">
        <f>+AH134/AL134</f>
        <v>6.7542372881355936E-2</v>
      </c>
      <c r="AO134" s="13"/>
      <c r="AP134" s="13">
        <f>1450000+((10*293457+220124*7+3*146770)/20*AH134)</f>
        <v>40628511.560000002</v>
      </c>
      <c r="AQ134" s="15">
        <v>649039.71</v>
      </c>
      <c r="AR134" s="13" t="s">
        <v>45</v>
      </c>
      <c r="AS134" s="15" t="s">
        <v>700</v>
      </c>
      <c r="AT134" s="16">
        <v>45919</v>
      </c>
      <c r="AU134" s="17"/>
      <c r="AV134" s="18">
        <v>45905</v>
      </c>
      <c r="AW134" s="19"/>
      <c r="AX134" s="19"/>
      <c r="AY134" s="19"/>
      <c r="AZ134" s="19"/>
      <c r="BA134" s="19"/>
      <c r="BB134" s="19"/>
      <c r="BC134" s="19"/>
      <c r="BD134" s="19"/>
      <c r="BE134" s="19"/>
      <c r="BF134" s="19"/>
      <c r="BG134" s="19"/>
      <c r="BH134" s="20"/>
      <c r="BI134" s="20"/>
      <c r="BJ134" s="20"/>
      <c r="BK134" s="20"/>
      <c r="BL134" s="20"/>
      <c r="BM134" s="20"/>
      <c r="BN134" s="20"/>
      <c r="BO134" s="20"/>
      <c r="BP134" s="20"/>
      <c r="BQ134" s="20"/>
      <c r="BR134" s="20"/>
      <c r="BS134" s="20"/>
      <c r="BT134" s="20"/>
      <c r="BU134" s="20"/>
      <c r="BV134" s="20"/>
      <c r="BW134" s="20"/>
      <c r="IQ134" s="20"/>
      <c r="IR134" s="20"/>
      <c r="IS134" s="20"/>
      <c r="IT134" s="20"/>
      <c r="IU134" s="20"/>
      <c r="IV134" s="20"/>
      <c r="IW134" s="20"/>
    </row>
    <row r="135" spans="1:257" s="21" customFormat="1" ht="76.5">
      <c r="A135" s="75"/>
      <c r="B135" s="115">
        <v>128</v>
      </c>
      <c r="C135" s="68">
        <v>566652</v>
      </c>
      <c r="D135" s="4">
        <v>45583</v>
      </c>
      <c r="E135" s="5" t="s">
        <v>402</v>
      </c>
      <c r="F135" s="6">
        <v>37922</v>
      </c>
      <c r="G135" s="6">
        <v>137036</v>
      </c>
      <c r="H135" s="6">
        <v>7940</v>
      </c>
      <c r="I135" s="7"/>
      <c r="J135" s="7"/>
      <c r="K135" s="7">
        <v>141</v>
      </c>
      <c r="L135" s="7">
        <v>11</v>
      </c>
      <c r="M135" s="7" t="s">
        <v>57</v>
      </c>
      <c r="N135" s="7" t="s">
        <v>701</v>
      </c>
      <c r="O135" s="7" t="s">
        <v>702</v>
      </c>
      <c r="P135" s="7"/>
      <c r="Q135" s="7" t="s">
        <v>113</v>
      </c>
      <c r="R135" s="7" t="s">
        <v>113</v>
      </c>
      <c r="S135" s="7" t="s">
        <v>113</v>
      </c>
      <c r="T135" s="7" t="s">
        <v>703</v>
      </c>
      <c r="U135" s="7"/>
      <c r="V135" s="8">
        <v>1</v>
      </c>
      <c r="W135" s="7"/>
      <c r="X135" s="7"/>
      <c r="Y135" s="7" t="s">
        <v>37</v>
      </c>
      <c r="Z135" s="9"/>
      <c r="AA135" s="10"/>
      <c r="AB135" s="9"/>
      <c r="AC135" s="10"/>
      <c r="AD135" s="9"/>
      <c r="AE135" s="10"/>
      <c r="AF135" s="7"/>
      <c r="AG135" s="7"/>
      <c r="AH135" s="7"/>
      <c r="AI135" s="7"/>
      <c r="AJ135" s="11"/>
      <c r="AK135" s="12"/>
      <c r="AL135" s="13">
        <v>397.07</v>
      </c>
      <c r="AM135" s="13"/>
      <c r="AN135" s="13"/>
      <c r="AO135" s="13"/>
      <c r="AP135" s="13">
        <v>850000</v>
      </c>
      <c r="AQ135" s="15">
        <v>190206</v>
      </c>
      <c r="AR135" s="13" t="s">
        <v>45</v>
      </c>
      <c r="AS135" s="15" t="s">
        <v>704</v>
      </c>
      <c r="AT135" s="16">
        <v>45919</v>
      </c>
      <c r="AU135" s="17"/>
      <c r="AV135" s="18" t="s">
        <v>705</v>
      </c>
      <c r="AW135" s="19"/>
      <c r="AX135" s="19"/>
      <c r="AY135" s="19"/>
      <c r="AZ135" s="19"/>
      <c r="BA135" s="19"/>
      <c r="BB135" s="19"/>
      <c r="BC135" s="19"/>
      <c r="BD135" s="19"/>
      <c r="BE135" s="19"/>
      <c r="BF135" s="19"/>
      <c r="BG135" s="19"/>
      <c r="BH135" s="20"/>
      <c r="BI135" s="20"/>
      <c r="BJ135" s="20"/>
      <c r="BK135" s="20"/>
      <c r="BL135" s="20"/>
      <c r="BM135" s="20"/>
      <c r="BN135" s="20"/>
      <c r="BO135" s="20"/>
      <c r="BP135" s="20"/>
      <c r="BQ135" s="20"/>
      <c r="BR135" s="20"/>
      <c r="BS135" s="20"/>
      <c r="BT135" s="20"/>
      <c r="BU135" s="20"/>
      <c r="BV135" s="20"/>
      <c r="BW135" s="20"/>
      <c r="IQ135" s="20"/>
      <c r="IR135" s="20"/>
      <c r="IS135" s="20"/>
      <c r="IT135" s="20"/>
      <c r="IU135" s="20"/>
      <c r="IV135" s="20"/>
      <c r="IW135" s="20"/>
    </row>
    <row r="136" spans="1:257" s="21" customFormat="1" ht="38.25">
      <c r="A136" s="75"/>
      <c r="B136" s="115">
        <v>129</v>
      </c>
      <c r="C136" s="68" t="s">
        <v>706</v>
      </c>
      <c r="D136" s="4">
        <v>45853</v>
      </c>
      <c r="E136" s="5" t="s">
        <v>98</v>
      </c>
      <c r="F136" s="6">
        <v>22100</v>
      </c>
      <c r="G136" s="6">
        <v>102712</v>
      </c>
      <c r="H136" s="6">
        <v>101</v>
      </c>
      <c r="I136" s="7"/>
      <c r="J136" s="7"/>
      <c r="K136" s="7">
        <v>51</v>
      </c>
      <c r="L136" s="7">
        <v>14</v>
      </c>
      <c r="M136" s="7" t="s">
        <v>33</v>
      </c>
      <c r="N136" s="7" t="s">
        <v>707</v>
      </c>
      <c r="O136" s="7" t="s">
        <v>708</v>
      </c>
      <c r="P136" s="7"/>
      <c r="Q136" s="7" t="s">
        <v>134</v>
      </c>
      <c r="R136" s="7" t="s">
        <v>134</v>
      </c>
      <c r="S136" s="7" t="s">
        <v>134</v>
      </c>
      <c r="T136" s="7" t="s">
        <v>709</v>
      </c>
      <c r="U136" s="7"/>
      <c r="V136" s="8"/>
      <c r="W136" s="7">
        <v>1</v>
      </c>
      <c r="X136" s="7"/>
      <c r="Y136" s="7" t="s">
        <v>37</v>
      </c>
      <c r="Z136" s="9"/>
      <c r="AA136" s="10">
        <v>2</v>
      </c>
      <c r="AB136" s="9"/>
      <c r="AC136" s="10">
        <f>+AA136+1+1</f>
        <v>4</v>
      </c>
      <c r="AD136" s="9"/>
      <c r="AE136" s="10">
        <f>+AA136*2</f>
        <v>4</v>
      </c>
      <c r="AF136" s="7"/>
      <c r="AG136" s="7"/>
      <c r="AH136" s="7"/>
      <c r="AI136" s="7"/>
      <c r="AJ136" s="11">
        <f>47.82+116.4</f>
        <v>164.22</v>
      </c>
      <c r="AK136" s="12"/>
      <c r="AL136" s="13">
        <v>266.8</v>
      </c>
      <c r="AM136" s="13">
        <f>+(156.82+16.4+7.4)/AL136</f>
        <v>0.67698650674662664</v>
      </c>
      <c r="AN136" s="13">
        <f>+AJ136/AL136</f>
        <v>0.6155172413793103</v>
      </c>
      <c r="AO136" s="13"/>
      <c r="AP136" s="13">
        <v>1050000</v>
      </c>
      <c r="AQ136" s="15">
        <v>818904.35</v>
      </c>
      <c r="AR136" s="13" t="s">
        <v>45</v>
      </c>
      <c r="AS136" s="15" t="s">
        <v>710</v>
      </c>
      <c r="AT136" s="16">
        <v>45919</v>
      </c>
      <c r="AU136" s="17"/>
      <c r="AV136" s="18">
        <v>45916</v>
      </c>
      <c r="AW136" s="19"/>
      <c r="AX136" s="19"/>
      <c r="AY136" s="19"/>
      <c r="AZ136" s="19"/>
      <c r="BA136" s="19"/>
      <c r="BB136" s="19"/>
      <c r="BC136" s="19"/>
      <c r="BD136" s="19"/>
      <c r="BE136" s="19"/>
      <c r="BF136" s="19"/>
      <c r="BG136" s="19"/>
      <c r="BH136" s="20"/>
      <c r="BI136" s="20"/>
      <c r="BJ136" s="20"/>
      <c r="BK136" s="20"/>
      <c r="BL136" s="20"/>
      <c r="BM136" s="20"/>
      <c r="BN136" s="20"/>
      <c r="BO136" s="20"/>
      <c r="BP136" s="20"/>
      <c r="BQ136" s="20"/>
      <c r="BR136" s="20"/>
      <c r="BS136" s="20"/>
      <c r="BT136" s="20"/>
      <c r="BU136" s="20"/>
      <c r="BV136" s="20"/>
      <c r="BW136" s="20"/>
      <c r="IQ136" s="20"/>
      <c r="IR136" s="20"/>
      <c r="IS136" s="20"/>
      <c r="IT136" s="20"/>
      <c r="IU136" s="20"/>
      <c r="IV136" s="20"/>
      <c r="IW136" s="20"/>
    </row>
    <row r="137" spans="1:257" s="21" customFormat="1" ht="51">
      <c r="A137" s="75"/>
      <c r="B137" s="115">
        <v>130</v>
      </c>
      <c r="C137" s="68" t="s">
        <v>711</v>
      </c>
      <c r="D137" s="4">
        <v>45817</v>
      </c>
      <c r="E137" s="5" t="s">
        <v>48</v>
      </c>
      <c r="F137" s="6">
        <v>46357</v>
      </c>
      <c r="G137" s="6">
        <v>149331</v>
      </c>
      <c r="H137" s="6">
        <v>20920</v>
      </c>
      <c r="I137" s="7">
        <v>62</v>
      </c>
      <c r="J137" s="7"/>
      <c r="K137" s="7">
        <v>461</v>
      </c>
      <c r="L137" s="7">
        <v>19</v>
      </c>
      <c r="M137" s="7" t="s">
        <v>33</v>
      </c>
      <c r="N137" s="7" t="s">
        <v>712</v>
      </c>
      <c r="O137" s="7" t="s">
        <v>713</v>
      </c>
      <c r="P137" s="7"/>
      <c r="Q137" s="7" t="s">
        <v>434</v>
      </c>
      <c r="R137" s="7" t="s">
        <v>434</v>
      </c>
      <c r="S137" s="7" t="s">
        <v>434</v>
      </c>
      <c r="T137" s="7" t="s">
        <v>84</v>
      </c>
      <c r="U137" s="7"/>
      <c r="V137" s="8">
        <f>1+3</f>
        <v>4</v>
      </c>
      <c r="W137" s="7"/>
      <c r="X137" s="7"/>
      <c r="Y137" s="7" t="s">
        <v>714</v>
      </c>
      <c r="Z137" s="9"/>
      <c r="AA137" s="10">
        <v>3</v>
      </c>
      <c r="AB137" s="9"/>
      <c r="AC137" s="10">
        <f>+AA137+3</f>
        <v>6</v>
      </c>
      <c r="AD137" s="9"/>
      <c r="AE137" s="10">
        <f>+AA137*2</f>
        <v>6</v>
      </c>
      <c r="AF137" s="7"/>
      <c r="AG137" s="7"/>
      <c r="AH137" s="7"/>
      <c r="AI137" s="7"/>
      <c r="AJ137" s="11">
        <f>295.34+44.6/2</f>
        <v>317.64</v>
      </c>
      <c r="AK137" s="12">
        <f>91.69+56.7/2</f>
        <v>120.03999999999999</v>
      </c>
      <c r="AL137" s="13">
        <v>326.04000000000002</v>
      </c>
      <c r="AM137" s="13">
        <f>+(9.46+4.2+7.2+147.67+6.1+4.8)/AL137</f>
        <v>0.55033124769966868</v>
      </c>
      <c r="AN137" s="13">
        <f>+(AJ137+AK137)/AL137</f>
        <v>1.342411973990921</v>
      </c>
      <c r="AO137" s="13"/>
      <c r="AP137" s="13">
        <f>+((2*366925+293457*9+9*220124+146770*2)/22*AJ137)+(AK137*293457)</f>
        <v>116796804.60545455</v>
      </c>
      <c r="AQ137" s="15">
        <v>459281.88</v>
      </c>
      <c r="AR137" s="13" t="s">
        <v>45</v>
      </c>
      <c r="AS137" s="15" t="s">
        <v>715</v>
      </c>
      <c r="AT137" s="16">
        <v>45919</v>
      </c>
      <c r="AU137" s="17"/>
      <c r="AV137" s="18" t="s">
        <v>716</v>
      </c>
      <c r="AW137" s="19"/>
      <c r="AX137" s="19"/>
      <c r="AY137" s="19"/>
      <c r="AZ137" s="19"/>
      <c r="BA137" s="19"/>
      <c r="BB137" s="19"/>
      <c r="BC137" s="19"/>
      <c r="BD137" s="19"/>
      <c r="BE137" s="19"/>
      <c r="BF137" s="19"/>
      <c r="BG137" s="19"/>
      <c r="BH137" s="20"/>
      <c r="BI137" s="20"/>
      <c r="BJ137" s="20"/>
      <c r="BK137" s="20"/>
      <c r="BL137" s="20"/>
      <c r="BM137" s="20"/>
      <c r="BN137" s="20"/>
      <c r="BO137" s="20"/>
      <c r="BP137" s="20"/>
      <c r="BQ137" s="20"/>
      <c r="BR137" s="20"/>
      <c r="BS137" s="20"/>
      <c r="BT137" s="20"/>
      <c r="BU137" s="20"/>
      <c r="BV137" s="20"/>
      <c r="BW137" s="20"/>
      <c r="IQ137" s="20"/>
      <c r="IR137" s="20"/>
      <c r="IS137" s="20"/>
      <c r="IT137" s="20"/>
      <c r="IU137" s="20"/>
      <c r="IV137" s="20"/>
      <c r="IW137" s="20"/>
    </row>
    <row r="138" spans="1:257" s="21" customFormat="1" ht="76.5">
      <c r="A138" s="75"/>
      <c r="B138" s="115">
        <v>131</v>
      </c>
      <c r="C138" s="68">
        <v>575654</v>
      </c>
      <c r="D138" s="4">
        <v>45909</v>
      </c>
      <c r="E138" s="5" t="s">
        <v>32</v>
      </c>
      <c r="F138" s="6">
        <v>55975</v>
      </c>
      <c r="G138" s="6">
        <v>103226</v>
      </c>
      <c r="H138" s="6">
        <v>350</v>
      </c>
      <c r="I138" s="7"/>
      <c r="J138" s="7"/>
      <c r="K138" s="7">
        <v>228</v>
      </c>
      <c r="L138" s="7">
        <v>26</v>
      </c>
      <c r="M138" s="7" t="s">
        <v>33</v>
      </c>
      <c r="N138" s="7" t="s">
        <v>717</v>
      </c>
      <c r="O138" s="7" t="s">
        <v>718</v>
      </c>
      <c r="P138" s="7"/>
      <c r="Q138" s="7" t="s">
        <v>134</v>
      </c>
      <c r="R138" s="7"/>
      <c r="S138" s="7"/>
      <c r="T138" s="7"/>
      <c r="U138" s="7">
        <v>2</v>
      </c>
      <c r="V138" s="8"/>
      <c r="W138" s="7"/>
      <c r="X138" s="7"/>
      <c r="Y138" s="7" t="s">
        <v>719</v>
      </c>
      <c r="Z138" s="9">
        <v>4</v>
      </c>
      <c r="AA138" s="10"/>
      <c r="AB138" s="9">
        <f>+Z138+1+1</f>
        <v>6</v>
      </c>
      <c r="AC138" s="10"/>
      <c r="AD138" s="9">
        <f>+Z138*2</f>
        <v>8</v>
      </c>
      <c r="AE138" s="10"/>
      <c r="AF138" s="7"/>
      <c r="AG138" s="7"/>
      <c r="AH138" s="7">
        <f>118.8+6.32/2</f>
        <v>121.96</v>
      </c>
      <c r="AI138" s="7">
        <f>68.28+0</f>
        <v>68.28</v>
      </c>
      <c r="AJ138" s="11"/>
      <c r="AK138" s="12"/>
      <c r="AL138" s="13">
        <v>401.68</v>
      </c>
      <c r="AM138" s="13">
        <f>+(68.28+118.8+6.32)/AL138</f>
        <v>0.48147779326827317</v>
      </c>
      <c r="AN138" s="13">
        <f>+(AH138+AI138)/AL138</f>
        <v>0.47361083449512054</v>
      </c>
      <c r="AO138" s="13"/>
      <c r="AP138" s="13">
        <f>+((9*366925+293457*5+8*220124+146770*3)/25*AH138)+(293457*AI138)</f>
        <v>54044141.060799994</v>
      </c>
      <c r="AQ138" s="15">
        <v>821090.1</v>
      </c>
      <c r="AR138" s="13" t="s">
        <v>45</v>
      </c>
      <c r="AS138" s="15" t="s">
        <v>720</v>
      </c>
      <c r="AT138" s="16">
        <v>45922</v>
      </c>
      <c r="AU138" s="17"/>
      <c r="AV138" s="18">
        <v>45916</v>
      </c>
      <c r="AW138" s="19"/>
      <c r="AX138" s="19"/>
      <c r="AY138" s="19"/>
      <c r="AZ138" s="19"/>
      <c r="BA138" s="19"/>
      <c r="BB138" s="19"/>
      <c r="BC138" s="19"/>
      <c r="BD138" s="19"/>
      <c r="BE138" s="19"/>
      <c r="BF138" s="19"/>
      <c r="BG138" s="19"/>
      <c r="BH138" s="20"/>
      <c r="BI138" s="20"/>
      <c r="BJ138" s="20"/>
      <c r="BK138" s="20"/>
      <c r="BL138" s="20"/>
      <c r="BM138" s="20"/>
      <c r="BN138" s="20"/>
      <c r="BO138" s="20"/>
      <c r="BP138" s="20"/>
      <c r="BQ138" s="20"/>
      <c r="BR138" s="20"/>
      <c r="BS138" s="20"/>
      <c r="BT138" s="20"/>
      <c r="BU138" s="20"/>
      <c r="BV138" s="20"/>
      <c r="BW138" s="20"/>
      <c r="IQ138" s="20"/>
      <c r="IR138" s="20"/>
      <c r="IS138" s="20"/>
      <c r="IT138" s="20"/>
      <c r="IU138" s="20"/>
      <c r="IV138" s="20"/>
      <c r="IW138" s="20"/>
    </row>
    <row r="139" spans="1:257" s="21" customFormat="1" ht="63.75">
      <c r="A139" s="75"/>
      <c r="B139" s="115">
        <v>132</v>
      </c>
      <c r="C139" s="68">
        <v>574647</v>
      </c>
      <c r="D139" s="4">
        <v>45870</v>
      </c>
      <c r="E139" s="5" t="s">
        <v>32</v>
      </c>
      <c r="F139" s="6">
        <v>25567</v>
      </c>
      <c r="G139" s="6">
        <v>119136</v>
      </c>
      <c r="H139" s="6">
        <v>5844</v>
      </c>
      <c r="I139" s="7"/>
      <c r="J139" s="7"/>
      <c r="K139" s="7">
        <v>112</v>
      </c>
      <c r="L139" s="7">
        <v>18</v>
      </c>
      <c r="M139" s="7" t="s">
        <v>33</v>
      </c>
      <c r="N139" s="7" t="s">
        <v>721</v>
      </c>
      <c r="O139" s="7"/>
      <c r="P139" s="7" t="s">
        <v>722</v>
      </c>
      <c r="Q139" s="7" t="s">
        <v>723</v>
      </c>
      <c r="R139" s="7"/>
      <c r="S139" s="7"/>
      <c r="T139" s="7"/>
      <c r="U139" s="7">
        <v>1</v>
      </c>
      <c r="V139" s="8"/>
      <c r="W139" s="7"/>
      <c r="X139" s="7"/>
      <c r="Y139" s="7" t="s">
        <v>316</v>
      </c>
      <c r="Z139" s="9"/>
      <c r="AA139" s="10"/>
      <c r="AB139" s="9"/>
      <c r="AC139" s="10"/>
      <c r="AD139" s="9"/>
      <c r="AE139" s="10"/>
      <c r="AF139" s="7"/>
      <c r="AG139" s="7">
        <f>133.56+140.85+4.23/2</f>
        <v>276.52499999999998</v>
      </c>
      <c r="AH139" s="7"/>
      <c r="AI139" s="7">
        <f>277.31+4.39/2-AG139</f>
        <v>2.9800000000000182</v>
      </c>
      <c r="AJ139" s="11"/>
      <c r="AK139" s="12"/>
      <c r="AL139" s="13">
        <v>255.67</v>
      </c>
      <c r="AM139" s="13">
        <f>+(4.59+156.46)/AL139</f>
        <v>0.62991356044901636</v>
      </c>
      <c r="AN139" s="13">
        <f>+(AG139+AI139)/AL139</f>
        <v>1.0932256424296947</v>
      </c>
      <c r="AO139" s="13">
        <f>+(2+14+6+6)/(2+7+2+1)</f>
        <v>2.3333333333333335</v>
      </c>
      <c r="AP139" s="13">
        <v>6000000</v>
      </c>
      <c r="AQ139" s="15">
        <v>96450</v>
      </c>
      <c r="AR139" s="13" t="s">
        <v>38</v>
      </c>
      <c r="AS139" s="15" t="s">
        <v>724</v>
      </c>
      <c r="AT139" s="16">
        <v>45923</v>
      </c>
      <c r="AU139" s="17"/>
      <c r="AV139" s="18">
        <v>45911</v>
      </c>
      <c r="AW139" s="19"/>
      <c r="AX139" s="19"/>
      <c r="AY139" s="19"/>
      <c r="AZ139" s="19"/>
      <c r="BA139" s="19"/>
      <c r="BB139" s="19"/>
      <c r="BC139" s="19"/>
      <c r="BD139" s="19"/>
      <c r="BE139" s="19"/>
      <c r="BF139" s="19"/>
      <c r="BG139" s="19"/>
      <c r="BH139" s="20"/>
      <c r="BI139" s="20"/>
      <c r="BJ139" s="20"/>
      <c r="BK139" s="20"/>
      <c r="BL139" s="20"/>
      <c r="BM139" s="20"/>
      <c r="BN139" s="20"/>
      <c r="BO139" s="20"/>
      <c r="BP139" s="20"/>
      <c r="BQ139" s="20"/>
      <c r="BR139" s="20"/>
      <c r="BS139" s="20"/>
      <c r="BT139" s="20"/>
      <c r="BU139" s="20"/>
      <c r="BV139" s="20"/>
      <c r="BW139" s="20"/>
      <c r="IQ139" s="20"/>
      <c r="IR139" s="20"/>
      <c r="IS139" s="20"/>
      <c r="IT139" s="20"/>
      <c r="IU139" s="20"/>
      <c r="IV139" s="20"/>
      <c r="IW139" s="20"/>
    </row>
    <row r="140" spans="1:257" s="21" customFormat="1" ht="51">
      <c r="A140" s="75"/>
      <c r="B140" s="115">
        <v>133</v>
      </c>
      <c r="C140" s="68" t="s">
        <v>725</v>
      </c>
      <c r="D140" s="4">
        <v>45895</v>
      </c>
      <c r="E140" s="5" t="s">
        <v>32</v>
      </c>
      <c r="F140" s="6">
        <v>42824</v>
      </c>
      <c r="G140" s="6">
        <v>140525</v>
      </c>
      <c r="H140" s="6">
        <v>8714</v>
      </c>
      <c r="I140" s="7"/>
      <c r="J140" s="7"/>
      <c r="K140" s="7">
        <v>36</v>
      </c>
      <c r="L140" s="7">
        <v>21</v>
      </c>
      <c r="M140" s="7" t="s">
        <v>33</v>
      </c>
      <c r="N140" s="7" t="s">
        <v>726</v>
      </c>
      <c r="O140" s="7" t="s">
        <v>727</v>
      </c>
      <c r="P140" s="7"/>
      <c r="Q140" s="7" t="s">
        <v>728</v>
      </c>
      <c r="R140" s="7"/>
      <c r="S140" s="7"/>
      <c r="T140" s="7"/>
      <c r="U140" s="7">
        <v>1</v>
      </c>
      <c r="V140" s="8"/>
      <c r="W140" s="7"/>
      <c r="X140" s="7"/>
      <c r="Y140" s="7" t="s">
        <v>37</v>
      </c>
      <c r="Z140" s="9">
        <v>2</v>
      </c>
      <c r="AA140" s="10"/>
      <c r="AB140" s="9">
        <f>+Z140+1</f>
        <v>3</v>
      </c>
      <c r="AC140" s="10"/>
      <c r="AD140" s="9">
        <f>+Z140*2</f>
        <v>4</v>
      </c>
      <c r="AE140" s="10"/>
      <c r="AF140" s="7"/>
      <c r="AG140" s="7"/>
      <c r="AH140" s="7">
        <f>4.6/2+114.4</f>
        <v>116.7</v>
      </c>
      <c r="AI140" s="7">
        <v>94.3</v>
      </c>
      <c r="AJ140" s="11"/>
      <c r="AK140" s="12"/>
      <c r="AL140" s="13">
        <v>264.04000000000002</v>
      </c>
      <c r="AM140" s="13">
        <f>+(AI140+114.4+4.6)/AL140</f>
        <v>0.80783214664444769</v>
      </c>
      <c r="AN140" s="13">
        <f>+(AH140+AI140)/AL140</f>
        <v>0.79912134525071954</v>
      </c>
      <c r="AO140" s="13"/>
      <c r="AP140" s="13">
        <f>+(366925+293457*18+11*220124+146770*2)/32*(AH140+AI140)</f>
        <v>55150487.65625</v>
      </c>
      <c r="AQ140" s="15">
        <v>732900.67</v>
      </c>
      <c r="AR140" s="13" t="s">
        <v>45</v>
      </c>
      <c r="AS140" s="15" t="s">
        <v>729</v>
      </c>
      <c r="AT140" s="16">
        <v>45923</v>
      </c>
      <c r="AU140" s="17"/>
      <c r="AV140" s="18">
        <v>45919</v>
      </c>
      <c r="AW140" s="19"/>
      <c r="AX140" s="19"/>
      <c r="AY140" s="19"/>
      <c r="AZ140" s="19"/>
      <c r="BA140" s="19"/>
      <c r="BB140" s="19"/>
      <c r="BC140" s="19"/>
      <c r="BD140" s="19"/>
      <c r="BE140" s="19"/>
      <c r="BF140" s="19"/>
      <c r="BG140" s="19"/>
      <c r="BH140" s="20"/>
      <c r="BI140" s="20"/>
      <c r="BJ140" s="20"/>
      <c r="BK140" s="20"/>
      <c r="BL140" s="20"/>
      <c r="BM140" s="20"/>
      <c r="BN140" s="20"/>
      <c r="BO140" s="20"/>
      <c r="BP140" s="20"/>
      <c r="BQ140" s="20"/>
      <c r="BR140" s="20"/>
      <c r="BS140" s="20"/>
      <c r="BT140" s="20"/>
      <c r="BU140" s="20"/>
      <c r="BV140" s="20"/>
      <c r="BW140" s="20"/>
      <c r="IQ140" s="20"/>
      <c r="IR140" s="20"/>
      <c r="IS140" s="20"/>
      <c r="IT140" s="20"/>
      <c r="IU140" s="20"/>
      <c r="IV140" s="20"/>
      <c r="IW140" s="20"/>
    </row>
    <row r="141" spans="1:257" s="21" customFormat="1" ht="51">
      <c r="A141" s="112"/>
      <c r="B141" s="75">
        <v>134</v>
      </c>
      <c r="C141" s="68">
        <v>569119</v>
      </c>
      <c r="D141" s="4">
        <v>45660</v>
      </c>
      <c r="E141" s="5" t="s">
        <v>48</v>
      </c>
      <c r="F141" s="6"/>
      <c r="G141" s="6"/>
      <c r="H141" s="6">
        <v>7039</v>
      </c>
      <c r="I141" s="7"/>
      <c r="J141" s="7"/>
      <c r="K141" s="7">
        <v>229</v>
      </c>
      <c r="L141" s="7">
        <v>1</v>
      </c>
      <c r="M141" s="26" t="s">
        <v>33</v>
      </c>
      <c r="N141" s="7" t="s">
        <v>730</v>
      </c>
      <c r="O141" s="7"/>
      <c r="P141" s="7" t="s">
        <v>731</v>
      </c>
      <c r="Q141" s="7" t="s">
        <v>243</v>
      </c>
      <c r="R141" s="7"/>
      <c r="S141" s="7"/>
      <c r="T141" s="7"/>
      <c r="U141" s="7"/>
      <c r="V141" s="8">
        <v>4</v>
      </c>
      <c r="W141" s="7"/>
      <c r="X141" s="7"/>
      <c r="Y141" s="7" t="s">
        <v>732</v>
      </c>
      <c r="Z141" s="9"/>
      <c r="AA141" s="10"/>
      <c r="AB141" s="9"/>
      <c r="AC141" s="10"/>
      <c r="AD141" s="9"/>
      <c r="AE141" s="10"/>
      <c r="AF141" s="7"/>
      <c r="AG141" s="7"/>
      <c r="AH141" s="7"/>
      <c r="AI141" s="7"/>
      <c r="AJ141" s="11"/>
      <c r="AK141" s="12"/>
      <c r="AL141" s="13"/>
      <c r="AM141" s="13"/>
      <c r="AN141" s="13"/>
      <c r="AO141" s="13"/>
      <c r="AP141" s="13"/>
      <c r="AQ141" s="15"/>
      <c r="AR141" s="13" t="s">
        <v>45</v>
      </c>
      <c r="AS141" s="15" t="s">
        <v>733</v>
      </c>
      <c r="AT141" s="16"/>
      <c r="AU141" s="17"/>
      <c r="AV141" s="18" t="s">
        <v>734</v>
      </c>
      <c r="AW141" s="19"/>
      <c r="AX141" s="19"/>
      <c r="AY141" s="19"/>
      <c r="AZ141" s="19"/>
      <c r="BA141" s="19"/>
      <c r="BB141" s="19"/>
      <c r="BC141" s="19"/>
      <c r="BD141" s="19"/>
      <c r="BE141" s="19"/>
      <c r="BF141" s="19"/>
      <c r="BG141" s="19"/>
      <c r="BH141" s="20"/>
      <c r="BI141" s="20"/>
      <c r="BJ141" s="20"/>
      <c r="BK141" s="20"/>
      <c r="BL141" s="20"/>
      <c r="BM141" s="20"/>
      <c r="BN141" s="20"/>
      <c r="BO141" s="20"/>
      <c r="BP141" s="20"/>
      <c r="BQ141" s="20"/>
      <c r="BR141" s="20"/>
      <c r="BS141" s="20"/>
      <c r="BT141" s="20"/>
      <c r="BU141" s="20"/>
      <c r="BV141" s="20"/>
      <c r="BW141" s="20"/>
      <c r="IQ141" s="20"/>
      <c r="IR141" s="20"/>
      <c r="IS141" s="20"/>
      <c r="IT141" s="20"/>
      <c r="IU141" s="20"/>
      <c r="IV141" s="20"/>
      <c r="IW141" s="20"/>
    </row>
    <row r="142" spans="1:257" s="21" customFormat="1" ht="63.75">
      <c r="A142" s="75"/>
      <c r="B142" s="115">
        <v>135</v>
      </c>
      <c r="C142" s="68" t="s">
        <v>735</v>
      </c>
      <c r="D142" s="4">
        <v>45643</v>
      </c>
      <c r="E142" s="5" t="s">
        <v>48</v>
      </c>
      <c r="F142" s="6">
        <v>63605</v>
      </c>
      <c r="G142" s="6">
        <v>170887</v>
      </c>
      <c r="H142" s="6">
        <v>10758</v>
      </c>
      <c r="I142" s="7"/>
      <c r="J142" s="7"/>
      <c r="K142" s="7">
        <v>341</v>
      </c>
      <c r="L142" s="7">
        <v>15</v>
      </c>
      <c r="M142" s="7" t="s">
        <v>33</v>
      </c>
      <c r="N142" s="7" t="s">
        <v>736</v>
      </c>
      <c r="O142" s="7" t="s">
        <v>737</v>
      </c>
      <c r="P142" s="7"/>
      <c r="Q142" s="7" t="s">
        <v>738</v>
      </c>
      <c r="R142" s="7"/>
      <c r="S142" s="7"/>
      <c r="T142" s="7"/>
      <c r="U142" s="7">
        <v>1</v>
      </c>
      <c r="V142" s="8"/>
      <c r="W142" s="7"/>
      <c r="X142" s="7"/>
      <c r="Y142" s="7" t="s">
        <v>373</v>
      </c>
      <c r="Z142" s="9"/>
      <c r="AA142" s="10"/>
      <c r="AB142" s="9"/>
      <c r="AC142" s="10"/>
      <c r="AD142" s="9"/>
      <c r="AE142" s="10"/>
      <c r="AF142" s="7"/>
      <c r="AG142" s="7"/>
      <c r="AH142" s="7"/>
      <c r="AI142" s="7">
        <v>199.2</v>
      </c>
      <c r="AJ142" s="11"/>
      <c r="AK142" s="12"/>
      <c r="AL142" s="13">
        <v>332.1</v>
      </c>
      <c r="AM142" s="13">
        <f>+AI142/AL142</f>
        <v>0.59981933152664857</v>
      </c>
      <c r="AN142" s="13">
        <f>+AM142</f>
        <v>0.59981933152664857</v>
      </c>
      <c r="AO142" s="13"/>
      <c r="AP142" s="13">
        <f>+AI142*310000</f>
        <v>61752000</v>
      </c>
      <c r="AQ142" s="15">
        <v>909192.58</v>
      </c>
      <c r="AR142" s="13" t="s">
        <v>180</v>
      </c>
      <c r="AS142" s="15" t="s">
        <v>739</v>
      </c>
      <c r="AT142" s="16">
        <v>45925</v>
      </c>
      <c r="AU142" s="17"/>
      <c r="AV142" s="18" t="s">
        <v>740</v>
      </c>
      <c r="AW142" s="19"/>
      <c r="AX142" s="19"/>
      <c r="AY142" s="19"/>
      <c r="AZ142" s="19"/>
      <c r="BA142" s="19"/>
      <c r="BB142" s="19"/>
      <c r="BC142" s="19"/>
      <c r="BD142" s="19"/>
      <c r="BE142" s="19"/>
      <c r="BF142" s="19"/>
      <c r="BG142" s="19"/>
      <c r="BH142" s="20"/>
      <c r="BI142" s="20"/>
      <c r="BJ142" s="20"/>
      <c r="BK142" s="20"/>
      <c r="BL142" s="20"/>
      <c r="BM142" s="20"/>
      <c r="BN142" s="20"/>
      <c r="BO142" s="20"/>
      <c r="BP142" s="20"/>
      <c r="BQ142" s="20"/>
      <c r="BR142" s="20"/>
      <c r="BS142" s="20"/>
      <c r="BT142" s="20"/>
      <c r="BU142" s="20"/>
      <c r="BV142" s="20"/>
      <c r="BW142" s="20"/>
      <c r="IQ142" s="20"/>
      <c r="IR142" s="20"/>
      <c r="IS142" s="20"/>
      <c r="IT142" s="20"/>
      <c r="IU142" s="20"/>
      <c r="IV142" s="20"/>
      <c r="IW142" s="20"/>
    </row>
    <row r="143" spans="1:257" s="21" customFormat="1" ht="63.75">
      <c r="A143" s="75"/>
      <c r="B143" s="115">
        <v>136</v>
      </c>
      <c r="C143" s="68" t="s">
        <v>741</v>
      </c>
      <c r="D143" s="4">
        <v>45882</v>
      </c>
      <c r="E143" s="5" t="s">
        <v>32</v>
      </c>
      <c r="F143" s="6">
        <v>59868</v>
      </c>
      <c r="G143" s="6">
        <v>158321</v>
      </c>
      <c r="H143" s="6">
        <v>32374</v>
      </c>
      <c r="I143" s="7">
        <v>331</v>
      </c>
      <c r="J143" s="7"/>
      <c r="K143" s="7"/>
      <c r="L143" s="7">
        <v>17</v>
      </c>
      <c r="M143" s="7" t="s">
        <v>41</v>
      </c>
      <c r="N143" s="7" t="s">
        <v>742</v>
      </c>
      <c r="O143" s="7" t="s">
        <v>743</v>
      </c>
      <c r="P143" s="7"/>
      <c r="Q143" s="7" t="s">
        <v>744</v>
      </c>
      <c r="R143" s="7"/>
      <c r="S143" s="7"/>
      <c r="T143" s="7"/>
      <c r="U143" s="7">
        <v>2</v>
      </c>
      <c r="V143" s="8"/>
      <c r="W143" s="7"/>
      <c r="X143" s="7"/>
      <c r="Y143" s="7" t="s">
        <v>67</v>
      </c>
      <c r="Z143" s="9">
        <f>2+2</f>
        <v>4</v>
      </c>
      <c r="AA143" s="10"/>
      <c r="AB143" s="9">
        <f>+Z143+1+1</f>
        <v>6</v>
      </c>
      <c r="AC143" s="10"/>
      <c r="AD143" s="9">
        <f>+Z143*2</f>
        <v>8</v>
      </c>
      <c r="AE143" s="10"/>
      <c r="AF143" s="7"/>
      <c r="AG143" s="7"/>
      <c r="AH143" s="7">
        <v>203.6</v>
      </c>
      <c r="AI143" s="7"/>
      <c r="AJ143" s="11"/>
      <c r="AK143" s="12"/>
      <c r="AL143" s="13">
        <v>1602.03</v>
      </c>
      <c r="AM143" s="13">
        <f>+AH143/AL143</f>
        <v>0.12708875614064655</v>
      </c>
      <c r="AN143" s="13">
        <f>+AH143/AL143</f>
        <v>0.12708875614064655</v>
      </c>
      <c r="AO143" s="13"/>
      <c r="AP143" s="13">
        <f>+(366925+293457*7+7*220124+146770*5)/20*AH143</f>
        <v>47803671.560000002</v>
      </c>
      <c r="AQ143" s="15">
        <v>709330.5</v>
      </c>
      <c r="AR143" s="13" t="s">
        <v>38</v>
      </c>
      <c r="AS143" s="15" t="s">
        <v>745</v>
      </c>
      <c r="AT143" s="16">
        <v>45925</v>
      </c>
      <c r="AU143" s="17"/>
      <c r="AV143" s="18">
        <v>45922</v>
      </c>
      <c r="AW143" s="19"/>
      <c r="AX143" s="19"/>
      <c r="AY143" s="19"/>
      <c r="AZ143" s="19"/>
      <c r="BA143" s="19"/>
      <c r="BB143" s="19"/>
      <c r="BC143" s="19"/>
      <c r="BD143" s="19"/>
      <c r="BE143" s="19"/>
      <c r="BF143" s="19"/>
      <c r="BG143" s="19"/>
      <c r="BH143" s="20"/>
      <c r="BI143" s="20"/>
      <c r="BJ143" s="20"/>
      <c r="BK143" s="20"/>
      <c r="BL143" s="20"/>
      <c r="BM143" s="20"/>
      <c r="BN143" s="20"/>
      <c r="BO143" s="20"/>
      <c r="BP143" s="20"/>
      <c r="BQ143" s="20"/>
      <c r="BR143" s="20"/>
      <c r="BS143" s="20"/>
      <c r="BT143" s="20"/>
      <c r="BU143" s="20"/>
      <c r="BV143" s="20"/>
      <c r="BW143" s="20"/>
      <c r="IQ143" s="20"/>
      <c r="IR143" s="20"/>
      <c r="IS143" s="20"/>
      <c r="IT143" s="20"/>
      <c r="IU143" s="20"/>
      <c r="IV143" s="20"/>
      <c r="IW143" s="20"/>
    </row>
    <row r="144" spans="1:257" s="21" customFormat="1" ht="63.75">
      <c r="A144" s="75"/>
      <c r="B144" s="115">
        <v>137</v>
      </c>
      <c r="C144" s="68" t="s">
        <v>746</v>
      </c>
      <c r="D144" s="4">
        <v>45288</v>
      </c>
      <c r="E144" s="5" t="s">
        <v>48</v>
      </c>
      <c r="F144" s="6">
        <v>49665</v>
      </c>
      <c r="G144" s="6">
        <v>159851</v>
      </c>
      <c r="H144" s="6">
        <v>21141</v>
      </c>
      <c r="I144" s="7">
        <v>34</v>
      </c>
      <c r="J144" s="7"/>
      <c r="K144" s="7">
        <v>352</v>
      </c>
      <c r="L144" s="7">
        <v>13</v>
      </c>
      <c r="M144" s="7" t="s">
        <v>33</v>
      </c>
      <c r="N144" s="7" t="s">
        <v>747</v>
      </c>
      <c r="O144" s="7" t="s">
        <v>670</v>
      </c>
      <c r="P144" s="7"/>
      <c r="Q144" s="7" t="s">
        <v>366</v>
      </c>
      <c r="R144" s="7" t="s">
        <v>366</v>
      </c>
      <c r="S144" s="7" t="s">
        <v>366</v>
      </c>
      <c r="T144" s="7" t="s">
        <v>748</v>
      </c>
      <c r="U144" s="7"/>
      <c r="V144" s="8">
        <v>4</v>
      </c>
      <c r="W144" s="7"/>
      <c r="X144" s="7"/>
      <c r="Y144" s="7" t="s">
        <v>67</v>
      </c>
      <c r="Z144" s="9"/>
      <c r="AA144" s="10">
        <f>2*4</f>
        <v>8</v>
      </c>
      <c r="AB144" s="9"/>
      <c r="AC144" s="10">
        <f>+AA144+1*4</f>
        <v>12</v>
      </c>
      <c r="AD144" s="9"/>
      <c r="AE144" s="10">
        <f t="shared" ref="AE144" si="1">+AA144*2</f>
        <v>16</v>
      </c>
      <c r="AF144" s="7"/>
      <c r="AG144" s="7"/>
      <c r="AH144" s="7"/>
      <c r="AI144" s="7"/>
      <c r="AJ144" s="11">
        <f>147.52+61.56/2+159.28</f>
        <v>337.58000000000004</v>
      </c>
      <c r="AK144" s="12"/>
      <c r="AL144" s="13">
        <v>427.5</v>
      </c>
      <c r="AM144" s="13">
        <f>+(147.52+61.56)/AL144</f>
        <v>0.48907602339181289</v>
      </c>
      <c r="AN144" s="13">
        <f>+AJ144/AL144</f>
        <v>0.7896608187134504</v>
      </c>
      <c r="AO144" s="13"/>
      <c r="AP144" s="13">
        <f>+(366925+293457*10+4*220124+146770*5)/20*AJ144</f>
        <v>82974480.239000008</v>
      </c>
      <c r="AQ144" s="15">
        <v>763865.3</v>
      </c>
      <c r="AR144" s="13" t="s">
        <v>45</v>
      </c>
      <c r="AS144" s="15" t="s">
        <v>749</v>
      </c>
      <c r="AT144" s="16">
        <v>45925</v>
      </c>
      <c r="AU144" s="17"/>
      <c r="AV144" s="18" t="s">
        <v>750</v>
      </c>
      <c r="AW144" s="19"/>
      <c r="AX144" s="19"/>
      <c r="AY144" s="19"/>
      <c r="AZ144" s="19"/>
      <c r="BA144" s="19"/>
      <c r="BB144" s="19"/>
      <c r="BC144" s="19"/>
      <c r="BD144" s="19"/>
      <c r="BE144" s="19"/>
      <c r="BF144" s="19"/>
      <c r="BG144" s="19"/>
      <c r="BH144" s="20"/>
      <c r="BI144" s="20"/>
      <c r="BJ144" s="20"/>
      <c r="BK144" s="20"/>
      <c r="BL144" s="20"/>
      <c r="BM144" s="20"/>
      <c r="BN144" s="20"/>
      <c r="BO144" s="20"/>
      <c r="BP144" s="20"/>
      <c r="BQ144" s="20"/>
      <c r="BR144" s="20"/>
      <c r="BS144" s="20"/>
      <c r="BT144" s="20"/>
      <c r="BU144" s="20"/>
      <c r="BV144" s="20"/>
      <c r="BW144" s="20"/>
      <c r="IQ144" s="20"/>
      <c r="IR144" s="20"/>
      <c r="IS144" s="20"/>
      <c r="IT144" s="20"/>
      <c r="IU144" s="20"/>
      <c r="IV144" s="20"/>
      <c r="IW144" s="20"/>
    </row>
    <row r="145" spans="1:257" s="21" customFormat="1" ht="76.5">
      <c r="A145" s="75"/>
      <c r="B145" s="115">
        <v>138</v>
      </c>
      <c r="C145" s="68">
        <v>550332</v>
      </c>
      <c r="D145" s="4">
        <v>44971</v>
      </c>
      <c r="E145" s="5" t="s">
        <v>32</v>
      </c>
      <c r="F145" s="6">
        <v>61319</v>
      </c>
      <c r="G145" s="6">
        <v>1771</v>
      </c>
      <c r="H145" s="6">
        <v>159</v>
      </c>
      <c r="I145" s="7"/>
      <c r="J145" s="7"/>
      <c r="K145" s="7">
        <v>20</v>
      </c>
      <c r="L145" s="7">
        <v>9</v>
      </c>
      <c r="M145" s="7" t="s">
        <v>57</v>
      </c>
      <c r="N145" s="7" t="s">
        <v>751</v>
      </c>
      <c r="O145" s="7" t="s">
        <v>752</v>
      </c>
      <c r="P145" s="7"/>
      <c r="Q145" s="7" t="s">
        <v>753</v>
      </c>
      <c r="R145" s="7"/>
      <c r="S145" s="7"/>
      <c r="T145" s="7"/>
      <c r="U145" s="7">
        <f>1+1+1</f>
        <v>3</v>
      </c>
      <c r="V145" s="8"/>
      <c r="W145" s="7"/>
      <c r="X145" s="7"/>
      <c r="Y145" s="7" t="s">
        <v>719</v>
      </c>
      <c r="Z145" s="9">
        <f>2</f>
        <v>2</v>
      </c>
      <c r="AA145" s="10"/>
      <c r="AB145" s="9">
        <f>+Z145+1+1</f>
        <v>4</v>
      </c>
      <c r="AC145" s="10"/>
      <c r="AD145" s="9">
        <f>+Z145*2</f>
        <v>4</v>
      </c>
      <c r="AE145" s="10"/>
      <c r="AF145" s="7">
        <f>171.04+12.32+46/2</f>
        <v>206.35999999999999</v>
      </c>
      <c r="AG145" s="7"/>
      <c r="AH145" s="7">
        <f>62.19+183.13+24.62/2-AF145</f>
        <v>51.27000000000001</v>
      </c>
      <c r="AI145" s="7"/>
      <c r="AJ145" s="11"/>
      <c r="AK145" s="12"/>
      <c r="AL145" s="13">
        <v>417</v>
      </c>
      <c r="AM145" s="13">
        <f>+(61.29+183.13+24.62)/AL145</f>
        <v>0.64517985611510786</v>
      </c>
      <c r="AN145" s="13">
        <f>+(AF145+AH145)/AL145</f>
        <v>0.61781774580335735</v>
      </c>
      <c r="AO145" s="13">
        <f>+(24+4)/(8+1)</f>
        <v>3.1111111111111112</v>
      </c>
      <c r="AP145" s="13">
        <f>+(366925*2+4*298457+220124*6+10*146770)/22*AH145</f>
        <v>10990707.951818185</v>
      </c>
      <c r="AQ145" s="15">
        <v>31554</v>
      </c>
      <c r="AR145" s="13" t="s">
        <v>45</v>
      </c>
      <c r="AS145" s="15" t="s">
        <v>754</v>
      </c>
      <c r="AT145" s="16">
        <v>45926</v>
      </c>
      <c r="AU145" s="17"/>
      <c r="AV145" s="18">
        <v>45922</v>
      </c>
      <c r="AW145" s="19"/>
      <c r="AX145" s="19"/>
      <c r="AY145" s="19"/>
      <c r="AZ145" s="19"/>
      <c r="BA145" s="19"/>
      <c r="BB145" s="19"/>
      <c r="BC145" s="19"/>
      <c r="BD145" s="19"/>
      <c r="BE145" s="19"/>
      <c r="BF145" s="19"/>
      <c r="BG145" s="19"/>
      <c r="BH145" s="20"/>
      <c r="BI145" s="20"/>
      <c r="BJ145" s="20"/>
      <c r="BK145" s="20"/>
      <c r="BL145" s="20"/>
      <c r="BM145" s="20"/>
      <c r="BN145" s="20"/>
      <c r="BO145" s="20"/>
      <c r="BP145" s="20"/>
      <c r="BQ145" s="20"/>
      <c r="BR145" s="20"/>
      <c r="BS145" s="20"/>
      <c r="BT145" s="20"/>
      <c r="BU145" s="20"/>
      <c r="BV145" s="20"/>
      <c r="BW145" s="20"/>
      <c r="IQ145" s="20"/>
      <c r="IR145" s="20"/>
      <c r="IS145" s="20"/>
      <c r="IT145" s="20"/>
      <c r="IU145" s="20"/>
      <c r="IV145" s="20"/>
      <c r="IW145" s="20"/>
    </row>
    <row r="146" spans="1:257" s="21" customFormat="1" ht="63.75">
      <c r="A146" s="75"/>
      <c r="B146" s="115">
        <v>139</v>
      </c>
      <c r="C146" s="68" t="s">
        <v>755</v>
      </c>
      <c r="D146" s="4">
        <v>45833</v>
      </c>
      <c r="E146" s="5" t="s">
        <v>32</v>
      </c>
      <c r="F146" s="6">
        <v>58297</v>
      </c>
      <c r="G146" s="6">
        <v>166714</v>
      </c>
      <c r="H146" s="6">
        <v>10398</v>
      </c>
      <c r="I146" s="7"/>
      <c r="J146" s="7"/>
      <c r="K146" s="7">
        <v>427</v>
      </c>
      <c r="L146" s="7">
        <v>21</v>
      </c>
      <c r="M146" s="7" t="s">
        <v>33</v>
      </c>
      <c r="N146" s="7" t="s">
        <v>756</v>
      </c>
      <c r="O146" s="7" t="s">
        <v>757</v>
      </c>
      <c r="P146" s="7"/>
      <c r="Q146" s="7" t="s">
        <v>523</v>
      </c>
      <c r="R146" s="7"/>
      <c r="S146" s="7"/>
      <c r="T146" s="7"/>
      <c r="U146" s="7">
        <v>1</v>
      </c>
      <c r="V146" s="8"/>
      <c r="W146" s="7"/>
      <c r="X146" s="7"/>
      <c r="Y146" s="7" t="s">
        <v>37</v>
      </c>
      <c r="Z146" s="9">
        <v>2</v>
      </c>
      <c r="AA146" s="10"/>
      <c r="AB146" s="9">
        <f>+Z146+1</f>
        <v>3</v>
      </c>
      <c r="AC146" s="10"/>
      <c r="AD146" s="9">
        <f>+Z146*2</f>
        <v>4</v>
      </c>
      <c r="AE146" s="10"/>
      <c r="AF146" s="7">
        <v>59.63</v>
      </c>
      <c r="AG146" s="7"/>
      <c r="AH146" s="7">
        <f>9.94+31.14/2+59.56</f>
        <v>85.07</v>
      </c>
      <c r="AI146" s="7"/>
      <c r="AJ146" s="11"/>
      <c r="AK146" s="12"/>
      <c r="AL146" s="13">
        <v>300.72000000000003</v>
      </c>
      <c r="AM146" s="13">
        <f>+(59.63+9.94+31.14)/AL146</f>
        <v>0.33489624900239423</v>
      </c>
      <c r="AN146" s="13">
        <f>+(AF146+AH146)/AL146</f>
        <v>0.48117850492152159</v>
      </c>
      <c r="AO146" s="13"/>
      <c r="AP146" s="13">
        <v>630817.93000000005</v>
      </c>
      <c r="AQ146" s="15">
        <v>630817.93000000005</v>
      </c>
      <c r="AR146" s="13" t="s">
        <v>38</v>
      </c>
      <c r="AS146" s="15" t="s">
        <v>758</v>
      </c>
      <c r="AT146" s="16">
        <v>45926</v>
      </c>
      <c r="AU146" s="17"/>
      <c r="AV146" s="18">
        <v>45903</v>
      </c>
      <c r="AW146" s="19"/>
      <c r="AX146" s="19"/>
      <c r="AY146" s="19"/>
      <c r="AZ146" s="19"/>
      <c r="BA146" s="19"/>
      <c r="BB146" s="19"/>
      <c r="BC146" s="19"/>
      <c r="BD146" s="19"/>
      <c r="BE146" s="19"/>
      <c r="BF146" s="19"/>
      <c r="BG146" s="19"/>
      <c r="BH146" s="20"/>
      <c r="BI146" s="20"/>
      <c r="BJ146" s="20"/>
      <c r="BK146" s="20"/>
      <c r="BL146" s="20"/>
      <c r="BM146" s="20"/>
      <c r="BN146" s="20"/>
      <c r="BO146" s="20"/>
      <c r="BP146" s="20"/>
      <c r="BQ146" s="20"/>
      <c r="BR146" s="20"/>
      <c r="BS146" s="20"/>
      <c r="BT146" s="20"/>
      <c r="BU146" s="20"/>
      <c r="BV146" s="20"/>
      <c r="BW146" s="20"/>
      <c r="IQ146" s="20"/>
      <c r="IR146" s="20"/>
      <c r="IS146" s="20"/>
      <c r="IT146" s="20"/>
      <c r="IU146" s="20"/>
      <c r="IV146" s="20"/>
      <c r="IW146" s="20"/>
    </row>
    <row r="147" spans="1:257" s="21" customFormat="1" ht="51">
      <c r="A147" s="75"/>
      <c r="B147" s="115">
        <v>140</v>
      </c>
      <c r="C147" s="71" t="s">
        <v>759</v>
      </c>
      <c r="D147" s="24">
        <v>45831</v>
      </c>
      <c r="E147" s="25" t="s">
        <v>48</v>
      </c>
      <c r="F147" s="6">
        <v>59487</v>
      </c>
      <c r="G147" s="6">
        <v>60569</v>
      </c>
      <c r="H147" s="6">
        <v>30170</v>
      </c>
      <c r="I147" s="7">
        <v>325</v>
      </c>
      <c r="J147" s="7"/>
      <c r="K147" s="26"/>
      <c r="L147" s="7">
        <v>5</v>
      </c>
      <c r="M147" s="26" t="s">
        <v>33</v>
      </c>
      <c r="N147" s="7" t="s">
        <v>760</v>
      </c>
      <c r="O147" s="26" t="s">
        <v>761</v>
      </c>
      <c r="P147" s="7" t="s">
        <v>762</v>
      </c>
      <c r="Q147" s="7" t="s">
        <v>434</v>
      </c>
      <c r="R147" s="7" t="s">
        <v>523</v>
      </c>
      <c r="S147" s="7" t="s">
        <v>523</v>
      </c>
      <c r="T147" s="7" t="s">
        <v>84</v>
      </c>
      <c r="U147" s="7"/>
      <c r="V147" s="8">
        <v>1</v>
      </c>
      <c r="W147" s="7"/>
      <c r="X147" s="7"/>
      <c r="Y147" s="7" t="s">
        <v>763</v>
      </c>
      <c r="Z147" s="9"/>
      <c r="AA147" s="10"/>
      <c r="AB147" s="9"/>
      <c r="AC147" s="10"/>
      <c r="AD147" s="9"/>
      <c r="AE147" s="10"/>
      <c r="AF147" s="7"/>
      <c r="AG147" s="7"/>
      <c r="AH147" s="7"/>
      <c r="AI147" s="7"/>
      <c r="AJ147" s="11"/>
      <c r="AK147" s="12">
        <f>1243.42+143.8+360/2+157.8</f>
        <v>1725.02</v>
      </c>
      <c r="AL147" s="13">
        <v>3955</v>
      </c>
      <c r="AM147" s="13">
        <f>+(1243.42+360+157.8)/AL147</f>
        <v>0.445314791403287</v>
      </c>
      <c r="AN147" s="13">
        <f>+AK147/AL147</f>
        <v>0.43616182048040453</v>
      </c>
      <c r="AO147" s="13"/>
      <c r="AP147" s="13">
        <v>338402437.81</v>
      </c>
      <c r="AQ147" s="124">
        <v>1265519.04</v>
      </c>
      <c r="AR147" s="13" t="s">
        <v>45</v>
      </c>
      <c r="AS147" s="15" t="s">
        <v>764</v>
      </c>
      <c r="AT147" s="16">
        <v>45930</v>
      </c>
      <c r="AU147" s="17"/>
      <c r="AV147" s="18" t="s">
        <v>765</v>
      </c>
      <c r="AW147" s="19"/>
      <c r="AX147" s="19"/>
      <c r="AY147" s="19"/>
      <c r="AZ147" s="19"/>
      <c r="BA147" s="19"/>
      <c r="BB147" s="19"/>
      <c r="BC147" s="19"/>
      <c r="BD147" s="19"/>
      <c r="BE147" s="19"/>
      <c r="BF147" s="19"/>
      <c r="BG147" s="19"/>
      <c r="BH147" s="20"/>
      <c r="BI147" s="20"/>
      <c r="BJ147" s="20"/>
      <c r="BK147" s="20"/>
      <c r="BL147" s="20"/>
      <c r="BM147" s="20"/>
      <c r="BN147" s="20"/>
      <c r="BO147" s="20"/>
      <c r="BP147" s="20"/>
      <c r="BQ147" s="20"/>
      <c r="BR147" s="20"/>
      <c r="BS147" s="20"/>
      <c r="BT147" s="20"/>
      <c r="BU147" s="20"/>
      <c r="BV147" s="20"/>
      <c r="BW147" s="20"/>
      <c r="IQ147" s="20"/>
      <c r="IR147" s="20"/>
      <c r="IS147" s="20"/>
      <c r="IT147" s="20"/>
      <c r="IU147" s="20"/>
      <c r="IV147" s="20"/>
      <c r="IW147" s="20"/>
    </row>
    <row r="148" spans="1:257" s="21" customFormat="1" ht="51">
      <c r="A148" s="75"/>
      <c r="B148" s="115">
        <v>141</v>
      </c>
      <c r="C148" s="68">
        <v>571783</v>
      </c>
      <c r="D148" s="4">
        <v>45751</v>
      </c>
      <c r="E148" s="5" t="s">
        <v>48</v>
      </c>
      <c r="F148" s="6">
        <v>8678</v>
      </c>
      <c r="G148" s="6">
        <v>218</v>
      </c>
      <c r="H148" s="6">
        <v>1247</v>
      </c>
      <c r="I148" s="7"/>
      <c r="J148" s="7"/>
      <c r="K148" s="7">
        <v>128</v>
      </c>
      <c r="L148" s="7">
        <v>19</v>
      </c>
      <c r="M148" s="7" t="s">
        <v>57</v>
      </c>
      <c r="N148" s="7" t="s">
        <v>766</v>
      </c>
      <c r="O148" s="7" t="s">
        <v>767</v>
      </c>
      <c r="P148" s="7"/>
      <c r="Q148" s="7" t="s">
        <v>768</v>
      </c>
      <c r="R148" s="7" t="s">
        <v>768</v>
      </c>
      <c r="S148" s="7" t="s">
        <v>768</v>
      </c>
      <c r="T148" s="7" t="s">
        <v>709</v>
      </c>
      <c r="U148" s="7"/>
      <c r="V148" s="8">
        <v>1</v>
      </c>
      <c r="W148" s="7"/>
      <c r="X148" s="7"/>
      <c r="Y148" s="7" t="s">
        <v>676</v>
      </c>
      <c r="Z148" s="9"/>
      <c r="AA148" s="10"/>
      <c r="AB148" s="9"/>
      <c r="AC148" s="10"/>
      <c r="AD148" s="9"/>
      <c r="AE148" s="10"/>
      <c r="AF148" s="7"/>
      <c r="AG148" s="7"/>
      <c r="AH148" s="7"/>
      <c r="AI148" s="7"/>
      <c r="AJ148" s="11"/>
      <c r="AK148" s="12">
        <f>143.86+47/2</f>
        <v>167.36</v>
      </c>
      <c r="AL148" s="13">
        <v>338.6</v>
      </c>
      <c r="AM148" s="13">
        <f>+(149.86+47)/AL148</f>
        <v>0.58139397519196689</v>
      </c>
      <c r="AN148" s="13">
        <f>+AK148/AL148</f>
        <v>0.49427052569403429</v>
      </c>
      <c r="AO148" s="13"/>
      <c r="AP148" s="13">
        <f>1770000+(263.75*293457)</f>
        <v>79169283.75</v>
      </c>
      <c r="AQ148" s="15">
        <v>1941743.69</v>
      </c>
      <c r="AR148" s="13" t="s">
        <v>45</v>
      </c>
      <c r="AS148" s="15" t="s">
        <v>769</v>
      </c>
      <c r="AT148" s="16">
        <v>45930</v>
      </c>
      <c r="AU148" s="17"/>
      <c r="AV148" s="18" t="s">
        <v>770</v>
      </c>
      <c r="AW148" s="19"/>
      <c r="AX148" s="19"/>
      <c r="AY148" s="19"/>
      <c r="AZ148" s="19"/>
      <c r="BA148" s="19"/>
      <c r="BB148" s="19"/>
      <c r="BC148" s="19"/>
      <c r="BD148" s="19"/>
      <c r="BE148" s="19"/>
      <c r="BF148" s="19"/>
      <c r="BG148" s="19"/>
      <c r="BH148" s="20"/>
      <c r="BI148" s="20"/>
      <c r="BJ148" s="20"/>
      <c r="BK148" s="20"/>
      <c r="BL148" s="20"/>
      <c r="BM148" s="20"/>
      <c r="BN148" s="20"/>
      <c r="BO148" s="20"/>
      <c r="BP148" s="20"/>
      <c r="BQ148" s="20"/>
      <c r="BR148" s="20"/>
      <c r="BS148" s="20"/>
      <c r="BT148" s="20"/>
      <c r="BU148" s="20"/>
      <c r="BV148" s="20"/>
      <c r="BW148" s="20"/>
      <c r="IQ148" s="20"/>
      <c r="IR148" s="20"/>
      <c r="IS148" s="20"/>
      <c r="IT148" s="20"/>
      <c r="IU148" s="20"/>
      <c r="IV148" s="20"/>
      <c r="IW148" s="20"/>
    </row>
    <row r="149" spans="1:257" s="21" customFormat="1" ht="51">
      <c r="A149" s="75"/>
      <c r="B149" s="115">
        <v>142</v>
      </c>
      <c r="C149" s="68">
        <v>575484</v>
      </c>
      <c r="D149" s="4">
        <v>45904</v>
      </c>
      <c r="E149" s="5" t="s">
        <v>48</v>
      </c>
      <c r="F149" s="6">
        <v>56031</v>
      </c>
      <c r="G149" s="6">
        <v>164790</v>
      </c>
      <c r="H149" s="6">
        <v>10161</v>
      </c>
      <c r="I149" s="7"/>
      <c r="J149" s="7"/>
      <c r="K149" s="7">
        <v>44</v>
      </c>
      <c r="L149" s="7">
        <v>13</v>
      </c>
      <c r="M149" s="7" t="s">
        <v>33</v>
      </c>
      <c r="N149" s="7" t="s">
        <v>771</v>
      </c>
      <c r="O149" s="7" t="s">
        <v>772</v>
      </c>
      <c r="P149" s="7"/>
      <c r="Q149" s="7" t="s">
        <v>218</v>
      </c>
      <c r="R149" s="7" t="s">
        <v>218</v>
      </c>
      <c r="S149" s="7" t="s">
        <v>218</v>
      </c>
      <c r="T149" s="7" t="s">
        <v>773</v>
      </c>
      <c r="U149" s="7"/>
      <c r="V149" s="8">
        <v>1</v>
      </c>
      <c r="W149" s="7"/>
      <c r="X149" s="7"/>
      <c r="Y149" s="7" t="s">
        <v>719</v>
      </c>
      <c r="Z149" s="9"/>
      <c r="AA149" s="10">
        <v>2</v>
      </c>
      <c r="AB149" s="9"/>
      <c r="AC149" s="10">
        <f>+AA149+1</f>
        <v>3</v>
      </c>
      <c r="AD149" s="9"/>
      <c r="AE149" s="10">
        <f>+AA149*2</f>
        <v>4</v>
      </c>
      <c r="AF149" s="7"/>
      <c r="AG149" s="7"/>
      <c r="AH149" s="7"/>
      <c r="AI149" s="7"/>
      <c r="AJ149" s="11"/>
      <c r="AK149" s="12">
        <f>72.54+18.29/2</f>
        <v>81.685000000000002</v>
      </c>
      <c r="AL149" s="13">
        <v>250</v>
      </c>
      <c r="AM149" s="13">
        <f>+(72.54+18.29)/AL149</f>
        <v>0.36332000000000003</v>
      </c>
      <c r="AN149" s="13">
        <f>+AK149/AL149</f>
        <v>0.32674000000000003</v>
      </c>
      <c r="AO149" s="13"/>
      <c r="AP149" s="13">
        <f>+((3*293457+220124*13+4*146770)/20*(72.54+18.29/2))</f>
        <v>17680975.557750002</v>
      </c>
      <c r="AQ149" s="15">
        <v>78031.5</v>
      </c>
      <c r="AR149" s="13" t="s">
        <v>774</v>
      </c>
      <c r="AS149" s="15" t="s">
        <v>775</v>
      </c>
      <c r="AT149" s="16">
        <v>45930</v>
      </c>
      <c r="AU149" s="17"/>
      <c r="AV149" s="18" t="s">
        <v>776</v>
      </c>
      <c r="AW149" s="19"/>
      <c r="AX149" s="19"/>
      <c r="AY149" s="19"/>
      <c r="AZ149" s="19"/>
      <c r="BA149" s="19"/>
      <c r="BB149" s="19"/>
      <c r="BC149" s="19"/>
      <c r="BD149" s="19"/>
      <c r="BE149" s="19"/>
      <c r="BF149" s="19"/>
      <c r="BG149" s="19"/>
      <c r="BH149" s="20"/>
      <c r="BI149" s="20"/>
      <c r="BJ149" s="20"/>
      <c r="BK149" s="20"/>
      <c r="BL149" s="20"/>
      <c r="BM149" s="20"/>
      <c r="BN149" s="20"/>
      <c r="BO149" s="20"/>
      <c r="BP149" s="20"/>
      <c r="BQ149" s="20"/>
      <c r="BR149" s="20"/>
      <c r="BS149" s="20"/>
      <c r="BT149" s="20"/>
      <c r="BU149" s="20"/>
      <c r="BV149" s="20"/>
      <c r="BW149" s="20"/>
      <c r="IQ149" s="20"/>
      <c r="IR149" s="20"/>
      <c r="IS149" s="20"/>
      <c r="IT149" s="20"/>
      <c r="IU149" s="20"/>
      <c r="IV149" s="20"/>
      <c r="IW149" s="20"/>
    </row>
    <row r="150" spans="1:257" s="21" customFormat="1" ht="51">
      <c r="A150" s="148"/>
      <c r="B150" s="149">
        <v>143</v>
      </c>
      <c r="C150" s="146" t="s">
        <v>777</v>
      </c>
      <c r="D150" s="150">
        <v>45784</v>
      </c>
      <c r="E150" s="151" t="s">
        <v>32</v>
      </c>
      <c r="F150" s="97">
        <v>50688</v>
      </c>
      <c r="G150" s="97">
        <v>160598</v>
      </c>
      <c r="H150" s="97">
        <v>32830</v>
      </c>
      <c r="I150" s="77">
        <v>354</v>
      </c>
      <c r="J150" s="77"/>
      <c r="K150" s="77"/>
      <c r="L150" s="77">
        <v>83</v>
      </c>
      <c r="M150" s="77" t="s">
        <v>778</v>
      </c>
      <c r="N150" s="77" t="s">
        <v>779</v>
      </c>
      <c r="O150" s="77" t="s">
        <v>780</v>
      </c>
      <c r="P150" s="77"/>
      <c r="Q150" s="77" t="s">
        <v>366</v>
      </c>
      <c r="R150" s="77"/>
      <c r="S150" s="77"/>
      <c r="T150" s="77"/>
      <c r="U150" s="77">
        <v>1</v>
      </c>
      <c r="V150" s="78"/>
      <c r="W150" s="77"/>
      <c r="X150" s="77"/>
      <c r="Y150" s="77" t="s">
        <v>316</v>
      </c>
      <c r="Z150" s="79"/>
      <c r="AA150" s="80"/>
      <c r="AB150" s="79"/>
      <c r="AC150" s="80"/>
      <c r="AD150" s="79"/>
      <c r="AE150" s="80"/>
      <c r="AF150" s="77"/>
      <c r="AG150" s="77">
        <v>300</v>
      </c>
      <c r="AH150" s="77"/>
      <c r="AI150" s="77">
        <v>75</v>
      </c>
      <c r="AJ150" s="81"/>
      <c r="AK150" s="82"/>
      <c r="AL150" s="83">
        <v>1000</v>
      </c>
      <c r="AM150" s="83">
        <f>+(AG150+AI150)/AL150</f>
        <v>0.375</v>
      </c>
      <c r="AN150" s="83">
        <f>+(AG150+AI150)/AL150</f>
        <v>0.375</v>
      </c>
      <c r="AO150" s="83"/>
      <c r="AP150" s="83">
        <f>+AI150*298457</f>
        <v>22384275</v>
      </c>
      <c r="AQ150" s="85">
        <v>379115.64</v>
      </c>
      <c r="AR150" s="83" t="s">
        <v>45</v>
      </c>
      <c r="AS150" s="85" t="s">
        <v>781</v>
      </c>
      <c r="AT150" s="86">
        <v>45930</v>
      </c>
      <c r="AU150" s="64"/>
      <c r="AV150" s="87">
        <v>45926</v>
      </c>
      <c r="AW150" s="19"/>
      <c r="AX150" s="19"/>
      <c r="AY150" s="19"/>
      <c r="AZ150" s="19"/>
      <c r="BA150" s="19"/>
      <c r="BB150" s="19"/>
      <c r="BC150" s="19"/>
      <c r="BD150" s="19"/>
      <c r="BE150" s="19"/>
      <c r="BF150" s="19"/>
      <c r="BG150" s="19"/>
      <c r="BH150" s="20"/>
      <c r="BI150" s="20"/>
      <c r="BJ150" s="20"/>
      <c r="BK150" s="20"/>
      <c r="BL150" s="20"/>
      <c r="BM150" s="20"/>
      <c r="BN150" s="20"/>
      <c r="BO150" s="20"/>
      <c r="BP150" s="20"/>
      <c r="BQ150" s="20"/>
      <c r="BR150" s="20"/>
      <c r="BS150" s="20"/>
      <c r="BT150" s="20"/>
      <c r="BU150" s="20"/>
      <c r="BV150" s="20"/>
      <c r="BW150" s="20"/>
      <c r="IQ150" s="20"/>
      <c r="IR150" s="20"/>
      <c r="IS150" s="20"/>
      <c r="IT150" s="20"/>
      <c r="IU150" s="20"/>
      <c r="IV150" s="20"/>
      <c r="IW150" s="20"/>
    </row>
    <row r="151" spans="1:257" s="125" customFormat="1">
      <c r="A151"/>
      <c r="B151"/>
      <c r="C151"/>
      <c r="D151" s="131"/>
      <c r="E151"/>
      <c r="O151" s="127"/>
      <c r="V151" s="128"/>
      <c r="AA151" s="128"/>
      <c r="AC151" s="128"/>
      <c r="AE151" s="128"/>
      <c r="AJ151" s="128"/>
      <c r="AK151" s="128"/>
      <c r="AQ151" s="129"/>
      <c r="AV151" s="130"/>
    </row>
    <row r="152" spans="1:257" s="125" customFormat="1">
      <c r="A152"/>
      <c r="B152"/>
      <c r="C152"/>
      <c r="D152" s="131"/>
      <c r="E152"/>
      <c r="O152" s="127"/>
      <c r="V152" s="128"/>
      <c r="AA152" s="128"/>
      <c r="AC152" s="128"/>
      <c r="AE152" s="128"/>
      <c r="AJ152" s="128"/>
      <c r="AK152" s="128"/>
      <c r="AQ152" s="129"/>
      <c r="AV152" s="130"/>
    </row>
    <row r="153" spans="1:257" s="125" customFormat="1">
      <c r="A153"/>
      <c r="B153"/>
      <c r="C153"/>
      <c r="D153" s="131"/>
      <c r="E153"/>
      <c r="O153" s="127"/>
      <c r="V153" s="128"/>
      <c r="AA153" s="128"/>
      <c r="AC153" s="128"/>
      <c r="AE153" s="128"/>
      <c r="AJ153" s="128"/>
      <c r="AK153" s="128"/>
      <c r="AQ153" s="129"/>
      <c r="AV153" s="130"/>
    </row>
    <row r="154" spans="1:257" s="125" customFormat="1">
      <c r="A154"/>
      <c r="B154"/>
      <c r="C154"/>
      <c r="D154" s="131"/>
      <c r="E154"/>
      <c r="O154" s="127"/>
      <c r="V154" s="128"/>
      <c r="AA154" s="128"/>
      <c r="AC154" s="128"/>
      <c r="AE154" s="128"/>
      <c r="AJ154" s="128"/>
      <c r="AK154" s="128"/>
      <c r="AQ154" s="129"/>
      <c r="AV154" s="130"/>
    </row>
    <row r="155" spans="1:257" s="125" customFormat="1">
      <c r="A155" s="132"/>
      <c r="B155" s="133"/>
      <c r="C155" s="126"/>
      <c r="D155" s="131"/>
      <c r="E155"/>
      <c r="O155" s="127"/>
      <c r="V155" s="128"/>
      <c r="AA155" s="128"/>
      <c r="AC155" s="128"/>
      <c r="AE155" s="128"/>
      <c r="AJ155" s="128"/>
      <c r="AK155" s="128"/>
      <c r="AQ155" s="129"/>
      <c r="AV155" s="130"/>
    </row>
    <row r="156" spans="1:257" s="125" customFormat="1">
      <c r="A156" s="132"/>
      <c r="B156" s="133"/>
      <c r="C156" s="126"/>
      <c r="D156"/>
      <c r="E156"/>
      <c r="O156" s="127"/>
      <c r="V156" s="128"/>
      <c r="AA156" s="128"/>
      <c r="AC156" s="128"/>
      <c r="AE156" s="128"/>
      <c r="AJ156" s="128"/>
      <c r="AK156" s="128"/>
      <c r="AQ156" s="129"/>
      <c r="AV156" s="130"/>
    </row>
    <row r="157" spans="1:257" s="125" customFormat="1">
      <c r="A157" s="132"/>
      <c r="B157" s="133"/>
      <c r="C157" s="126"/>
      <c r="D157"/>
      <c r="E157"/>
      <c r="O157" s="127"/>
      <c r="V157" s="128"/>
      <c r="AA157" s="128"/>
      <c r="AC157" s="128"/>
      <c r="AE157" s="128"/>
      <c r="AJ157" s="128"/>
      <c r="AK157" s="128"/>
      <c r="AQ157" s="129"/>
      <c r="AV157" s="130"/>
    </row>
    <row r="158" spans="1:257" s="125" customFormat="1">
      <c r="A158" s="132"/>
      <c r="B158" s="133"/>
      <c r="C158" s="126"/>
      <c r="D158"/>
      <c r="E158"/>
      <c r="O158" s="127"/>
      <c r="V158" s="128"/>
      <c r="AA158" s="128"/>
      <c r="AC158" s="128"/>
      <c r="AE158" s="128"/>
      <c r="AJ158" s="128"/>
      <c r="AK158" s="128"/>
      <c r="AQ158" s="129"/>
      <c r="AV158" s="130"/>
    </row>
    <row r="159" spans="1:257" s="125" customFormat="1">
      <c r="A159" s="132"/>
      <c r="B159" s="133"/>
      <c r="C159" s="126"/>
      <c r="D159"/>
      <c r="E159"/>
      <c r="O159" s="127"/>
      <c r="V159" s="128"/>
      <c r="AA159" s="128"/>
      <c r="AC159" s="128"/>
      <c r="AE159" s="128"/>
      <c r="AJ159" s="128"/>
      <c r="AK159" s="128"/>
      <c r="AQ159" s="129"/>
      <c r="AV159" s="130"/>
    </row>
    <row r="160" spans="1:257" s="125" customFormat="1">
      <c r="A160" s="132"/>
      <c r="B160" s="133"/>
      <c r="C160" s="126"/>
      <c r="D160" s="134"/>
      <c r="E160"/>
      <c r="O160" s="127"/>
      <c r="V160" s="128"/>
      <c r="AA160" s="128"/>
      <c r="AC160" s="128"/>
      <c r="AE160" s="128"/>
      <c r="AJ160" s="128"/>
      <c r="AK160" s="128"/>
      <c r="AQ160" s="129"/>
      <c r="AV160" s="130"/>
    </row>
    <row r="161" spans="1:48" s="125" customFormat="1">
      <c r="A161" s="132"/>
      <c r="B161" s="133"/>
      <c r="C161" s="126"/>
      <c r="D161" s="134"/>
      <c r="E161"/>
      <c r="O161" s="127"/>
      <c r="V161" s="128"/>
      <c r="AA161" s="128"/>
      <c r="AC161" s="128"/>
      <c r="AE161" s="128"/>
      <c r="AJ161" s="128"/>
      <c r="AK161" s="128"/>
      <c r="AQ161" s="129"/>
      <c r="AV161" s="130"/>
    </row>
    <row r="162" spans="1:48" s="125" customFormat="1">
      <c r="A162" s="132"/>
      <c r="B162" s="133"/>
      <c r="C162" s="126"/>
      <c r="D162" s="134"/>
      <c r="E162"/>
      <c r="O162" s="127"/>
      <c r="V162" s="128"/>
      <c r="AA162" s="128"/>
      <c r="AC162" s="128"/>
      <c r="AE162" s="128"/>
      <c r="AJ162" s="128"/>
      <c r="AK162" s="128"/>
      <c r="AQ162" s="129"/>
      <c r="AV162" s="130"/>
    </row>
    <row r="163" spans="1:48" s="125" customFormat="1">
      <c r="A163" s="135"/>
      <c r="B163" s="133"/>
      <c r="C163" s="126"/>
      <c r="D163" s="134"/>
      <c r="E163"/>
      <c r="O163" s="127"/>
      <c r="V163" s="128"/>
      <c r="AA163" s="128"/>
      <c r="AC163" s="128"/>
      <c r="AE163" s="128"/>
      <c r="AJ163" s="128"/>
      <c r="AK163" s="128"/>
      <c r="AQ163" s="129"/>
      <c r="AV163" s="130"/>
    </row>
    <row r="164" spans="1:48" s="125" customFormat="1">
      <c r="A164" s="135"/>
      <c r="B164" s="136"/>
      <c r="C164" s="137"/>
      <c r="D164" s="134"/>
      <c r="E164"/>
      <c r="F164"/>
      <c r="G164"/>
      <c r="H164"/>
      <c r="I164"/>
      <c r="J164"/>
      <c r="K164"/>
      <c r="L164"/>
      <c r="M164"/>
      <c r="N164" s="138"/>
      <c r="O164" s="139"/>
      <c r="P164"/>
      <c r="Q164"/>
      <c r="R164"/>
      <c r="S164"/>
      <c r="T164"/>
      <c r="U164"/>
      <c r="V164" s="140"/>
      <c r="W164"/>
      <c r="X164"/>
      <c r="Y164"/>
      <c r="Z164"/>
      <c r="AA164" s="140"/>
      <c r="AB164"/>
      <c r="AC164" s="140"/>
      <c r="AD164"/>
      <c r="AE164" s="140"/>
      <c r="AF164"/>
      <c r="AG164"/>
      <c r="AH164"/>
      <c r="AI164"/>
      <c r="AJ164" s="140"/>
      <c r="AK164" s="140"/>
      <c r="AL164"/>
      <c r="AM164"/>
      <c r="AN164"/>
      <c r="AO164"/>
      <c r="AP164"/>
      <c r="AQ164" s="141"/>
      <c r="AR164"/>
      <c r="AS164"/>
      <c r="AT164"/>
      <c r="AU164"/>
      <c r="AV164" s="142"/>
    </row>
  </sheetData>
  <pageMargins left="0.78749999999999998" right="0.78749999999999998" top="1.1513888888888899" bottom="1.1513888888888899" header="0.78749999999999998" footer="0.78749999999999998"/>
  <pageSetup paperSize="9" firstPageNumber="0" orientation="portrait" horizontalDpi="300" verticalDpi="300" r:id="rId1"/>
  <headerFooter>
    <oddHeader>&amp;C&amp;"Times New Roman1,Normal"&amp;12&amp;A</oddHeader>
    <oddFooter>&amp;C&amp;"Times New Roman1,Normal"&amp;12Página &amp;P</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2025</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Pamela</dc:creator>
  <cp:lastModifiedBy>Pamela</cp:lastModifiedBy>
  <dcterms:created xsi:type="dcterms:W3CDTF">2025-10-06T02:46:51Z</dcterms:created>
  <dcterms:modified xsi:type="dcterms:W3CDTF">2025-10-06T02:58:59Z</dcterms:modified>
</cp:coreProperties>
</file>