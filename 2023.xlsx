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840" yWindow="945" windowWidth="27795" windowHeight="10980"/>
  </bookViews>
  <sheets>
    <sheet name="2023" sheetId="1" r:id="rId1"/>
  </sheets>
  <calcPr calcId="125725"/>
</workbook>
</file>

<file path=xl/calcChain.xml><?xml version="1.0" encoding="utf-8"?>
<calcChain xmlns="http://schemas.openxmlformats.org/spreadsheetml/2006/main">
  <c r="AP208" i="1"/>
  <c r="AM208"/>
  <c r="AH208"/>
  <c r="AF208"/>
  <c r="AN208" s="1"/>
  <c r="Z208"/>
  <c r="AB208" s="1"/>
  <c r="U208"/>
  <c r="AN206"/>
  <c r="AM206"/>
  <c r="AH206"/>
  <c r="AP206" s="1"/>
  <c r="AD206"/>
  <c r="Z206"/>
  <c r="AB206" s="1"/>
  <c r="AO205"/>
  <c r="AM205"/>
  <c r="AH205"/>
  <c r="AF205"/>
  <c r="AB205"/>
  <c r="Z205"/>
  <c r="AD205" s="1"/>
  <c r="AM204"/>
  <c r="AH204"/>
  <c r="AP204" s="1"/>
  <c r="Z204"/>
  <c r="AB204" s="1"/>
  <c r="AM203"/>
  <c r="AJ203"/>
  <c r="AN203" s="1"/>
  <c r="AE203"/>
  <c r="AC203"/>
  <c r="AN202"/>
  <c r="AM202"/>
  <c r="AM201"/>
  <c r="AI201"/>
  <c r="AG201"/>
  <c r="AM200"/>
  <c r="AJ200"/>
  <c r="AN200" s="1"/>
  <c r="AE200"/>
  <c r="AC200"/>
  <c r="AM199"/>
  <c r="AH199"/>
  <c r="AF199"/>
  <c r="AN199" s="1"/>
  <c r="Z199"/>
  <c r="AD199" s="1"/>
  <c r="AO198"/>
  <c r="AM198"/>
  <c r="AH198"/>
  <c r="AP198" s="1"/>
  <c r="Z198"/>
  <c r="AB198" s="1"/>
  <c r="U198"/>
  <c r="AM197"/>
  <c r="AJ197"/>
  <c r="AN197" s="1"/>
  <c r="AP196"/>
  <c r="AP195"/>
  <c r="AN195"/>
  <c r="AM195"/>
  <c r="AF195"/>
  <c r="AD195"/>
  <c r="AB195"/>
  <c r="AO194"/>
  <c r="AM194"/>
  <c r="AJ194"/>
  <c r="AN194" s="1"/>
  <c r="Z194"/>
  <c r="AD194" s="1"/>
  <c r="AM193"/>
  <c r="AJ193"/>
  <c r="AN193" s="1"/>
  <c r="AE193"/>
  <c r="AC193"/>
  <c r="AM192"/>
  <c r="AJ192"/>
  <c r="AN192" s="1"/>
  <c r="AE192"/>
  <c r="AC192"/>
  <c r="AM191"/>
  <c r="AH191"/>
  <c r="AN191" s="1"/>
  <c r="AD191"/>
  <c r="AB191"/>
  <c r="AM190"/>
  <c r="AH190"/>
  <c r="AP190" s="1"/>
  <c r="AF190"/>
  <c r="Z190"/>
  <c r="AD190" s="1"/>
  <c r="AP189"/>
  <c r="AM189"/>
  <c r="AN189" s="1"/>
  <c r="AE189"/>
  <c r="AM188"/>
  <c r="AK188"/>
  <c r="AJ188"/>
  <c r="AN188" s="1"/>
  <c r="Z188"/>
  <c r="AD188" s="1"/>
  <c r="V188"/>
  <c r="AP187"/>
  <c r="AM187"/>
  <c r="AN187" s="1"/>
  <c r="AE187"/>
  <c r="AC187"/>
  <c r="AP186"/>
  <c r="AM186"/>
  <c r="AN186" s="1"/>
  <c r="AE186"/>
  <c r="AC186"/>
  <c r="AN184"/>
  <c r="AM184"/>
  <c r="AF184"/>
  <c r="Z184"/>
  <c r="AB184" s="1"/>
  <c r="AM183"/>
  <c r="AH183"/>
  <c r="AF183"/>
  <c r="AB183"/>
  <c r="Z183"/>
  <c r="AD183" s="1"/>
  <c r="U183"/>
  <c r="AM182"/>
  <c r="AH182"/>
  <c r="AP182" s="1"/>
  <c r="AF182"/>
  <c r="AN182" s="1"/>
  <c r="Z182"/>
  <c r="AD182" s="1"/>
  <c r="U182"/>
  <c r="AN181"/>
  <c r="AM181"/>
  <c r="AI181"/>
  <c r="AM180"/>
  <c r="AJ180"/>
  <c r="AP180" s="1"/>
  <c r="Z180"/>
  <c r="AB180" s="1"/>
  <c r="AM179"/>
  <c r="AF179"/>
  <c r="AN179" s="1"/>
  <c r="AM178"/>
  <c r="AJ178"/>
  <c r="AN178" s="1"/>
  <c r="AA178"/>
  <c r="AC178" s="1"/>
  <c r="V178"/>
  <c r="AP177"/>
  <c r="AM177"/>
  <c r="AF177"/>
  <c r="AN177" s="1"/>
  <c r="AD177"/>
  <c r="AB177"/>
  <c r="AM176"/>
  <c r="AJ176"/>
  <c r="AP176" s="1"/>
  <c r="AE176"/>
  <c r="AC176"/>
  <c r="AH175"/>
  <c r="AM175" s="1"/>
  <c r="AN175" s="1"/>
  <c r="AD175"/>
  <c r="AB175"/>
  <c r="AH174"/>
  <c r="AM174" s="1"/>
  <c r="AN174" s="1"/>
  <c r="AD174"/>
  <c r="AB174"/>
  <c r="AP173"/>
  <c r="AM173"/>
  <c r="AJ173"/>
  <c r="AN173" s="1"/>
  <c r="AE173"/>
  <c r="AC173"/>
  <c r="AM172"/>
  <c r="AH172"/>
  <c r="AP172" s="1"/>
  <c r="AF172"/>
  <c r="Z172"/>
  <c r="AB172" s="1"/>
  <c r="U172"/>
  <c r="AM171"/>
  <c r="AH171"/>
  <c r="AN171" s="1"/>
  <c r="Z171"/>
  <c r="AB171" s="1"/>
  <c r="AM170"/>
  <c r="AK170"/>
  <c r="AG170"/>
  <c r="AM168"/>
  <c r="AJ168"/>
  <c r="AN168" s="1"/>
  <c r="AE168"/>
  <c r="AC168"/>
  <c r="AM167"/>
  <c r="AI167"/>
  <c r="AN167" s="1"/>
  <c r="AM166"/>
  <c r="AH166"/>
  <c r="AN166" s="1"/>
  <c r="AD166"/>
  <c r="AB166"/>
  <c r="AP165"/>
  <c r="AM165"/>
  <c r="AK165"/>
  <c r="AI165"/>
  <c r="AN165" s="1"/>
  <c r="AP164"/>
  <c r="AO164"/>
  <c r="AN164"/>
  <c r="AM164"/>
  <c r="Z164"/>
  <c r="AD164" s="1"/>
  <c r="AM163"/>
  <c r="AH163"/>
  <c r="AP163" s="1"/>
  <c r="AD163"/>
  <c r="AB163"/>
  <c r="AO162"/>
  <c r="AM162"/>
  <c r="AH162"/>
  <c r="AN162" s="1"/>
  <c r="AD162"/>
  <c r="AB162"/>
  <c r="AM161"/>
  <c r="AI161"/>
  <c r="AF161"/>
  <c r="AN161" s="1"/>
  <c r="AD161"/>
  <c r="AB161"/>
  <c r="U161"/>
  <c r="AM160"/>
  <c r="AJ160"/>
  <c r="AP160" s="1"/>
  <c r="AA160"/>
  <c r="AE160" s="1"/>
  <c r="AP159"/>
  <c r="AM159"/>
  <c r="AI159"/>
  <c r="AH159"/>
  <c r="AN159" s="1"/>
  <c r="AD159"/>
  <c r="AB159"/>
  <c r="AM158"/>
  <c r="AJ158"/>
  <c r="AP158" s="1"/>
  <c r="AF158"/>
  <c r="AE158"/>
  <c r="AD158"/>
  <c r="AC158"/>
  <c r="AB158"/>
  <c r="W158"/>
  <c r="AO157"/>
  <c r="AM157"/>
  <c r="AJ157"/>
  <c r="AP157" s="1"/>
  <c r="AF157"/>
  <c r="AE157"/>
  <c r="AD157"/>
  <c r="AC157"/>
  <c r="AB157"/>
  <c r="AP155"/>
  <c r="AM155"/>
  <c r="AN155" s="1"/>
  <c r="AM154"/>
  <c r="AH154"/>
  <c r="AN154" s="1"/>
  <c r="AF154"/>
  <c r="AD154"/>
  <c r="AB154"/>
  <c r="AM153"/>
  <c r="AJ153"/>
  <c r="AN153" s="1"/>
  <c r="AE153"/>
  <c r="AC153"/>
  <c r="AO152"/>
  <c r="AM152"/>
  <c r="AH152"/>
  <c r="AN152" s="1"/>
  <c r="Z152"/>
  <c r="AB152" s="1"/>
  <c r="AO151"/>
  <c r="AM151"/>
  <c r="AJ151"/>
  <c r="AN151" s="1"/>
  <c r="AE151"/>
  <c r="AC151"/>
  <c r="AO150"/>
  <c r="AM150"/>
  <c r="AH150"/>
  <c r="AP150" s="1"/>
  <c r="AD150"/>
  <c r="AB150"/>
  <c r="AM149"/>
  <c r="AJ149"/>
  <c r="AN149" s="1"/>
  <c r="AE149"/>
  <c r="AC149"/>
  <c r="AP148"/>
  <c r="AN148"/>
  <c r="AM148"/>
  <c r="AH148"/>
  <c r="Z148"/>
  <c r="AB148" s="1"/>
  <c r="AN147"/>
  <c r="AM147"/>
  <c r="AE147"/>
  <c r="AC147"/>
  <c r="AM146"/>
  <c r="AH146"/>
  <c r="AP146" s="1"/>
  <c r="AD146"/>
  <c r="AB146"/>
  <c r="Z146"/>
  <c r="AP145"/>
  <c r="AO145"/>
  <c r="AF145"/>
  <c r="AN145" s="1"/>
  <c r="AE145"/>
  <c r="Z145"/>
  <c r="AD145" s="1"/>
  <c r="AP144"/>
  <c r="AO144"/>
  <c r="AM144"/>
  <c r="AJ144"/>
  <c r="AN144" s="1"/>
  <c r="V144"/>
  <c r="AA144" s="1"/>
  <c r="AO143"/>
  <c r="AM143"/>
  <c r="AH143"/>
  <c r="AP143" s="1"/>
  <c r="AD143"/>
  <c r="Z143"/>
  <c r="AB143" s="1"/>
  <c r="AP142"/>
  <c r="AO142"/>
  <c r="AM142"/>
  <c r="AJ142"/>
  <c r="AN142" s="1"/>
  <c r="AH141"/>
  <c r="AN141" s="1"/>
  <c r="Z141"/>
  <c r="AB141" s="1"/>
  <c r="AO140"/>
  <c r="AM140"/>
  <c r="AJ140"/>
  <c r="AP140" s="1"/>
  <c r="AA140"/>
  <c r="AE140" s="1"/>
  <c r="AM139"/>
  <c r="AH139"/>
  <c r="AP139" s="1"/>
  <c r="AF139"/>
  <c r="AN138"/>
  <c r="AJ138"/>
  <c r="AP138" s="1"/>
  <c r="AA138"/>
  <c r="AC138" s="1"/>
  <c r="V138"/>
  <c r="AP137"/>
  <c r="AO137"/>
  <c r="AM137"/>
  <c r="AF137"/>
  <c r="AN137" s="1"/>
  <c r="AN136"/>
  <c r="AM136"/>
  <c r="AI136"/>
  <c r="AP136" s="1"/>
  <c r="Z136"/>
  <c r="AD136" s="1"/>
  <c r="U136"/>
  <c r="AK135"/>
  <c r="AP134"/>
  <c r="AM134"/>
  <c r="AG134"/>
  <c r="AN134" s="1"/>
  <c r="AM133"/>
  <c r="AJ133"/>
  <c r="AN133" s="1"/>
  <c r="AE133"/>
  <c r="AC133"/>
  <c r="AP132"/>
  <c r="AO132"/>
  <c r="AN132"/>
  <c r="AJ132"/>
  <c r="AF132"/>
  <c r="AM132" s="1"/>
  <c r="AA132"/>
  <c r="AC132" s="1"/>
  <c r="Z132"/>
  <c r="AB132" s="1"/>
  <c r="AP131"/>
  <c r="AO131"/>
  <c r="AM131"/>
  <c r="AJ131"/>
  <c r="AN131" s="1"/>
  <c r="AM130"/>
  <c r="AK130"/>
  <c r="AP130" s="1"/>
  <c r="AK129"/>
  <c r="AN129" s="1"/>
  <c r="AK128"/>
  <c r="AN128" s="1"/>
  <c r="AP127"/>
  <c r="AN127"/>
  <c r="AM127"/>
  <c r="AD127"/>
  <c r="AB127"/>
  <c r="AM126"/>
  <c r="AJ126"/>
  <c r="AH126"/>
  <c r="AF126"/>
  <c r="AE126"/>
  <c r="AC126"/>
  <c r="Z126"/>
  <c r="AD126" s="1"/>
  <c r="U126"/>
  <c r="AM125"/>
  <c r="AJ125"/>
  <c r="AP125" s="1"/>
  <c r="AF125"/>
  <c r="AD125"/>
  <c r="AC125"/>
  <c r="AB125"/>
  <c r="AA125"/>
  <c r="AE125" s="1"/>
  <c r="AI124"/>
  <c r="AP124" s="1"/>
  <c r="AG124"/>
  <c r="AM123"/>
  <c r="AH123"/>
  <c r="AP123" s="1"/>
  <c r="AF123"/>
  <c r="AO122"/>
  <c r="AM122"/>
  <c r="AJ122"/>
  <c r="AP122" s="1"/>
  <c r="AD122"/>
  <c r="AB122"/>
  <c r="AA122"/>
  <c r="AC122" s="1"/>
  <c r="AP121"/>
  <c r="AM121"/>
  <c r="AJ121"/>
  <c r="AN121" s="1"/>
  <c r="AF121"/>
  <c r="AA121"/>
  <c r="AE121" s="1"/>
  <c r="Z121"/>
  <c r="AD121" s="1"/>
  <c r="AO120"/>
  <c r="AN120"/>
  <c r="AM120"/>
  <c r="AH120"/>
  <c r="AP120" s="1"/>
  <c r="Z120"/>
  <c r="AB120" s="1"/>
  <c r="AM119"/>
  <c r="AH119"/>
  <c r="AN119" s="1"/>
  <c r="AD119"/>
  <c r="AB119"/>
  <c r="AO118"/>
  <c r="AM118"/>
  <c r="AJ118"/>
  <c r="AF118"/>
  <c r="AE118"/>
  <c r="AD118"/>
  <c r="AC118"/>
  <c r="AB118"/>
  <c r="AM117"/>
  <c r="AF117"/>
  <c r="AH117" s="1"/>
  <c r="AN116"/>
  <c r="AM116"/>
  <c r="AM115"/>
  <c r="AJ115"/>
  <c r="AN115" s="1"/>
  <c r="AE115"/>
  <c r="AC115"/>
  <c r="AO114"/>
  <c r="AH114"/>
  <c r="AP114" s="1"/>
  <c r="AD114"/>
  <c r="AB114"/>
  <c r="AP113"/>
  <c r="AH113"/>
  <c r="AF113"/>
  <c r="AE113"/>
  <c r="Z113"/>
  <c r="AB113" s="1"/>
  <c r="U113"/>
  <c r="AM112"/>
  <c r="AJ112"/>
  <c r="AN112" s="1"/>
  <c r="AE112"/>
  <c r="AC112"/>
  <c r="AM111"/>
  <c r="AF111"/>
  <c r="AH111" s="1"/>
  <c r="AP111" s="1"/>
  <c r="AM110"/>
  <c r="AK110"/>
  <c r="AN110" s="1"/>
  <c r="AP109"/>
  <c r="AN109"/>
  <c r="AM109"/>
  <c r="AJ109"/>
  <c r="AA109"/>
  <c r="AC109" s="1"/>
  <c r="AM108"/>
  <c r="AJ108"/>
  <c r="AN108" s="1"/>
  <c r="AE108"/>
  <c r="AC108"/>
  <c r="AN107"/>
  <c r="AM107"/>
  <c r="AJ107"/>
  <c r="AP107" s="1"/>
  <c r="AE107"/>
  <c r="AC107"/>
  <c r="AM106"/>
  <c r="AJ106"/>
  <c r="AN106" s="1"/>
  <c r="AE106"/>
  <c r="AC106"/>
  <c r="AN105"/>
  <c r="AM105"/>
  <c r="AO104"/>
  <c r="AM104"/>
  <c r="AJ104"/>
  <c r="AN104" s="1"/>
  <c r="AA104"/>
  <c r="AC104" s="1"/>
  <c r="AM103"/>
  <c r="AJ103"/>
  <c r="AN103" s="1"/>
  <c r="AE103"/>
  <c r="AC103"/>
  <c r="AM102"/>
  <c r="AF102"/>
  <c r="AH102" s="1"/>
  <c r="AP102" s="1"/>
  <c r="AD102"/>
  <c r="AB102"/>
  <c r="AO101"/>
  <c r="AM101"/>
  <c r="AH101"/>
  <c r="AP101" s="1"/>
  <c r="AD101"/>
  <c r="AB101"/>
  <c r="AH100"/>
  <c r="AP100" s="1"/>
  <c r="AP99"/>
  <c r="AM99"/>
  <c r="AN99" s="1"/>
  <c r="AE99"/>
  <c r="AC99"/>
  <c r="AM98"/>
  <c r="AH98"/>
  <c r="AN98" s="1"/>
  <c r="AD98"/>
  <c r="AB98"/>
  <c r="AM97"/>
  <c r="AH97"/>
  <c r="AP97" s="1"/>
  <c r="Z97"/>
  <c r="AB97" s="1"/>
  <c r="AM96"/>
  <c r="AJ96"/>
  <c r="AI96"/>
  <c r="AN96" s="1"/>
  <c r="AE96"/>
  <c r="AO95"/>
  <c r="AM95"/>
  <c r="AH95"/>
  <c r="AN95" s="1"/>
  <c r="AM94"/>
  <c r="AI94"/>
  <c r="AF94"/>
  <c r="W94"/>
  <c r="AJ93"/>
  <c r="AN93" s="1"/>
  <c r="AC93"/>
  <c r="AA93"/>
  <c r="AE93" s="1"/>
  <c r="AP91"/>
  <c r="AM91"/>
  <c r="AJ91"/>
  <c r="AN91" s="1"/>
  <c r="AE91"/>
  <c r="AC91"/>
  <c r="AM90"/>
  <c r="AJ90"/>
  <c r="AN90" s="1"/>
  <c r="AA90"/>
  <c r="AC90" s="1"/>
  <c r="AJ89"/>
  <c r="AI89" s="1"/>
  <c r="AD89"/>
  <c r="AB89"/>
  <c r="AN88"/>
  <c r="AM88"/>
  <c r="AK88"/>
  <c r="AP88" s="1"/>
  <c r="AO87"/>
  <c r="AM87"/>
  <c r="AI87"/>
  <c r="AN87" s="1"/>
  <c r="AP86"/>
  <c r="AM86"/>
  <c r="AG86"/>
  <c r="AN86" s="1"/>
  <c r="AM85"/>
  <c r="AH85"/>
  <c r="AP85" s="1"/>
  <c r="AJ84"/>
  <c r="AP83"/>
  <c r="AO83"/>
  <c r="AN83"/>
  <c r="AM83"/>
  <c r="AE83"/>
  <c r="AC83"/>
  <c r="AP82"/>
  <c r="AO82"/>
  <c r="AM82"/>
  <c r="AN82" s="1"/>
  <c r="AD82"/>
  <c r="AB82"/>
  <c r="AN81"/>
  <c r="AM81"/>
  <c r="AI81"/>
  <c r="AP81" s="1"/>
  <c r="AM80"/>
  <c r="AF80"/>
  <c r="AH80" s="1"/>
  <c r="AP80" s="1"/>
  <c r="AM79"/>
  <c r="AH79"/>
  <c r="AN79" s="1"/>
  <c r="AB79"/>
  <c r="AD79" s="1"/>
  <c r="AM78"/>
  <c r="AJ78"/>
  <c r="AP78" s="1"/>
  <c r="AC78"/>
  <c r="AA78"/>
  <c r="AE78" s="1"/>
  <c r="AM77"/>
  <c r="AH77"/>
  <c r="AN77" s="1"/>
  <c r="AD77"/>
  <c r="AB77"/>
  <c r="AM76"/>
  <c r="AK76"/>
  <c r="AN76" s="1"/>
  <c r="AP75"/>
  <c r="AN75"/>
  <c r="AM75"/>
  <c r="AM74"/>
  <c r="AF74"/>
  <c r="AH74" s="1"/>
  <c r="AN74" s="1"/>
  <c r="Z74"/>
  <c r="AD74" s="1"/>
  <c r="AM73"/>
  <c r="AJ73"/>
  <c r="AH73"/>
  <c r="AE73"/>
  <c r="AC73"/>
  <c r="AA73"/>
  <c r="Z73"/>
  <c r="AD73" s="1"/>
  <c r="AO72"/>
  <c r="AM72"/>
  <c r="AJ72"/>
  <c r="AN72" s="1"/>
  <c r="AE72"/>
  <c r="AC72"/>
  <c r="AN71"/>
  <c r="AM71"/>
  <c r="AG71"/>
  <c r="AI71" s="1"/>
  <c r="AN70"/>
  <c r="AM70"/>
  <c r="AJ70"/>
  <c r="AP70" s="1"/>
  <c r="AE70"/>
  <c r="AC70"/>
  <c r="AO69"/>
  <c r="AM69"/>
  <c r="AJ69"/>
  <c r="AN69" s="1"/>
  <c r="AE69"/>
  <c r="AC69"/>
  <c r="AO68"/>
  <c r="AN68"/>
  <c r="AM68"/>
  <c r="AH68"/>
  <c r="AP68" s="1"/>
  <c r="AD68"/>
  <c r="AB68"/>
  <c r="AN67"/>
  <c r="AM67"/>
  <c r="AJ67"/>
  <c r="AP67" s="1"/>
  <c r="AP66"/>
  <c r="AH66"/>
  <c r="AN66" s="1"/>
  <c r="Z66"/>
  <c r="AB66" s="1"/>
  <c r="AP65"/>
  <c r="AJ65"/>
  <c r="AH65"/>
  <c r="AG65"/>
  <c r="AF65"/>
  <c r="AP64"/>
  <c r="AM64"/>
  <c r="AH64"/>
  <c r="AN64" s="1"/>
  <c r="AE64"/>
  <c r="AD64"/>
  <c r="AB64"/>
  <c r="AM63"/>
  <c r="AH63"/>
  <c r="AN63" s="1"/>
  <c r="AD63"/>
  <c r="AB63"/>
  <c r="AP62"/>
  <c r="AO62"/>
  <c r="AM62"/>
  <c r="AH62"/>
  <c r="AF62"/>
  <c r="AP61"/>
  <c r="AM61"/>
  <c r="AK61"/>
  <c r="AG61"/>
  <c r="AN61" s="1"/>
  <c r="AN60"/>
  <c r="AM60"/>
  <c r="AH60"/>
  <c r="AP60" s="1"/>
  <c r="AD60"/>
  <c r="AB60"/>
  <c r="AN59"/>
  <c r="AM59"/>
  <c r="AF59"/>
  <c r="AE59"/>
  <c r="AC59"/>
  <c r="AM58"/>
  <c r="AH58"/>
  <c r="AP58" s="1"/>
  <c r="AM57"/>
  <c r="AJ57"/>
  <c r="AH57"/>
  <c r="AE57"/>
  <c r="AD57"/>
  <c r="AC57"/>
  <c r="AB57"/>
  <c r="AM56"/>
  <c r="AN56" s="1"/>
  <c r="AM55"/>
  <c r="AH55"/>
  <c r="AN55" s="1"/>
  <c r="AD55"/>
  <c r="AB55"/>
  <c r="AM54"/>
  <c r="AJ54"/>
  <c r="AP54" s="1"/>
  <c r="AF54"/>
  <c r="AN54" s="1"/>
  <c r="AD54"/>
  <c r="AB54"/>
  <c r="AP53"/>
  <c r="AM53"/>
  <c r="AF53"/>
  <c r="AN53" s="1"/>
  <c r="Z53"/>
  <c r="AB53" s="1"/>
  <c r="AP52"/>
  <c r="AM52"/>
  <c r="AJ52"/>
  <c r="AN52" s="1"/>
  <c r="AP51"/>
  <c r="AN51"/>
  <c r="AM51"/>
  <c r="AE51"/>
  <c r="AN50"/>
  <c r="AM50"/>
  <c r="AM49"/>
  <c r="AH49"/>
  <c r="AP49" s="1"/>
  <c r="AD49"/>
  <c r="AB49"/>
  <c r="AM48"/>
  <c r="AJ48"/>
  <c r="AN48" s="1"/>
  <c r="AE48"/>
  <c r="AC48"/>
  <c r="AM47"/>
  <c r="AJ47"/>
  <c r="AN47" s="1"/>
  <c r="AE47"/>
  <c r="AC47"/>
  <c r="AP45"/>
  <c r="AN45"/>
  <c r="AM45"/>
  <c r="AM44"/>
  <c r="AK44"/>
  <c r="AN44" s="1"/>
  <c r="AN43"/>
  <c r="AM43"/>
  <c r="AH43"/>
  <c r="AP43" s="1"/>
  <c r="Z43"/>
  <c r="AD43" s="1"/>
  <c r="AO42"/>
  <c r="AJ42"/>
  <c r="AO41"/>
  <c r="AN41"/>
  <c r="AM41"/>
  <c r="AJ41"/>
  <c r="AP41" s="1"/>
  <c r="AA41"/>
  <c r="AC41" s="1"/>
  <c r="AO40"/>
  <c r="AM40"/>
  <c r="AH40"/>
  <c r="AP40" s="1"/>
  <c r="AD40"/>
  <c r="AB40"/>
  <c r="U40"/>
  <c r="AN39"/>
  <c r="AM39"/>
  <c r="AH39"/>
  <c r="AP39" s="1"/>
  <c r="U39"/>
  <c r="AP38"/>
  <c r="AO38"/>
  <c r="AM38"/>
  <c r="AF38"/>
  <c r="AN38" s="1"/>
  <c r="AO37"/>
  <c r="AM37"/>
  <c r="AJ37"/>
  <c r="AN37" s="1"/>
  <c r="AE37"/>
  <c r="AC37"/>
  <c r="AO36"/>
  <c r="AM36"/>
  <c r="AJ36"/>
  <c r="AN36" s="1"/>
  <c r="AE36"/>
  <c r="AC36"/>
  <c r="AJ35"/>
  <c r="AA35"/>
  <c r="AC35" s="1"/>
  <c r="AJ34"/>
  <c r="AA34"/>
  <c r="AC34" s="1"/>
  <c r="AP33"/>
  <c r="AH33"/>
  <c r="AF33"/>
  <c r="AM32"/>
  <c r="AH32"/>
  <c r="AP32" s="1"/>
  <c r="AF32"/>
  <c r="AN32" s="1"/>
  <c r="AD32"/>
  <c r="AB32"/>
  <c r="AP31"/>
  <c r="AM31"/>
  <c r="AJ31"/>
  <c r="AN31" s="1"/>
  <c r="AE31"/>
  <c r="AC31"/>
  <c r="AP30"/>
  <c r="AM30"/>
  <c r="AH30"/>
  <c r="AN30" s="1"/>
  <c r="Z30"/>
  <c r="AB30" s="1"/>
  <c r="AN29"/>
  <c r="AM29"/>
  <c r="AP27"/>
  <c r="AO27"/>
  <c r="AM27"/>
  <c r="AH27"/>
  <c r="AN27" s="1"/>
  <c r="AD27"/>
  <c r="AB27"/>
  <c r="AM26"/>
  <c r="AJ26"/>
  <c r="AN26" s="1"/>
  <c r="AE26"/>
  <c r="AC26"/>
  <c r="AP25"/>
  <c r="AL25"/>
  <c r="AF25"/>
  <c r="AD25"/>
  <c r="AB25"/>
  <c r="AP24"/>
  <c r="AN24"/>
  <c r="AM24"/>
  <c r="AH24"/>
  <c r="AB24"/>
  <c r="Z24"/>
  <c r="AD24" s="1"/>
  <c r="AP23"/>
  <c r="AM23"/>
  <c r="AK23"/>
  <c r="AN23" s="1"/>
  <c r="AM22"/>
  <c r="AJ22"/>
  <c r="AP22" s="1"/>
  <c r="AE22"/>
  <c r="AC22"/>
  <c r="AM21"/>
  <c r="AJ21"/>
  <c r="AP21" s="1"/>
  <c r="AA21"/>
  <c r="AC21" s="1"/>
  <c r="AM20"/>
  <c r="AJ20"/>
  <c r="AN20" s="1"/>
  <c r="AE20"/>
  <c r="AC20"/>
  <c r="AO19"/>
  <c r="AM19"/>
  <c r="AI19"/>
  <c r="AG19"/>
  <c r="AM18"/>
  <c r="AF18"/>
  <c r="AH18" s="1"/>
  <c r="AN18" s="1"/>
  <c r="AE18"/>
  <c r="AC18"/>
  <c r="AU17"/>
  <c r="AN17"/>
  <c r="AM17"/>
  <c r="AF17"/>
  <c r="AH17" s="1"/>
  <c r="AP17" s="1"/>
  <c r="Z17"/>
  <c r="AD17" s="1"/>
  <c r="U17"/>
  <c r="AM16"/>
  <c r="AK16"/>
  <c r="AN16" s="1"/>
  <c r="AM15"/>
  <c r="AJ15"/>
  <c r="AN15" s="1"/>
  <c r="AE15"/>
  <c r="AC15"/>
  <c r="AM14"/>
  <c r="AJ14"/>
  <c r="AP14" s="1"/>
  <c r="AE14"/>
  <c r="AC14"/>
  <c r="AO13"/>
  <c r="AH13"/>
  <c r="AP13" s="1"/>
  <c r="AF13"/>
  <c r="Z13"/>
  <c r="U13"/>
  <c r="AN12"/>
  <c r="AM12"/>
  <c r="AH12"/>
  <c r="AP12" s="1"/>
  <c r="AD12"/>
  <c r="AB12"/>
  <c r="AM11"/>
  <c r="AF11"/>
  <c r="AN11" s="1"/>
  <c r="AM10"/>
  <c r="AH10"/>
  <c r="AF10"/>
  <c r="AN9"/>
  <c r="AM9"/>
  <c r="AF9"/>
  <c r="AO8"/>
  <c r="AM8"/>
  <c r="AJ8"/>
  <c r="AP8" s="1"/>
  <c r="AE8"/>
  <c r="AC8"/>
  <c r="AP7"/>
  <c r="AM7"/>
  <c r="AI7"/>
  <c r="AN6"/>
  <c r="AM6"/>
  <c r="AH6"/>
  <c r="AP6" s="1"/>
  <c r="AF6"/>
  <c r="AD6"/>
  <c r="AB6"/>
  <c r="AM5"/>
  <c r="AH5"/>
  <c r="AN5" s="1"/>
  <c r="AD5"/>
  <c r="AB5"/>
  <c r="Z5"/>
  <c r="AM4"/>
  <c r="AF4"/>
  <c r="AH4" s="1"/>
  <c r="Z4"/>
  <c r="AD4" s="1"/>
  <c r="AM3"/>
  <c r="AH3"/>
  <c r="AF3"/>
  <c r="AN3" s="1"/>
  <c r="AM2"/>
  <c r="AF2"/>
  <c r="AN2" s="1"/>
  <c r="AN4" l="1"/>
  <c r="AP4"/>
  <c r="AN10"/>
  <c r="AN13"/>
  <c r="AP63"/>
  <c r="AN73"/>
  <c r="AN113"/>
  <c r="AB164"/>
  <c r="AN176"/>
  <c r="AP191"/>
  <c r="AP115"/>
  <c r="AE21"/>
  <c r="AD30"/>
  <c r="AE41"/>
  <c r="AN118"/>
  <c r="AB194"/>
  <c r="AN78"/>
  <c r="AN85"/>
  <c r="AN100"/>
  <c r="AN125"/>
  <c r="AN140"/>
  <c r="AB182"/>
  <c r="AN14"/>
  <c r="AE35"/>
  <c r="AD148"/>
  <c r="AB43"/>
  <c r="AD120"/>
  <c r="AN102"/>
  <c r="AB17"/>
  <c r="AP126"/>
  <c r="AN130"/>
  <c r="AC160"/>
  <c r="AN172"/>
  <c r="AB74"/>
  <c r="AN21"/>
  <c r="AN33"/>
  <c r="AN101"/>
  <c r="AN146"/>
  <c r="AD198"/>
  <c r="AE144"/>
  <c r="AC144"/>
  <c r="AB4"/>
  <c r="AP15"/>
  <c r="AP20"/>
  <c r="AN49"/>
  <c r="AN117"/>
  <c r="AC140"/>
  <c r="AN150"/>
  <c r="AN163"/>
  <c r="AN170"/>
  <c r="AP188"/>
  <c r="AN205"/>
  <c r="AN22"/>
  <c r="AN40"/>
  <c r="AN58"/>
  <c r="AN65"/>
  <c r="AP90"/>
  <c r="AP133"/>
  <c r="AN180"/>
  <c r="AN94"/>
  <c r="AD97"/>
  <c r="AN123"/>
  <c r="AD152"/>
  <c r="AP174"/>
  <c r="AB188"/>
  <c r="AB199"/>
  <c r="AP37"/>
  <c r="AP69"/>
  <c r="AP141"/>
  <c r="AP26"/>
  <c r="AN111"/>
  <c r="AN157"/>
  <c r="AD13"/>
  <c r="AD113"/>
  <c r="AN139"/>
  <c r="AD141"/>
  <c r="AN143"/>
  <c r="AP151"/>
  <c r="AP153"/>
  <c r="AN160"/>
  <c r="AN190"/>
  <c r="AN198"/>
  <c r="AN201"/>
  <c r="AN204"/>
  <c r="AB13"/>
  <c r="AN57"/>
  <c r="AP96"/>
  <c r="AB136"/>
  <c r="AB145"/>
  <c r="AN158"/>
  <c r="AD184"/>
  <c r="AB190"/>
  <c r="AN19"/>
  <c r="AE34"/>
  <c r="AN62"/>
  <c r="AN126"/>
  <c r="AN183"/>
  <c r="AP36"/>
  <c r="AP47"/>
  <c r="AN97"/>
  <c r="AN124"/>
  <c r="AN89"/>
  <c r="AP89"/>
  <c r="AN8"/>
  <c r="AB73"/>
  <c r="AP98"/>
  <c r="AP104"/>
  <c r="AN122"/>
  <c r="AB126"/>
  <c r="AP162"/>
  <c r="AE178"/>
  <c r="AP18"/>
  <c r="AE109"/>
  <c r="AP119"/>
  <c r="AP149"/>
  <c r="AP194"/>
  <c r="AP205"/>
  <c r="AD172"/>
  <c r="AD180"/>
  <c r="AD204"/>
  <c r="AD208"/>
  <c r="AP72"/>
  <c r="AE122"/>
  <c r="AE132"/>
  <c r="AP152"/>
  <c r="AP5"/>
  <c r="AP55"/>
  <c r="AP73"/>
  <c r="AN80"/>
  <c r="AP106"/>
  <c r="AP108"/>
  <c r="AD132"/>
  <c r="AP168"/>
  <c r="AP57"/>
  <c r="AD66"/>
  <c r="AP93"/>
  <c r="AE104"/>
  <c r="AP110"/>
  <c r="AE138"/>
  <c r="AP200"/>
  <c r="AP203"/>
  <c r="AN7"/>
  <c r="AP95"/>
  <c r="AP118"/>
  <c r="AP74"/>
  <c r="AP77"/>
  <c r="AP103"/>
  <c r="AP178"/>
  <c r="AD53"/>
  <c r="AE90"/>
  <c r="AD171"/>
</calcChain>
</file>

<file path=xl/sharedStrings.xml><?xml version="1.0" encoding="utf-8"?>
<sst xmlns="http://schemas.openxmlformats.org/spreadsheetml/2006/main" count="2152" uniqueCount="1046">
  <si>
    <t>LEGAJO</t>
  </si>
  <si>
    <t>EXPEDIENTE</t>
  </si>
  <si>
    <t>INGRESO</t>
  </si>
  <si>
    <t>Plano de Mensura</t>
  </si>
  <si>
    <t>Partida Provincial</t>
  </si>
  <si>
    <t>Partida Municipal</t>
  </si>
  <si>
    <t>Concesión</t>
  </si>
  <si>
    <t>Ex-Quinta</t>
  </si>
  <si>
    <t>Manzana</t>
  </si>
  <si>
    <t>Parcela</t>
  </si>
  <si>
    <t>Zonificación</t>
  </si>
  <si>
    <t>Ubicación</t>
  </si>
  <si>
    <t>Propietario</t>
  </si>
  <si>
    <t>Nombre del Establecimiento y/o empresa</t>
  </si>
  <si>
    <t>Proyecto</t>
  </si>
  <si>
    <t>Dirección de obra</t>
  </si>
  <si>
    <t>Estructura</t>
  </si>
  <si>
    <t>Constructor</t>
  </si>
  <si>
    <t>RELEVAMIENTO o existente</t>
  </si>
  <si>
    <t>A CONTRUIR / OBRA NUEVA</t>
  </si>
  <si>
    <t>AMPLIACION de obra existente</t>
  </si>
  <si>
    <t>PROYECTADO (no iniciado)</t>
  </si>
  <si>
    <t>Terreno</t>
  </si>
  <si>
    <t>F. O. S.</t>
  </si>
  <si>
    <t>F. O. T.</t>
  </si>
  <si>
    <t>CATEGORIA</t>
  </si>
  <si>
    <t>Monto de la Inversión (estimado y/o declarado)</t>
  </si>
  <si>
    <t>Derechos de edificación</t>
  </si>
  <si>
    <t>Observaciones</t>
  </si>
  <si>
    <t>AVANCE DE OBRA</t>
  </si>
  <si>
    <t>mail, 548999</t>
  </si>
  <si>
    <t>RELEVEMIENTO</t>
  </si>
  <si>
    <t xml:space="preserve">Ruta N° 135 </t>
  </si>
  <si>
    <t>CANALE Marta Sonia</t>
  </si>
  <si>
    <t xml:space="preserve">NOLASCO Joaquina </t>
  </si>
  <si>
    <t>ARQ</t>
  </si>
  <si>
    <t>relevamiento de ampliaciones realizadas en el hotel,BAJO ORD 27/10, art, punto 2, inc 1, 2 y 3, Infraccion Ord 130/22, art 21, Anexo V, Zona periurbana, Infraccion art 5, 27, 37, 144, 151, 178, 179, 181, 182, 201, 202, 223, 232, 233 del CE</t>
  </si>
  <si>
    <t>PeriUrbana</t>
  </si>
  <si>
    <t>BLANC Zulma Noemi</t>
  </si>
  <si>
    <t>CONFORME</t>
  </si>
  <si>
    <t>Centro</t>
  </si>
  <si>
    <t>Sarmiento Nº 88</t>
  </si>
  <si>
    <t>AMERICAN BUILDING</t>
  </si>
  <si>
    <t>ACUÑA Raúl Enrique</t>
  </si>
  <si>
    <t>Vivienda multifamiliar</t>
  </si>
  <si>
    <t>plano conforme de edificio de deptos pasado por aprte al visado, BAJO ORD 27/10, art 1, punto 1, inc 2 y 3, Infraccion art 10, 27, 37, 176, 179, 164 del CE, Ord 56/07, art 2, inc 2m art 3, inc 1, sub inc a, Ord 53/07, Ord 62/13, art 19, Ord 95/14, art 16</t>
  </si>
  <si>
    <t>RELEVAMIENTO</t>
  </si>
  <si>
    <t>Nuceo Urbano Ampliado</t>
  </si>
  <si>
    <t>Maipú Nª 525, 529 (antes 535)</t>
  </si>
  <si>
    <t>BENITEZ Norma Beatriz</t>
  </si>
  <si>
    <t>PENON Luciano Daniel</t>
  </si>
  <si>
    <t>ING. CIVIVL</t>
  </si>
  <si>
    <t>relevamiento de dos unidades de vivienda, una de tres dormitorios, baño, cocina comedor, estar, cocheras semicubeirta para dos vehiculos, la otra dos dormitorios, cocina comedor, BAJO ORD 27/10, art 1, punto m2, inc 2 y 3, Infraccion Ord 130/22, art 20, Anexo V, Zona Urbana, Infraccion art 5, 27, 37, 144, 151, 176, 178, 179, 182, 202, 223, 233 del CE</t>
  </si>
  <si>
    <t>MAIL, 549161</t>
  </si>
  <si>
    <t>Zona Periurbana</t>
  </si>
  <si>
    <t>Camino Bernardino Horne s/N°</t>
  </si>
  <si>
    <t>WILLA Enrique Alejandro y ANDRINI Paula Carolina</t>
  </si>
  <si>
    <t>ARQ.</t>
  </si>
  <si>
    <t>relevamiento de vivienda (de casero) y de ampliaciones ejecutadas en vivienda unifamiliaren PA dormitorio, baño completo, atelier, vestidor, en Pbhall de ingreso, cocina desayunador estar, lavadero, despensa, dormitorio, oficina, baño, cochera lateral semicubierta con parrilla y bacha, en el fondo casa casero de un dormitoio en PA, baño, cocina comedor estar en PB, galeria semicubierta, BAJO ORD 27/10, art 1, punto 2, inc 2, Infraccion 5, 27, 37, 176, 178 del CE, Infraccion ORd 130/22, art 21, anexo V</t>
  </si>
  <si>
    <t>9 de Julio N° 68</t>
  </si>
  <si>
    <t>SAENZ SAMANIEGO Ana María y Marta Alicia</t>
  </si>
  <si>
    <t>ZARAGOZA Víctor Andres</t>
  </si>
  <si>
    <t>Local comercial</t>
  </si>
  <si>
    <t>relevamiento local comercial resto bar, BAJO ORD 27/10, art 1, punto 2, inc 2, Infraccion art 5, 27, 37, 144, 151, 176, 179, 198, 230 del CE, Infraccion Ord 62/21</t>
  </si>
  <si>
    <t>mail, 549039</t>
  </si>
  <si>
    <t>A CONSTRUIR</t>
  </si>
  <si>
    <t xml:space="preserve">Urbana </t>
  </si>
  <si>
    <t>Celia Pellenc N°</t>
  </si>
  <si>
    <t>ORCELLET Mabel</t>
  </si>
  <si>
    <t>MAHER Luciana A</t>
  </si>
  <si>
    <t>no identificado</t>
  </si>
  <si>
    <t>Vivienda unifamiliar</t>
  </si>
  <si>
    <t>vivienda unifamiliar a construir, tres dormitorios, cocina comedor estar, baño, cochera semicubierta al frente</t>
  </si>
  <si>
    <t>mail, 548921</t>
  </si>
  <si>
    <t>Calle Chaiñar esq Madres y Abuelas de P. de Mayo</t>
  </si>
  <si>
    <t>ARROYO Adrián</t>
  </si>
  <si>
    <t>GRAZIANI Agustin</t>
  </si>
  <si>
    <t>ING. CIVIL</t>
  </si>
  <si>
    <t>relevamiento de tres unidades de vivienda, una en PA monoambiente, en PB una de un dormitorio, baño, cocina, comedor estar, pileta, cochera descubierta, otra de tres dormitorios en PB y uno en suite en PA con vestidor baño y gimnasio, abajo Hall, living comedor, cocina, quincho, baño, oficina, BAJO ORD 27/10, art 1, punto 2, inc 2, Infraccion art 5, 27, 37, 144, 179, 223, 233 del CE, Ord 130/22, art 21, Anexo V, Zona Periurbana</t>
  </si>
  <si>
    <t>Madres y Abuelas de P de Mayo</t>
  </si>
  <si>
    <t>DEMOLICION</t>
  </si>
  <si>
    <t>San Martín N° 567 - 571</t>
  </si>
  <si>
    <t>PINGET Maria Isabel</t>
  </si>
  <si>
    <t>GRANE Carolina</t>
  </si>
  <si>
    <t>LARROSA Rodolfo</t>
  </si>
  <si>
    <t>a demoler construccion vivienda al fondo del lote 94,30 m2, local comercial al frente en PB y dos viviendas</t>
  </si>
  <si>
    <t>MAIL, 548907</t>
  </si>
  <si>
    <t>A TERMINAR</t>
  </si>
  <si>
    <t>URBANA</t>
  </si>
  <si>
    <t>Calle Pública s/N°</t>
  </si>
  <si>
    <t>SAENZ DIAZ Claudia Beatríz</t>
  </si>
  <si>
    <t>TRABICHET Romina Gisele</t>
  </si>
  <si>
    <t>terminada</t>
  </si>
  <si>
    <t>GARRE PEROCHENA, Gustavo Ramón</t>
  </si>
  <si>
    <t>vivienda unifamiliar construida y a terminar, tres dormitorios, baño, cocina comedor estar, cochera semicubierta en el lateral, BAJO ORD 27/10, art 1, punto 2, inc 2, Infraccion art 5, 27, 37, 144, 151 del CE</t>
  </si>
  <si>
    <t>27/12/22, terminada obra gruesa, sin aberturas</t>
  </si>
  <si>
    <t>Urbana</t>
  </si>
  <si>
    <t>Laprida N° 227</t>
  </si>
  <si>
    <t>ALBERICO Mirta Noemi</t>
  </si>
  <si>
    <t>MOYANO María Laura</t>
  </si>
  <si>
    <t>relevamiento de deptos construidos en el fondo del lote, tres unidades, dos de un dormitorio en PA cocina comedor y baño en PB y otro de dos dormitorios en PA, cocina comedor y baño en PB, una cochera cubierta, al frente existentesdos unidades de dos dormitorios baño, cocina comedor y lavadero, piscina, BAJO ORD 27/10, art 1, punto 2, inc 2, Infraccion Ord 56/07, art 3, II, 1, Ord 53/07, Infraccion art 5, 27, 37, 144, 151, 179, 226 del CE</t>
  </si>
  <si>
    <t>Residencial Norte</t>
  </si>
  <si>
    <t>Gouchón N° 253 esq Sarmiento</t>
  </si>
  <si>
    <t>CERINI GRECO Pablo Atilio</t>
  </si>
  <si>
    <t>CANEL María Eugenia</t>
  </si>
  <si>
    <t>MARIN Jorge Fabricio</t>
  </si>
  <si>
    <t>Vviienda unifamiliar</t>
  </si>
  <si>
    <t>vivienda univfamiliar a construir, tres dormitorios y un baño en PA mas balcon, en PB cocina comedor estar, acceso semicubierto, cochera semicubierta</t>
  </si>
  <si>
    <t>7/12/22, no comenzada</t>
  </si>
  <si>
    <t>mail, 549456</t>
  </si>
  <si>
    <t>Urbana 2</t>
  </si>
  <si>
    <t>Saavedra s/N°</t>
  </si>
  <si>
    <t>IMPINI Lorena Paola</t>
  </si>
  <si>
    <t>SOLIS Carlos Gustavo</t>
  </si>
  <si>
    <t>GONZALEZ Juan Maria</t>
  </si>
  <si>
    <t>M.M.O.</t>
  </si>
  <si>
    <t>vivienda unifamiliar a construir, dos dormitorios, uno con vestidor y baño, baño completo, lavadero, cocina comedor desayunador estar, aceso semicubierto, cochera semicubierta galeria posterior</t>
  </si>
  <si>
    <t>AMPLIACION</t>
  </si>
  <si>
    <t>Vieytes Nº 41 esq Gra Urquiza Nº 653, 657, 659</t>
  </si>
  <si>
    <t>ARRUA Silvia Beatriz</t>
  </si>
  <si>
    <t>GUTIERREZ Fernando Marcelo</t>
  </si>
  <si>
    <t>local comercial a construir, bajo Resolucion HCD 34/2022, excepcion, Locales comerciales existentes, infraccion ochava y techo en la vereda, Bajo Ord 27/10, art 1, punto 2, inc 2, Infraccion art 5, 27, 37, 130, 179, 202, 223, 233 del CE</t>
  </si>
  <si>
    <t>Laprida N° 122</t>
  </si>
  <si>
    <t>ORELLANA Hugo</t>
  </si>
  <si>
    <t>VALLARINO Guillermo Daniel y MARIN Jorge Fabricio</t>
  </si>
  <si>
    <t>Vivienda multifamiliar + Local comercial</t>
  </si>
  <si>
    <t>plano conforme de edificio de deptos pasado por aprt al visado, BAJO ORD 27/10, art 1, punto 1, inc 2 y 3 , Infraccion art 10, 27, 37,  179, 181, 182 del CE, Ord 56/07, art 2, inc 4, art 3, inc 1, inc 2, sub inc 1, Ord 53/07, Ord 62/13, art 19, Ord 95/14, art 16</t>
  </si>
  <si>
    <t>1801/23</t>
  </si>
  <si>
    <t>Chacabico Nº 627</t>
  </si>
  <si>
    <t>NOLASCO Carlos Alberto</t>
  </si>
  <si>
    <t>NOLASCO Joaquina María José</t>
  </si>
  <si>
    <t>DRAY Daniel Alberto</t>
  </si>
  <si>
    <t>vivienda unifamiliar a construir, dos dormitorios uno con vestidor, comedor, cocina comedor desayunador, estar, baño compartimentado, despensa, lavadero, cochera semicubierta, al fondo, pequeño taller de uso domestico y semicubierto lateral</t>
  </si>
  <si>
    <t>MAIL, 549504</t>
  </si>
  <si>
    <t>Peyret N° 210</t>
  </si>
  <si>
    <t>DE SANTIAGO Alfredo Marcial</t>
  </si>
  <si>
    <t>MALGOR Jose Manuel</t>
  </si>
  <si>
    <t>Bajo Ord 27/10, art 1, puinto 2, inc 2 y 3, Infraccion art 5, 27, 37, 129, 176, 178, 179, 181, 182, 194, 201, 202, 207, 223, 230, 233, 235, 246, 247, 268 del CE, Infraccion Ord 130/22, art 20 Anexo V, Zona Urbana</t>
  </si>
  <si>
    <t>mail, 549520</t>
  </si>
  <si>
    <t>Ampliación Turística Norte</t>
  </si>
  <si>
    <t>Juan Manuel de Rosas N°</t>
  </si>
  <si>
    <t>ARELLANO Matías y otra</t>
  </si>
  <si>
    <t>vivienda a construir, en PB cocina desayunador comedor estar, baño, dormitorio, galeria semicubierta con parrilla y bacha, cochera semicubierta, en PA tres dormitorios uno con vestidor, baño, terraza</t>
  </si>
  <si>
    <t>23/1/23, baldio</t>
  </si>
  <si>
    <t>mail, 549763</t>
  </si>
  <si>
    <t>Residencial Sur</t>
  </si>
  <si>
    <t>Maipú N° 470</t>
  </si>
  <si>
    <t>PREMAT Ruben</t>
  </si>
  <si>
    <t>TORRENT Fernando</t>
  </si>
  <si>
    <t>tres deptos a consrtuir, de dos dormitorios y baño en PA, en PB cocina, estar, toilete bajo escalera, cochera descubierta al frente</t>
  </si>
  <si>
    <t>mail, 549765</t>
  </si>
  <si>
    <t>VIOLLAZ Liliana Isabel y FRANCI Carlos Ramon</t>
  </si>
  <si>
    <t>SALDAÑA Guadalupe</t>
  </si>
  <si>
    <t>RUIZ DIAZ Marcelo Javier</t>
  </si>
  <si>
    <t>vivienda unifamiliar a construir, un dormitorio, cocinqa comedor estar, baño, cochera descubierta, lavadero, PRO.CRE.AR:, BAJO ORD 27/10, art 1, inc 9, Infraccion art 5, 27, 37 del CE</t>
  </si>
  <si>
    <t xml:space="preserve">20/1/23, obra gruesa </t>
  </si>
  <si>
    <t>Domingo Antonini N° 89</t>
  </si>
  <si>
    <t>MARSO Hugo María José</t>
  </si>
  <si>
    <t>GRUPO MARSO SRL</t>
  </si>
  <si>
    <t>Oficinas + Depósito</t>
  </si>
  <si>
    <t>oficinas y depósitos archivos a construir para dependencias de la estacion de servicio</t>
  </si>
  <si>
    <t>baldio</t>
  </si>
  <si>
    <t>Rocamora N° 416</t>
  </si>
  <si>
    <t>AVETTA Héctor José</t>
  </si>
  <si>
    <t>BIDAL Arnoldo Francisco</t>
  </si>
  <si>
    <t>ING.</t>
  </si>
  <si>
    <t>relevamiento de dos unidades de vivienda de alquiler, cada una de dos dormitorios, baño, cocina comedor estar, lavadero, parrilla, BAJO ORD 27/10, art 1, punto 2, inc 2 y 3, Infraccion Ord 53/07, Ord 130/21, art 20, Anexo V, Infraccion art 5, 27, 37, 144, 151, 176, 178, 202, 233, 247 del CE</t>
  </si>
  <si>
    <t>mail, 550057</t>
  </si>
  <si>
    <t>18 y 20</t>
  </si>
  <si>
    <t>Gouchon N° 418</t>
  </si>
  <si>
    <t>MARSO Zulma Edith</t>
  </si>
  <si>
    <t>PACCOT Javier Humberto y BLANC Maximiliano</t>
  </si>
  <si>
    <t>VIOLLAZ Abel Alberto</t>
  </si>
  <si>
    <t>vivienda unifamiliar existente con planos, a cosntruir quincho con parrilla, piscina al fondo, BAJO ORD 27/10, art 1, punto 2, inc 3 (existente), Infraccion ord 130/22, art 20, Anexo V-Zona Urbana</t>
  </si>
  <si>
    <t>8/2/23, ampliacion no comenzada</t>
  </si>
  <si>
    <t>Ampliación Turística Sur</t>
  </si>
  <si>
    <t>Calle Pública s/N° - Los Bretes</t>
  </si>
  <si>
    <t>BOVEDA Gabriel Oscar, ROMERO María Victoria</t>
  </si>
  <si>
    <t>RODRIGUEZ Luís Miguel</t>
  </si>
  <si>
    <t>VERON David</t>
  </si>
  <si>
    <t>vivenda unidfamiliar a construir en PB, con piscina, dos dormitorios, estar comedor cocina, cochera semicubiert apara dos vehiculos, quincho, baño, lavadero</t>
  </si>
  <si>
    <t>6/12/22, baldio</t>
  </si>
  <si>
    <t>Araujo Pen{on N° 285</t>
  </si>
  <si>
    <t>MOREIRA María Florencia y ERRAMUSPE Brian Exequiel</t>
  </si>
  <si>
    <t>GOMEZ Iris Roc{io</t>
  </si>
  <si>
    <t>vivienda unifamiliar PRO.CRE.AR., dos vdormitorios, baño, cocina comedor, sin cochera, relevamiento, BAJO ORD 27/10, art 1, punto 2, inc 2, Infraccion art 5, 27, 37, 178 del CE</t>
  </si>
  <si>
    <t xml:space="preserve">Ruta N° 14, km </t>
  </si>
  <si>
    <t>AUTOMOVIL CLUB ARGENTINO</t>
  </si>
  <si>
    <t>CARTEL</t>
  </si>
  <si>
    <t>cartel del ACA</t>
  </si>
  <si>
    <t>Urbano</t>
  </si>
  <si>
    <t>Madre Isabel Fernandez Nª 312 esq Mitre</t>
  </si>
  <si>
    <t>MORARD Manuel A</t>
  </si>
  <si>
    <t>LOPEZ Jorge Daniel</t>
  </si>
  <si>
    <t>Galpòn</t>
  </si>
  <si>
    <t>ING. En CONST.</t>
  </si>
  <si>
    <t>galpòn a construir, sòlo PB con un toilete</t>
  </si>
  <si>
    <t>13/2/23, baldio</t>
  </si>
  <si>
    <t>mail, 550170</t>
  </si>
  <si>
    <t>Hernandez N° 282</t>
  </si>
  <si>
    <t>FOLLONIER Matías Joaquín</t>
  </si>
  <si>
    <t>relevamiento de tres unidades de vivienda, la ubicada al frente de tres dormitorios, cocina comedor, estar, baño compartimentado, baño, segunda cocina al fondo, lavadero, las otras dos viviendas son de dos dormitorios, baño, cocina comedor, sin espacios para cocheras. BAJO ORD 27/10, art 1, punto 2, inc 2, Infraccion art 5, 27, 37, 17,8 179, 181, 182, 201, 202, 223, 232, 233 del CE, Infraccion ORd 56/07, art 3, ORd 53/07</t>
  </si>
  <si>
    <t>mail, 550474</t>
  </si>
  <si>
    <t>Bvard. Ferrari N° 1190</t>
  </si>
  <si>
    <t>SABARDAN Miguel</t>
  </si>
  <si>
    <t>vivienda unifamiliar a construir, tres dormitorios, cocina comedor estar, acceso semicubierto</t>
  </si>
  <si>
    <t>Periurbana</t>
  </si>
  <si>
    <t>PELLANDINO Luciano</t>
  </si>
  <si>
    <t>relevamiento de piscina y monoambientes, 3 unidades, BAJO ORD 27/10, art 1, punto 2, inc 2 y 3, cocheras en zona de ampliacion de calle y retiro, Infraccion Ord 53/07, Ord 130/21, art 21, Anexo V, Infraccion art 5, 27, 37, 202, 233, 254 del CE</t>
  </si>
  <si>
    <t>mail, 550194</t>
  </si>
  <si>
    <t>Brovatti N°</t>
  </si>
  <si>
    <t>GERMANIER Carlos Benito</t>
  </si>
  <si>
    <t>relevamiento de grupo de viviendas para alquiler turistico, BAJO ORD 27/10, art 1, punto 2 y 3, Infraccion Ord 130/21, art 21, retiro zona, Infraccion art 5, 27, 37, 144, 151, 176, 178, 214 del CE</t>
  </si>
  <si>
    <t>Lavalle</t>
  </si>
  <si>
    <t>AMERICAN BUILDING S.A.U.</t>
  </si>
  <si>
    <t>ODIARD Grecia</t>
  </si>
  <si>
    <t>Edificio de departamentos</t>
  </si>
  <si>
    <t>Lavalle N° 122, 122</t>
  </si>
  <si>
    <t>amploiación edificio lindero, demolición de vivienda existente y cinco nuevas unidades a cosntruir</t>
  </si>
  <si>
    <t>Noailles N° 239 esq L. N. Alema</t>
  </si>
  <si>
    <t>ARGÜELLO Lelia Beatríz</t>
  </si>
  <si>
    <t>SERRANO María Laura y VIOLLAZ Carolina M. E.</t>
  </si>
  <si>
    <t>vivienda unifamiliar a construir,un dormitorio en PA, baño en PA, en PB estar comedor cocina, toilete</t>
  </si>
  <si>
    <t>2/3/2023, obra no comenzada</t>
  </si>
  <si>
    <t>9 de Julio Nº 363</t>
  </si>
  <si>
    <t>NARDIN Alejandro Raìl Sòcrates</t>
  </si>
  <si>
    <t>LEMA Carolina Isabel</t>
  </si>
  <si>
    <t xml:space="preserve">vivienda unifamilliar a construir, demoliciòn de vivienda existente y galpòn al frente sobre la via publica, vivienda nueva con tres dormitorios en PA, uno en suite con vestidor y baño compartimentado, baño completo, zona de escritorio / paso, en PB cochera semicubierta al frente, estudio con acceso independiente, baño, cocina desayunador comedor estar, semicubierto al fondo galerìa quincho con parrilla y lavadero </t>
  </si>
  <si>
    <t>inspecciòn 8/4/21, obra no comenzada</t>
  </si>
  <si>
    <t>Raibel N° 780 esq Leguizamón</t>
  </si>
  <si>
    <t>CARRUEGA Gisela V. y otro</t>
  </si>
  <si>
    <t>GOMEZ Erika</t>
  </si>
  <si>
    <t>CHINELLATO Damián G</t>
  </si>
  <si>
    <t>AGUARA CONSTRUCTORA SA</t>
  </si>
  <si>
    <t>Vivienda unifamiliar + quincho</t>
  </si>
  <si>
    <t>ING</t>
  </si>
  <si>
    <t>vivienda unifamiliar con planos visados, a construir quincho al fondo</t>
  </si>
  <si>
    <t>mail, 550855</t>
  </si>
  <si>
    <t>Urbana 1</t>
  </si>
  <si>
    <t>Reibel Nº 883</t>
  </si>
  <si>
    <t>CASTAÑARES Victor Jorge</t>
  </si>
  <si>
    <t>ELIZALDE Agustina</t>
  </si>
  <si>
    <t>Galpón / Depósito + Vivienda unifamiliar</t>
  </si>
  <si>
    <t>relevamiento de vivienda unifamiliar y galpón depósito de helados, vivienda al frentede dos dormitorio, cocina comedor, estar, baño, BAJO ORD 27/10, art 1, punto 2, inc 2 y 3, Infraccion art 5, 27, 37, 144, 151, 176, 178, 179, 202, 226, 247 del CE, Ord 130/22, art 20</t>
  </si>
  <si>
    <t>25 de Mayo N° 464</t>
  </si>
  <si>
    <t>VITA Alicia Beatríz</t>
  </si>
  <si>
    <t>CHINELLATO Pablo A</t>
  </si>
  <si>
    <t>Vivienda unifamiliar + Local comercial</t>
  </si>
  <si>
    <t>vivienda unifamiliar a relevar, dos dormitorios, baño, cocina comedor estar, lavadero aparte, local comercial al frente con toilete, BAJO ORD 27/10, art 1, punto 2, ,inc 2 y 3, Infraccion Ord 130/22, art 20, Ord 53/07, 3, Art 5, 27, 37, 179, 201, 202, 232 del CE</t>
  </si>
  <si>
    <t>Núcleo Urbano Ampliado</t>
  </si>
  <si>
    <t>Combatientes de Malvinas N°</t>
  </si>
  <si>
    <t>tres unidades de vivienda a construir, de dos dormitorios, baño en PA y en PB cocina comedor estar, cochera semicubierta y toilette</t>
  </si>
  <si>
    <t>mail, 549962</t>
  </si>
  <si>
    <t>Mitre N° 776</t>
  </si>
  <si>
    <t>LESCANO Ricardo Abel</t>
  </si>
  <si>
    <t>C - 513</t>
  </si>
  <si>
    <t>Vivienda unifmailiar</t>
  </si>
  <si>
    <t>demolicion de vivienda unifamiliar</t>
  </si>
  <si>
    <t>mail, 550833</t>
  </si>
  <si>
    <t>VILCHE Nicolás</t>
  </si>
  <si>
    <t>RENZI PERNO María José</t>
  </si>
  <si>
    <t xml:space="preserve">vivienda multifamiliar, un monoambiente, una de tres dormitorios, baño, cocina comedor, estar, cocheras semicubiertas, galeria semicubierta posterior con parrilla </t>
  </si>
  <si>
    <t>Avda Paysandù Nº 274</t>
  </si>
  <si>
    <t>ANTIVERO Mireya Victoria</t>
  </si>
  <si>
    <t>DE LA FUENTE Natalia</t>
  </si>
  <si>
    <t>ACOSTA Oscar R - INDUSTRIAL NORTE</t>
  </si>
  <si>
    <t>Centro educativo terapéutico</t>
  </si>
  <si>
    <t>demolicion vivienda existente, relevamiento de centro terapeutico sector salon, BAJO ORD 27/10, art 1, pùnto 2, inc 2, Infraccion art 5, 27,37 del CE, Ord 56/07, art 3, inc 2, sub inc 1</t>
  </si>
  <si>
    <t>CENTRO</t>
  </si>
  <si>
    <t xml:space="preserve">3 de Febrero N° </t>
  </si>
  <si>
    <t>LOPEZ Ricardo</t>
  </si>
  <si>
    <t>BERTOLDI Fabián A.</t>
  </si>
  <si>
    <t>relevemiento de local comercial, baños separados por sexo  dos inodores y dos bachas, tres inodoros y dos bachas, local al frente separado con una pequeña mesada, BAJO ORD 27/10, art1, punto 2, inc 2, Infraccion art 5, 27, 37, 176, y 179 del CE</t>
  </si>
  <si>
    <t>mail, 547266</t>
  </si>
  <si>
    <t>Primeros Colonos esq Agua-I</t>
  </si>
  <si>
    <t>TOMASSI Cesar Omar</t>
  </si>
  <si>
    <t>IRIBARREN Norberto</t>
  </si>
  <si>
    <t>vivienda unifamiliar a construir</t>
  </si>
  <si>
    <t>mail, 551150</t>
  </si>
  <si>
    <t>Primeros Colonos esq. Calle Pública</t>
  </si>
  <si>
    <t>CERVANTES Hugo Rubén</t>
  </si>
  <si>
    <t>PALACIOS María Silvina</t>
  </si>
  <si>
    <t>RENDO José</t>
  </si>
  <si>
    <t>vivienda unifamiliar a contruir, dos dormitorios, baño, cocina comedor, BAJO ORD 27/10, art 1, punto 2, inc 2, Infraccion Art 5, 27, 37, del CE</t>
  </si>
  <si>
    <t>Calle Jacarandaes s/Nº - Los Bretes</t>
  </si>
  <si>
    <t>GONZALEZ MAIRAL IGNACIO</t>
  </si>
  <si>
    <t>MEDAIL Sergio A</t>
  </si>
  <si>
    <t>vivienda unifamiliar a contruir, tres dormitorios, uno en suite con vestidor y baño, baño completo compartimentado, cocina desayunador comedor diario, comedor estar, lavadero, galeria semicubierta con parrilla quincho, toilete, cocheras semicubiertas para dos vehiculos</t>
  </si>
  <si>
    <t>6/10/22, baldio</t>
  </si>
  <si>
    <t>Piamonte s/N°</t>
  </si>
  <si>
    <t>LOPEZ Sonia Marina</t>
  </si>
  <si>
    <t>Vivienda unifamiliar + Quincho</t>
  </si>
  <si>
    <t>relevamiento de vivienda unifamiliar de un dormitorio en PA, cocina comedor baño en PB, al fondo quincho cubierto con baño, BAJO ORD 27/10, art 1, punto 2, inc 2 y 3, Infraccion ORD 130/22, art 21, anexo V, C.E. 5, 27, 37, 144, 176, 181, 182, 202, 233, 247</t>
  </si>
  <si>
    <t>mail, 551495</t>
  </si>
  <si>
    <t>Tucumán Nº 1422</t>
  </si>
  <si>
    <t>IUBATTI Dario Gabriel y MORARD Marìa Carla</t>
  </si>
  <si>
    <t>SOTO Lorena Paola</t>
  </si>
  <si>
    <t>Galpón</t>
  </si>
  <si>
    <t>relevamiento de galpón depósito con oficina, baño, BAJO ORD 27/10, ART 1, PUNTO 2, INC 2 Y 3, Infraccion Ord 56/07, art 3, inc 2, sub inc 1, CE art 5, 27, 37, 144, 151, 179, 202, 232, 233, 260, Ord 130/22, srt 20</t>
  </si>
  <si>
    <t>Ampliación Actividad Turística Norte</t>
  </si>
  <si>
    <t>Azurduy esq Espinillo</t>
  </si>
  <si>
    <t>EISENBERG Norberto Gabriel</t>
  </si>
  <si>
    <t>OLIVAREZ Luis Enrique</t>
  </si>
  <si>
    <t>seis unidades de vivienda de alquiler a construir, 4 de uhn dormitorio, baño, cocina comedor, dos monoambientes, cocheras descubiertas, BAJO ORD 27/10, art 1, punto 2, inc 2, Infraccion art 5, 27, 37, 144, 151, 176, 179, 202, 230 del CE</t>
  </si>
  <si>
    <t>Calle Brovatti S/N°</t>
  </si>
  <si>
    <t>ARELLANO Mario y ESCHER Andrea</t>
  </si>
  <si>
    <t>BESSON Valeria Soledad</t>
  </si>
  <si>
    <t>Quincho</t>
  </si>
  <si>
    <t>quincho y piscina a consrtuir</t>
  </si>
  <si>
    <t>25/1/23, altura encadenado PB</t>
  </si>
  <si>
    <t>CONFORME A OBRA</t>
  </si>
  <si>
    <t>plano conforme cuatro unidades de viienda de alquiler, dos dormitorios, cocina, comedor y baño en PB, las dos unidades centrales dormitorio, baño, cocina comedor en PB y dormitorio y baño en PA, BAJO ORD 27/10,art 1, punto 2, inc 2 y 3, Infraccion art 5, 27, 37, 176, 179, 202, 247, 236 del CE, Infraccion Ord 56/07, art 4, Ord 53/07, Ord 130/22, Art 21, Zona Periurbana, Anexo V</t>
  </si>
  <si>
    <t>17/6/22, terminada</t>
  </si>
  <si>
    <t>Avda Paysandú Nº 1170</t>
  </si>
  <si>
    <t>RODRIGUEZ Natalia Beatríz</t>
  </si>
  <si>
    <t>BRUTOMEZA</t>
  </si>
  <si>
    <t>ampliación de vivienda unifamiliar con dos dormitorios, baño, cocina comedor, a ejecutar lavadero, baño, cocina, BAJO ORD 27/10, art 1, punto 1 y 2, Infraccion art 144, 151, 179, 214, 223, 232, 233, 236, 247 DEL CE</t>
  </si>
  <si>
    <t>5/4/22, no iniciado</t>
  </si>
  <si>
    <t>mail, 551638</t>
  </si>
  <si>
    <t>Combatientes de Malvinas N° 980</t>
  </si>
  <si>
    <t>KARPENCOPF Lorena</t>
  </si>
  <si>
    <t>relevamiento de vivienda unifamiliar, un dormitorioan PA, cocina comedor estar, baño en PB, terreno en parte bajo cota, BAJO ORD 27/10, art 1, punto2, inc 2, Infraccionn art 5, 27, 37, 144, 151, 178, 179, 202, 227 del CE, Infracion ord 56/07, art 3, inc 2, sub inc 1</t>
  </si>
  <si>
    <t>Hornero s/Nº</t>
  </si>
  <si>
    <t>PORCILE NORA IRUPE</t>
  </si>
  <si>
    <t>Antena</t>
  </si>
  <si>
    <t>antena a construir, cabina de controles, BAJO ORD 27/10, art 1, punto 1, inc 3, Infraccion art 5, 27, 37 del CE</t>
  </si>
  <si>
    <t>mail, 551756</t>
  </si>
  <si>
    <t>M. M. Lima N° 1081</t>
  </si>
  <si>
    <t>GUZARDO Brian Emanuel</t>
  </si>
  <si>
    <t>GRAZIANI Jorge Agustin Alexis</t>
  </si>
  <si>
    <t>vivienda tipo alpina de madera existente al frente del lote y galpón al fondo, a construir en el centro del lote una vivienda de material, de tres dormitorios y baño en PA, cocina comedor , estar, baño y cochera semicubierta en PB, Bajo ord 27/10, art 1, punto 2, Infraccion art 5, 27, 37, 176, 178, 201, 227, 232 del CE</t>
  </si>
  <si>
    <t>10/4/2023, obra no comenzada</t>
  </si>
  <si>
    <t>12 de Abril Nº 167 (171)</t>
  </si>
  <si>
    <t>FERREYRA Franco Hernan y FERREYRA OBREGON Santiago</t>
  </si>
  <si>
    <t>MOMENTS</t>
  </si>
  <si>
    <t>relevamiento de local comercial, restaurante "Moment´s", BAJO ORD 27/10, art 1, punto 2, inc 2, Infraccion Ord 130/22, art 19, Anexo V, Zona Centro, Infraccion art 5, 27, 37, 176, 179, 202, 227, 247 del CE</t>
  </si>
  <si>
    <t>Alvear N° 321</t>
  </si>
  <si>
    <t>GONZALEZ Federico Rafael</t>
  </si>
  <si>
    <t>LESCANO Carlos</t>
  </si>
  <si>
    <t>plano conforme a obra, vivienda unifamilliar, dos dormitorios, baño, dormitorio ppal en suite con baño, cocina comedor estar, cochera semicubierta, Bajo Ord 27/10, art 10, 27, 37 179, 187 del CE, Ord 50/07, (cochera en ventilacion de cocina)</t>
  </si>
  <si>
    <t xml:space="preserve">Ñandubay N° </t>
  </si>
  <si>
    <t>GOMEZ Adriana Griselda</t>
  </si>
  <si>
    <t>ZARAGOZA Víctor Andrés</t>
  </si>
  <si>
    <t>relevamiento de vivienda unifamiliar, tres dormitorios, uno con baño, baño, cocina comedor estar, lavadero, cochera semicubierta, pileta al fondo con quincho, BAJO ORD 27/10, art 1, punto2, inc 2, Infraccionn art 5, 27, 37, 179, 233, 236 del CE</t>
  </si>
  <si>
    <t>mail, 552086</t>
  </si>
  <si>
    <t>Alberdi esq Sourigues N° 244 y 246</t>
  </si>
  <si>
    <t>TOTORICA Martin y otro</t>
  </si>
  <si>
    <t>TOTORICA Jorge</t>
  </si>
  <si>
    <t>C-904</t>
  </si>
  <si>
    <t>estudio profesional / local a construir, PB y PA, BAJO ORD 27/10, art 1, punto 2, inc 2 t 3, Infraccion art 5, 27, 37, del CE, Infraccion Ord 130/2022, art 20, Anexo V, Zona Urbana</t>
  </si>
  <si>
    <t>Bolìvar Nº 435</t>
  </si>
  <si>
    <t>GUGLIELMINO Raúl Omar</t>
  </si>
  <si>
    <t>MARONE Leandro</t>
  </si>
  <si>
    <t>Joaquin Daniel Rene</t>
  </si>
  <si>
    <t>BAJO ORD 27/10, art 1, punto 2 inc 2 y 3, Infraccion art 5, 27, 37, del CE</t>
  </si>
  <si>
    <t>Las Piedras N° 12</t>
  </si>
  <si>
    <t>ARGUET Jorge</t>
  </si>
  <si>
    <t>MARTIN Melisa Paola</t>
  </si>
  <si>
    <t>relevamiento de quincho al fondo, vivienda al frente existente declarada de dos dormitorios, baño, cocina comecor, cochera semicubierta la frente, BAJO ORD 27/10, art 1, punto 2, inc 2 y 3, Infracción art 5, 27, 37, 179, 202, 223, 233 del CE, Infraccion ORd 130/22, art 20, Ord 56/07, art 3</t>
  </si>
  <si>
    <t>mail, 552180</t>
  </si>
  <si>
    <t>Reibel N° 636</t>
  </si>
  <si>
    <t>PAEA Natalia Elizabeth</t>
  </si>
  <si>
    <t>ampliación de vivienda unifamiliar, a construir tres dormitorios en PA, uno en suite con baño completo y vestidor, baño, en PB se declara la cochera semicubierta, BAJO ORD 27/10, art 1, punto 2, inc 2 y 3, art 1, inc 9, Infraccion Ord 130/22, art 20, Zona Urbana, Anexo V, Infraccion art 5, 27, 37, del CE</t>
  </si>
  <si>
    <t>549179, mail</t>
  </si>
  <si>
    <t>San Martín N° 220</t>
  </si>
  <si>
    <t>RENZI Susana Alicia</t>
  </si>
  <si>
    <t>SAINTE MARIE RENZI, Alexander Lionel</t>
  </si>
  <si>
    <t>MORARD Manuel A.</t>
  </si>
  <si>
    <t xml:space="preserve">ampliación, deptos a cosntruir en PA, </t>
  </si>
  <si>
    <t>mail, 551023, mail</t>
  </si>
  <si>
    <t>Bvard Ferrari N°</t>
  </si>
  <si>
    <t>BIDAL Roque M y DELALOYE Gabriela P</t>
  </si>
  <si>
    <t>TRABICHET Romina</t>
  </si>
  <si>
    <t>relevamiento de dos unidades de vivienda, ambas de iguales caracteristicas, dos dormitorios, baño, cocina comedor, una en PB y otra en PA, BAJO ORD 27/10, art 1, punto 2, inc 2 y 3, Infraccion Ord 130/22, art 20, Zona Urbana, Ord 56/07, art 3, inc 2, sub inc 1, CE art 5, 27, 37, 144, 151, 178, 179, 202, 226, 232</t>
  </si>
  <si>
    <t>mail, 552122</t>
  </si>
  <si>
    <t>Bolívar N°</t>
  </si>
  <si>
    <t>BARRETO BUTHAY Emiliano y MANUCCI Constanza</t>
  </si>
  <si>
    <t>MANUCCI Jose</t>
  </si>
  <si>
    <t>vivienda unifamiliar a construir, planta baja cochera cubierta doble, cocina comedor estar, baño, semicubierto quincho con parrilla y bacha, en PA baño, hall paso distribuidor tres dormitorios, uno con vestidor y terraza</t>
  </si>
  <si>
    <t>Alejo Peyret N° 140</t>
  </si>
  <si>
    <t>RAMAT Aida Cipriana y Cristina Beatríz</t>
  </si>
  <si>
    <t>relevamiento de vivienda unifamiliar, dos dormitorios, escritorio, estar cocina comedor cocina, baño, lavadero, sotano y entrepiso, BAJO ORD 27/10, art 1, punto 2, inc 2, Infraccion art 5, 27, 37, 176, 179, 202, 223, 232, 233, 247 del CE</t>
  </si>
  <si>
    <t>Ruta Nº 130, ex 26 esq Calle Sauce</t>
  </si>
  <si>
    <t>ZAMBIASIO Georgina Soledad</t>
  </si>
  <si>
    <t xml:space="preserve">vivienda unifamiliar a construir, dos dormitorios uno con baño propio, baño, cocina comedor, </t>
  </si>
  <si>
    <t>16/3/23, movimiento de suelos y armadura</t>
  </si>
  <si>
    <t>mail, 552543</t>
  </si>
  <si>
    <t>Jacarandaes esq Coronillos ( Los Bretes)</t>
  </si>
  <si>
    <t>VAZQUEZ Hector Horacio</t>
  </si>
  <si>
    <t>PERNO Rubén Alberto</t>
  </si>
  <si>
    <t>PEREZ Patricio Olmedo</t>
  </si>
  <si>
    <t>vivienda unifamiliar a construir, dos dormitorios, cada unno con su sanitario, baño completo, cocina comedor estar, galeria perimetral, cochera semicubierta</t>
  </si>
  <si>
    <t>11/5/2023, baldìo</t>
  </si>
  <si>
    <t>Avda Quiròs Nº 280 esq Mitre</t>
  </si>
  <si>
    <t>ADAMI Silvia Beatriz</t>
  </si>
  <si>
    <t>ZARAGOZA Vìctor Andrès</t>
  </si>
  <si>
    <t>relevamiento de local comercial, panaderìa, BAJO ORD 27/10, art 1, punto 2, inc 2, Infraccion art 5, 27, 37, 176, 179, 181, 182, 202, 226, 230, 232 del CE (liquida solo administrativo, m2 menos que el antecedente)</t>
  </si>
  <si>
    <t>Calle Ibirapitá N° entre Algarrobo y Timbó</t>
  </si>
  <si>
    <t>BERDICHEVSKY Ruth</t>
  </si>
  <si>
    <t>vivienda unifamiliar a construir, dos dormitorios, uno con baño privado, baño, cocina comedor diario, estar, comedor, separado de la vivenda habitacion de servicio lavadero y baño.</t>
  </si>
  <si>
    <t>13/4/23, baldío</t>
  </si>
  <si>
    <t>mail, 552806</t>
  </si>
  <si>
    <t>RELEVAMIENTO y AMPLIACION</t>
  </si>
  <si>
    <t>Sourigues N° 610 e/ C de Malvinas y Cepeda</t>
  </si>
  <si>
    <t>SALVATIERRA Carlos</t>
  </si>
  <si>
    <t>siete unidades de vivieda a relevar, seis de ellas de  dos dormitorios, baño, cocina comedor, una de un dormitorio, baño cocina comedor estar, dos monoambientes a construir, baño, un espacio para cochera semicubierta. BAJO ORD 27/10, art 1, punto 2, inc 2 y 3, Infracción art 5. 27, 37, 129, 144, 151, 178, 179, 181, 182, 202, 226, 233 del CE, Ord 56/07, art 3, inc 2, sub inc 1, Ord 53/07, Ord 130/22 art 20 (retiro)</t>
  </si>
  <si>
    <t>16/5/23, TRABAJOS NO COMENZADOS</t>
  </si>
  <si>
    <t>mail, 552739</t>
  </si>
  <si>
    <t>Pasaje Alarcón N° 521</t>
  </si>
  <si>
    <t>LUGRIN Delia Lucia</t>
  </si>
  <si>
    <t>DEL RIO Javier</t>
  </si>
  <si>
    <t>plano conforme, grupo de deptos, BAJO ORD 27/10, art 1, punto 2, inc 2, Infraccion art 10, 27, 37, 144, 151, 179, 182, 191 del CE, Ord 56/07, art 3, inc 1, sub inc a, Ord 53/07</t>
  </si>
  <si>
    <t>mail, 552748</t>
  </si>
  <si>
    <t>12 de Abril N° 741</t>
  </si>
  <si>
    <t>MARTINEZ María Gabriela y otros</t>
  </si>
  <si>
    <t>PENDOLA Ofelia</t>
  </si>
  <si>
    <t>local comercial a construir, vivienda unifamiliar demolida</t>
  </si>
  <si>
    <t>16/5/23, lote baldio</t>
  </si>
  <si>
    <t>mail, 552724</t>
  </si>
  <si>
    <t>Balcarce N° 66</t>
  </si>
  <si>
    <t>DEL GRECO Jorge</t>
  </si>
  <si>
    <t>COT David Enrique</t>
  </si>
  <si>
    <t>DUFFET Hugo</t>
  </si>
  <si>
    <t>local existente, ampliación de local comercial a ejecutar</t>
  </si>
  <si>
    <t>19/5/23, no comenzada</t>
  </si>
  <si>
    <t>mail, 552195</t>
  </si>
  <si>
    <t>Espinillo N°</t>
  </si>
  <si>
    <t>MABRAGAÑA María Victoria</t>
  </si>
  <si>
    <t>NOLASCO Joaquina</t>
  </si>
  <si>
    <t>relevamiento de ampliación de vivienda, BAJO ORD 27/10, art 1, punto 2, inc 2, Infraccion art 5, 27, 37, 181, 247 del CE</t>
  </si>
  <si>
    <t>mail, 552972</t>
  </si>
  <si>
    <t>PERIURBANA</t>
  </si>
  <si>
    <t>Alfredo Bravo s/N°</t>
  </si>
  <si>
    <t>DONATO Marcelo</t>
  </si>
  <si>
    <t>tres unidades de bungalows a construir mas la piscina y un deposito, cada vivienda con dos dormitorios, baño, cocina comedor, cocheras descubiertas</t>
  </si>
  <si>
    <t>MAIL, 553219</t>
  </si>
  <si>
    <t>Salsipuedes N°</t>
  </si>
  <si>
    <t>DESANTO PASARELLO Mauricio Nahuel</t>
  </si>
  <si>
    <t>vivienda unifamiliar de dos dormitorios, baño, cocica comedor estar, lavadero, sin cochera, BAJO ORD 27/10, art 1, punto 2, inc 2, Infraccion art 5, 27, 37, 179, 202, 232 del CE</t>
  </si>
  <si>
    <t>mail, 553232</t>
  </si>
  <si>
    <t>Calle Privada s/N° (Los Bretes)</t>
  </si>
  <si>
    <t>PRELAT Alfredo</t>
  </si>
  <si>
    <t>CACERES Jorge Hernan</t>
  </si>
  <si>
    <t>vivienda unifamiliar existente y quincho, a declarar piscina</t>
  </si>
  <si>
    <t>mail, 553268</t>
  </si>
  <si>
    <t>Esteva Berga N° 152, esq Noailles</t>
  </si>
  <si>
    <t>CENTRO ODONTOLOGICO del Depto Colon</t>
  </si>
  <si>
    <t>SOMMACAL Mauricio</t>
  </si>
  <si>
    <t>relevamiento locales , subsuelo, planta baja con oficinas, sanitarios (uno y uno) patio con parrilla, y entrepiso, BAJO ORD 27/10, art 2, inc 2, Infraccion art 5, 27, 37, 130, 176, 179, 223, 233 y 247 del CE</t>
  </si>
  <si>
    <t>mail, 553301</t>
  </si>
  <si>
    <t>Gómez Miranda N° 148 esq Noailles</t>
  </si>
  <si>
    <t>SCHESI Gustavo Javier</t>
  </si>
  <si>
    <t>PERNO RENZI María José</t>
  </si>
  <si>
    <t>plano conforme a obra, relevamiento de ampliaciones realizadas en vivienda unifamiliar (PRO.CRE.AR), dos dormitorios, baño, cocina comedor, cochera descubierta, BAJO ORD 27/10, art 10, 27, 37,  del CE, infraccion ord 130/art 20, (retiro)</t>
  </si>
  <si>
    <t>Calle Artalaz s/N°</t>
  </si>
  <si>
    <t>PASCAL María Fernanda</t>
  </si>
  <si>
    <t>vivienda a construir, en PB cocina desayunador comedor estar, baño, dormitorio con baño, dos dormitorios, separado atelier con baño</t>
  </si>
  <si>
    <t>Avda. Pte. Perón N° 296</t>
  </si>
  <si>
    <t>JACQUET Ariel Humberto</t>
  </si>
  <si>
    <t>BOGADO BENITEZ Eric Wilfredo</t>
  </si>
  <si>
    <t>locales a demoler</t>
  </si>
  <si>
    <t>J. A. Fernandez s/N°</t>
  </si>
  <si>
    <t>FRACCAROLLI José Horacio y otra</t>
  </si>
  <si>
    <t>YEGROS Ulises</t>
  </si>
  <si>
    <t xml:space="preserve"> </t>
  </si>
  <si>
    <t>relevamiento de quincho y piscina, BAJO ORD 27/10, art 1, punto 2, inc 2, Infraccion art 5, 27 , 37 del CE</t>
  </si>
  <si>
    <t>mail, 548972</t>
  </si>
  <si>
    <t>JACQUET Roberto Ramon y Ariel Humberto SH</t>
  </si>
  <si>
    <t>SALDAÑA María  Guadalupe y DA SILVA Brian</t>
  </si>
  <si>
    <t>Galpón / Depósito</t>
  </si>
  <si>
    <t>galpòn a construir, dos sanitarios cada uno con inodoro y bacha, BAJO ORD 27/10, art 1, punto 2, inc 2, Infraccion art 179 del CE</t>
  </si>
  <si>
    <t>Industrial</t>
  </si>
  <si>
    <t>Ruta Nac. N° 14</t>
  </si>
  <si>
    <t>VERGNIAUD Daniel Santiago</t>
  </si>
  <si>
    <t>JACQUET Ariel N.</t>
  </si>
  <si>
    <t>Galpón / Taller / Depósito</t>
  </si>
  <si>
    <t>relevamiento de galpón, taller, depósito y oficinas, BAJO ORD 27/10, art 1, punto 2, inc 2 y 3, Infraccion art 5, 27, 37, 179 del CE, Infraccion Ord 130/22, art 26, Anexo V (retiro)</t>
  </si>
  <si>
    <t xml:space="preserve">Centro </t>
  </si>
  <si>
    <t>12 de Abril N° 850</t>
  </si>
  <si>
    <t>CORTES Claudia Daniela y SCHOELLER Gerardo Daniel</t>
  </si>
  <si>
    <t>ACEVEDO Angelina</t>
  </si>
  <si>
    <t>RODRIGUEZ José Luís</t>
  </si>
  <si>
    <t>dos locales a construir en PB, con sanitario minimo</t>
  </si>
  <si>
    <t>obra iniciada sin permiso</t>
  </si>
  <si>
    <t xml:space="preserve">Noailles N° </t>
  </si>
  <si>
    <t>PRALONG Monica Marcelina</t>
  </si>
  <si>
    <t>relevamiento de vivienda unifamiliar de un dormitorio, cocina comedor, baño, local comercial despensa, BAJO ORD 27/10, art 1, punto 2, inc 2 y 3, Infraccion art 5, 27, 37, 130, 144, 151, 178, 223, 230, 233 del CE , Ord 130/22, art 20, Zona urbana (retiro)</t>
  </si>
  <si>
    <t>mail, 553820</t>
  </si>
  <si>
    <t>Paso de los Andes N°  2033</t>
  </si>
  <si>
    <t>BONATO Carlos</t>
  </si>
  <si>
    <t>BERON Pablo</t>
  </si>
  <si>
    <t>cuatro unidades de viviensa a construir, dos apareadas al fondo, dos mas individuales hacia el frente, cada una con dos dormitorios, baño en PA y cocina comedor, toilete y cochera semicubierta en PB</t>
  </si>
  <si>
    <t>mail, 553465</t>
  </si>
  <si>
    <t>Calle Privada Jacarandaes s/N° ( Los Bretes)</t>
  </si>
  <si>
    <t>RODRIGUEZ Francisco</t>
  </si>
  <si>
    <t>vivienda unifamiliar a construir, tres dormitorios, uno en suite con baño y vestidor, baño, cocina desayunador comedor estar, toilete, semicubierto al fondo quincho con parrilla, cochera descubierta</t>
  </si>
  <si>
    <t>13/6/23, obra no iniciada</t>
  </si>
  <si>
    <t>San Martín N° 625</t>
  </si>
  <si>
    <t>CAJA DE PREVISION SOCIAL para PROFESIONALES de la ING</t>
  </si>
  <si>
    <t>GOMEZ Iris Rocío</t>
  </si>
  <si>
    <t>Tanque de reserva</t>
  </si>
  <si>
    <t>demolicion de tanque de reserva de agua del complejo turistico de la CAJA, BAJO Ord 27/10, art 1, punto 1, inc 9, Infraccion art 5, 27, 37 del CE</t>
  </si>
  <si>
    <t>26/6/23, obra iniciada</t>
  </si>
  <si>
    <t>Prioridad Turística</t>
  </si>
  <si>
    <t>Laprida N.º 521</t>
  </si>
  <si>
    <t>CANTAL del ESTE</t>
  </si>
  <si>
    <t>PACCOT Javier Humberto</t>
  </si>
  <si>
    <t>BLANC Maximiliano G</t>
  </si>
  <si>
    <t>Edificio de Deptos</t>
  </si>
  <si>
    <t>edificio de departamentos a construir</t>
  </si>
  <si>
    <t>5/2/20, obra no iniciada</t>
  </si>
  <si>
    <t>Combatientes de Malvinas N° 188</t>
  </si>
  <si>
    <t>VAUCHER Mario Enrique</t>
  </si>
  <si>
    <t>Vivienda multifamiliar + Museo</t>
  </si>
  <si>
    <t>relevamiento de semicubierto ejecutado, resto ya declarado, dos departamenteos y un salón para exposiciones (Museo de los Comabtientes de Malvinas) BAJO ORD 27/10, art 1, punto 2, inc 2 y 3, Infraccion Ord 53/07, Ord 130/22, art 20, art 5, 27, 37, 144, 178, 179, 181, 182, 202, 232, 247, del CE</t>
  </si>
  <si>
    <t>mail, 553971</t>
  </si>
  <si>
    <t>Bvard Gaillard N° 2068</t>
  </si>
  <si>
    <t>RODRIGUEZ CAÑETE Adolfo Eduardo</t>
  </si>
  <si>
    <t>relevamietno vivienda unfamiliar, BAJO ORD 27/10, art 1, punto 2, inc 2 y 3, invfraccion art 5, 27, 37, 144, 151, 176, 178, 179, 181, 182, 201, 202, 223, 227, 233 del CE, Ord 56/07, art 3, inc 2,, sub inc 1, Ord 130,22, art 20</t>
  </si>
  <si>
    <t>MAIL, 554076</t>
  </si>
  <si>
    <t>Alberdi N° 2131</t>
  </si>
  <si>
    <t>LEONEL TORRES Matías</t>
  </si>
  <si>
    <t>VOMMARO Alexis G</t>
  </si>
  <si>
    <t>relevamiento de ampliacion realizada en PB en local comercial ( baño)  y a construir vivienda en PA,   un dormitorio, cocina comedor, baño, Bajo Ord 27/10, art 1, punto 2, inc 2, Infraccion art 5, 27, 37 del CE, Ord 130/22, art 20</t>
  </si>
  <si>
    <t>6/7/23, ampliacion no comenzada</t>
  </si>
  <si>
    <t>mail, 554179</t>
  </si>
  <si>
    <t>Viollaz N° 232</t>
  </si>
  <si>
    <t>CARUCCI Lorena</t>
  </si>
  <si>
    <t>relevamieno dos unidades de vivienda , una en PB de un dormitorio, lavadero, cocina comedor y baño, otra en PA de un dormitorio, cocina comedor y baño, BAJO ORD 27/10, art 1, punto 2, inc 2 y 3, Infraccion ORD 130/22, art 20, Infraccion art 5, 27, 37, 178, 179, 226 del CE</t>
  </si>
  <si>
    <t>mail, 553927</t>
  </si>
  <si>
    <t>Ibirapitá y  Algarrobo</t>
  </si>
  <si>
    <t>SPALVIER María de las Mercedes y ROMERO Alcides Luís</t>
  </si>
  <si>
    <t>relevamiento de vivienda unifamiliar, dos dormitorios, cocina acceso, comedor estar, lavadero, semicubierto cochera doble separado de la vivienda, BAJO ORD 27/10, art 1, punto 2, inc 2, Infraccion art 5, 27, 37, 181, 182, 214, del CE, Infraccion Ord 130/22, art 21, Periurbana (retiro medianera)</t>
  </si>
  <si>
    <t>mail, 554309</t>
  </si>
  <si>
    <t>PORCILE Anahí</t>
  </si>
  <si>
    <t>ELGART Diego</t>
  </si>
  <si>
    <t>vivienda unifamiliar a construir, tres dormitorios, uno en suite con baño privado, cocina comedor estar, cochera descubierta, BAJO ORD 27/10, art 1, punto 2, Infraccion arrt 5, 27, 37, 144, 151 del CE</t>
  </si>
  <si>
    <t>MAIL, 553664</t>
  </si>
  <si>
    <t>CHACRAS</t>
  </si>
  <si>
    <t>Ruta Nac N° 135</t>
  </si>
  <si>
    <t>BOUVET Neri Jose</t>
  </si>
  <si>
    <t>MAHER Luciana</t>
  </si>
  <si>
    <t>Supermercado</t>
  </si>
  <si>
    <t>relevamiento de modificaciones en supermercado, conforme a obra, BAJO ORD 27/10, art 1, punto 2 y 3, Infraccion Ord 130/22, art 24, Infraccion art 5, 27, 37, 179, 226 del CE</t>
  </si>
  <si>
    <t>mail, 554532</t>
  </si>
  <si>
    <t>Cabo Pereyra N° 645</t>
  </si>
  <si>
    <t>BONDAZ PERUCCA Leslie</t>
  </si>
  <si>
    <t>LEMA Carolina</t>
  </si>
  <si>
    <t>relevamiento de vivienda unifamiliar, un dormitorio, baño, cocina desayunador, estar, galeria semicubierta al fondo con parrilla, cochera cubierta lateral para dos vehiculos, BAJO ORD 27/10, art 1, punto 2, inc 2, Infraccion art 5, 27, 37, 130, 144, 151, 176, 179, 202 del CE</t>
  </si>
  <si>
    <t>mail, 554282</t>
  </si>
  <si>
    <t>25 de Mayo N° 450</t>
  </si>
  <si>
    <t>CARSANA FABIAN</t>
  </si>
  <si>
    <t>Hotel</t>
  </si>
  <si>
    <t>relevamiento de hotel de 13 habitaciones, 11 de ellas cuentan ncon living individual, espacio comun, 10 cocheras, BAJO ORD 27/10, art 1, punto 2, inc 2 y 3, Infraccion art 5, 27, 37, 144, 179, 201, 202, 226, 232, 254, 258 del CE</t>
  </si>
  <si>
    <t>Araujo Penón N° 413</t>
  </si>
  <si>
    <t>MARTINEZ Fernando Manuel y SORDI Maria Laura</t>
  </si>
  <si>
    <t>DANTAS Gabriel</t>
  </si>
  <si>
    <t>vivienda unifamiliar a construir, tres dormitorios, uno en suite con baño privado, baño completo, cocina desayunador comedor estar, toilete, escritorio, lavadero cubierto, semicubierto galeria quincho con parrilla al fondo, cochera descubierta al frente</t>
  </si>
  <si>
    <t>22/6/23, baldío</t>
  </si>
  <si>
    <t xml:space="preserve">departamentos individuales a construir, de dos dormitorios, baño, cocina comedor estar, </t>
  </si>
  <si>
    <t>27/6/2023, baldio</t>
  </si>
  <si>
    <t>mail, 554248</t>
  </si>
  <si>
    <t>REMODELACION</t>
  </si>
  <si>
    <t>12 de Abril N°  esq. Lavalle N° 2, 8, 10, 12, 14, 16, 18</t>
  </si>
  <si>
    <t>RENZI Susana</t>
  </si>
  <si>
    <t>RODRIGUEZ Lisandro</t>
  </si>
  <si>
    <t>ING. CONST</t>
  </si>
  <si>
    <t>modificaciones a realizar en local comercial, se divide en trezs locales individuales, BAJO ORD 27/10, art 1, punto 1, inc 9, Infraccion art 5, 27, 37, 179, 187, 223, 233 del CE, Infraccion Ord 130/22, art 20 Zona Urbana</t>
  </si>
  <si>
    <t>Cabo Pereyra N°</t>
  </si>
  <si>
    <t>BOUVET Luis Emanuel</t>
  </si>
  <si>
    <t>vivienda unifamiliar a construir, dos dormitorios, baño, cocina con isla desayunador comedor estar, acceso hall cubierto, galeria fondo, cochera semicubierta para dos vehiculos, con quincho parrilla bacha barra mesada</t>
  </si>
  <si>
    <t>30/1/23, BALDIO</t>
  </si>
  <si>
    <t>mail, 552115</t>
  </si>
  <si>
    <t>Paje Villalba N° 672</t>
  </si>
  <si>
    <t>SEIGUERMAN Sergio Manuel</t>
  </si>
  <si>
    <t>ORCELLET Carlos María</t>
  </si>
  <si>
    <t>VIVIENDAS 2002 SRL</t>
  </si>
  <si>
    <t xml:space="preserve">vivienda prefabricada a construir viviendas 2002, dos dormitorios, baño, cocina comedor, cochera semicubierta </t>
  </si>
  <si>
    <t>25/4/2023, baldío</t>
  </si>
  <si>
    <t>mail, 557413</t>
  </si>
  <si>
    <t>Los Charrúas s/N°</t>
  </si>
  <si>
    <t>GIANI Cristian Fabián</t>
  </si>
  <si>
    <t>vivienda unifamiliar a construir, tres dormitorios, uno son baño privado, baño, cocina estar comedor, quincho semicubierto con parrilla y bacha anexo a la cocina comedor estar, cochera descubierta</t>
  </si>
  <si>
    <t>8/6/2023, baldio</t>
  </si>
  <si>
    <t>mail, 554285</t>
  </si>
  <si>
    <t>Calle Ceibo s/Nº</t>
  </si>
  <si>
    <t>TABORDA Pablo Antonio</t>
  </si>
  <si>
    <t>cuatro unidades de vivienda a construir, separadas, dos de dos dormitorios, baño, cocina comedor estar, dos con un solo dormitorio, baño, cocina comedor estar, cocheras descubiertas</t>
  </si>
  <si>
    <t>14/7/23 , baldio</t>
  </si>
  <si>
    <t>mail, 553114</t>
  </si>
  <si>
    <t>Bvard Ferrari s/Nº 960</t>
  </si>
  <si>
    <t>GAVINO GARCIA Edgardo Alberto</t>
  </si>
  <si>
    <t>BENITEZ Enrique</t>
  </si>
  <si>
    <t>SOTELO Victor Ramòn</t>
  </si>
  <si>
    <t>local comercial a construir, llocal y baño</t>
  </si>
  <si>
    <t>1/6/23, baldio</t>
  </si>
  <si>
    <t>Bolívar Nº 237</t>
  </si>
  <si>
    <t>BAJO ORD 27/10, art 1, punto 2, inc 2 y 3, Infraccion art 5, 27, 37, 178, 179, 181, 182, m201, 202, 226 del CE, infraccion Ord 56/07, art 3, inc 2, sub inc 1, Infraccion Ord 130/22 art 19, anexo V</t>
  </si>
  <si>
    <t>Bvard. Fresnos s/N°</t>
  </si>
  <si>
    <t>FORCLAZ Mario Amadeo y CARNEMOLLA Mónica Liliana</t>
  </si>
  <si>
    <t>vivienda unifamiliar a construir, dos dormitorios, uno en suite con vestidor y baño compartimentado, baño, lavadero, cocina desayunador, comedor estar, galeria semicubierta cochera doble</t>
  </si>
  <si>
    <t>29/5/23, baldio</t>
  </si>
  <si>
    <t>12 de Abril N° 686</t>
  </si>
  <si>
    <t>PACCOT Jorge Luís</t>
  </si>
  <si>
    <t>VIOLLAZ Jose Ricardo</t>
  </si>
  <si>
    <t>ING. EN CONST.</t>
  </si>
  <si>
    <t>vivienda existente con planos, dos dormitorios, estar, comedor cocina,. Baño, cochera semicubierta, relevamiento de vivieenda al fondo y ampliacion de la misma, en pb cocina comedor, estudio, baño, a construir en pb cochera semicubierta con sector quincho, en pa dos dormitorios y baño, BAJO ORD 27/10, art 1, punto 2, inc 2, Infraccion art 5, 27, 37, 179 del CE</t>
  </si>
  <si>
    <t>mail, 554495</t>
  </si>
  <si>
    <t>Camino Horne s/N°</t>
  </si>
  <si>
    <t>BLANC Jesica y ZERMATHEN Juan</t>
  </si>
  <si>
    <t>LEONARDI Jerónimo</t>
  </si>
  <si>
    <t>relevamiento de vivienda unifamiliar, dos dormitorios, baño, cocina comedor estar, BAJO ORD 27/10, art 1, punto 2, inc 2 y 3, Infraccion arrt 5, 27, 37, 144, 151 del CE, Infraccion Ord 130/22 art 20</t>
  </si>
  <si>
    <t>mail, 554513</t>
  </si>
  <si>
    <t>Sarmiento N°  366</t>
  </si>
  <si>
    <t>ESTEVA Federico y PROSERPI Maria Eugenia</t>
  </si>
  <si>
    <t>vivienda unifamiliar a construir, previa demolicion de la existente, cuatro dormitorios en PA, uno en suite con baño, baño compartimentado, lavadero, balcón, en PB cochera cubierta, hall de acceso, cocina comedor estar, baño, semicubierto con parrilla y toilete al exterior</t>
  </si>
  <si>
    <t>27/7/23, no comenzado</t>
  </si>
  <si>
    <t>mail, 554551</t>
  </si>
  <si>
    <t>Bvard. Ferrari N.º 1389</t>
  </si>
  <si>
    <t>REBORD PALAZZO Mariano Pedro</t>
  </si>
  <si>
    <t>MALGOR José Manuel</t>
  </si>
  <si>
    <t>RUIZ DIAZ Javier Marcelo</t>
  </si>
  <si>
    <t>Depósito / Galpón</t>
  </si>
  <si>
    <t>galpòn depòsito a cosntruir, BAJO ORD 27/10, art 1, punto 1, inc 9, Infreaccion art 5, 27, 37 del CE</t>
  </si>
  <si>
    <t>27/7/23, movimiento de suelo iniciado</t>
  </si>
  <si>
    <t>MAIL, 553480</t>
  </si>
  <si>
    <t>Artigas N° 173</t>
  </si>
  <si>
    <t>CONFEDERACION EVANGELICA ARG</t>
  </si>
  <si>
    <t>Edificio Culto</t>
  </si>
  <si>
    <t>relevamiento de ampliaciones y modificaciones realizadas en la iglesia, reforma cocina, agrega baños, deposito pequeño en el fondo, reforma en el templo, BAJO ORD 27/10, art 1, punto 2, inc 3 y 3, Infraccion Ord 130/22, art 20, anexo V. Ord 56/07, art 3, inc 2, sub inc 1, Infraccion art 5, 27, 37, 176, 179, 181, 182, 202, 223, 232, 233, 258 del CE</t>
  </si>
  <si>
    <t>MAIL, 533743</t>
  </si>
  <si>
    <t>Reibel N° 248</t>
  </si>
  <si>
    <t>LIMA Gonzalo</t>
  </si>
  <si>
    <t>VOEFFRAY Nora</t>
  </si>
  <si>
    <t>vivienda existente con planos, dos dormitorios, estar, comedor cocina, baño, vivienda a construir en PB, dos dormitorios, baño, cocina comedor, BAJO ORD 27/10, art 1, punto 2, inc 9, Infraccion art 5, 27, 37. 130, 179, 202, 232 del CE, Inf Ord 130/22, art 20 Anexo V</t>
  </si>
  <si>
    <t>27/6/23, mamposteria a la altura de encadenado superior</t>
  </si>
  <si>
    <t>Bolívar N° 790</t>
  </si>
  <si>
    <t>BESSON Elbio René (suc)</t>
  </si>
  <si>
    <t>MANUCCI José</t>
  </si>
  <si>
    <t>relevamiento de vivienda unifamiliar, dos dormitorios, baño, cocina comedor, cochera descubierta, BAJO ORD 27/10, art 1, punto 2, inc 2, Infraccion art 5, 27, 37, 144, 151, 178, 179, 181, 182, 202, 227, 232 del CE</t>
  </si>
  <si>
    <t>Aguaribay N° 157</t>
  </si>
  <si>
    <t>CASULA Valeria E</t>
  </si>
  <si>
    <t>JACQUET Ariel N</t>
  </si>
  <si>
    <t>relevamiento de dos unoidades de vivienda, cada una con tres dormitoios, cocina, comedor estatr, baño, una con lavadero cubierto, la otra con quincho semicubiierto con parrilla y bacha, cocheras semicubiertas al frente, BAJO ORD 27/10, art 1, punto 2 inc 2, Infraccion art 5, 27, 37, 178, 179, 181, 182, 202, 223, 233 del CE, Ord 56/07, art 3, inc 1, Ord 53/07</t>
  </si>
  <si>
    <t>mail, 548478</t>
  </si>
  <si>
    <t>PAEA Susana Raquel</t>
  </si>
  <si>
    <t>cuatro uniades de un dormitorio existentes, cuatro a construir de las mismas caracteristicas, a declarar pileta tanque australiano</t>
  </si>
  <si>
    <t>Lavalle N° 486</t>
  </si>
  <si>
    <t>LOPEZ Daniel Omar</t>
  </si>
  <si>
    <t>vivienda existente en el fondo a remodelar y transformar en quincho, dos viviendas  a construir en el frente una en PB y otra en PA, cda una de un dormitorio, baño, cocina comedor estar, lavadero semicubierto, cocheras descubiertas, BAJO ORD 27/10, art 1, punto 2, inc 2, infraccion art 5, 27, 37, 232 del CE</t>
  </si>
  <si>
    <t>Balcarce N° 174</t>
  </si>
  <si>
    <t>BERGER Luis Anselmo</t>
  </si>
  <si>
    <t>BAJO ORD 27/10, art 1, punto 2, inc 2 y 3, Infraccion ORD 53/07, ORD 130/22, art 20, Anexo V, infraccion art 5, 27, 37, 179, 181, 182, 202, 223, 232, 233, 247 del CE</t>
  </si>
  <si>
    <t>MAIL, 554853</t>
  </si>
  <si>
    <t>Avda Urquiza N° 1174 y 1180</t>
  </si>
  <si>
    <t>MARSO Luis y otros</t>
  </si>
  <si>
    <t>relevamiento de ampliaci{on realizada en galpón/depósito local comercial, BAJO ORD 27/10, art 1, inc 2, sub inc 2 y 3, Infraccion Ord 130/20, art 20, Anexo V(retiro, FOS), Infraccion art 5, 27, 37, 179 del CE</t>
  </si>
  <si>
    <t>mail,  553869</t>
  </si>
  <si>
    <t>Calle Primeros Colonos s/N°</t>
  </si>
  <si>
    <t>PALACIOS Maria Silvina</t>
  </si>
  <si>
    <t>viienda existente, se plantea construir 4 unidades de vviienda de un dormitorio, baño, cocina comecdor estar, cocheras descubiertas y un espacio con pileta cubierta y dependencias "pegadas" a la vivieda existente, BAJO ORD 27/10, art 1 punto 1, inc 9, Infraccion art 5, 27, 37, 179 del CE</t>
  </si>
  <si>
    <t>3/8/23, PB</t>
  </si>
  <si>
    <t>Lima N° 191 esq Lavalle N°</t>
  </si>
  <si>
    <t>PASCUA María E , Mario M, Lázaro G.</t>
  </si>
  <si>
    <t>viviendas existentes, relevamiento de una, demolicion de la ubicada en la esquina y una nueva a construir de dos dormitorios, cocina comedor estar, cocheras descubiertas, BAJO ORD 27/10, art 1, punto 2, inc 2, Infraccion art 5, 27,37, 178, 179, 181, 182, 202, 227 del CE, ORd 56/07, art 3, inc 1, ORd 53/07</t>
  </si>
  <si>
    <t>3/8/23, trabajos no comenzados</t>
  </si>
  <si>
    <t>mail, 554883</t>
  </si>
  <si>
    <t>Ruta Nac N° 135, km</t>
  </si>
  <si>
    <t>COLLIARD Carlos V y COLLIARD Cynthia E</t>
  </si>
  <si>
    <t>ELGART Diego Ramón</t>
  </si>
  <si>
    <t>relevamiento de vivienda unifamiliar, tres dormitorios, baño, cocina comedor estar, acceso semicubierto, BAJO ORD 27/10, art 1, punto 2, inc 2 y 3, Infraccion art 5, 27, ,37, 178, 136 del CE</t>
  </si>
  <si>
    <t>Gral Paz Nº 162, 164</t>
  </si>
  <si>
    <t>ORELLANA Nelson</t>
  </si>
  <si>
    <t>vivienda existente a demoler, local comercial a construir</t>
  </si>
  <si>
    <t>26/10/22, obra no comenzada</t>
  </si>
  <si>
    <t>mail, 555094</t>
  </si>
  <si>
    <t>Avda.Pte. Perón N° 296</t>
  </si>
  <si>
    <t>Local Comercial</t>
  </si>
  <si>
    <t>demolición de construccion y local existente (alineacion) plano visado antes, local comercial a consutri, farmacia,</t>
  </si>
  <si>
    <t>22/8/23, demolicion concluida</t>
  </si>
  <si>
    <t>mail, 554999</t>
  </si>
  <si>
    <t xml:space="preserve"> 12 de Abril Nº 848, 840, al 846</t>
  </si>
  <si>
    <t>dos depositos a construir al fondo del lote, 4 locales comerciales con planos en el frente, BAJO ORD 27/10, Infraccion art 5, 27, 37, 179 del CE</t>
  </si>
  <si>
    <t>mail, 555051</t>
  </si>
  <si>
    <t>M. Moreno N° 431</t>
  </si>
  <si>
    <t>GALLO Cesar Edgardo</t>
  </si>
  <si>
    <t>MARQUEZ Omar Fabián</t>
  </si>
  <si>
    <t>relevamiento y remodelacion de vivienda existente en PB, vivienda nueva en PB al fondo del lote, dos viviendas a cosntruir en PA sobre la vivienda existente al frente del lote</t>
  </si>
  <si>
    <t>17/8/23, iniciada, en etapa de mamposteria</t>
  </si>
  <si>
    <t>Balcarce N° 482 - 486</t>
  </si>
  <si>
    <t>OTERO Rafael D. M.</t>
  </si>
  <si>
    <t>BURGOS Alfredo</t>
  </si>
  <si>
    <t>dos unidades de vivienda a cosntruir, de alquiler, una en PA con dos dormitorios, cocina comedor estar y baño, en PB otra similar, tres cocheras semicubiertas, dos viviendas exitentes con planos de caract similares, piscina a construir, glapon deposito cochera al fondo a relevar accesible tambien desde lote lindero, BAJO ORD 27/10, art 1, punto 2, inc 2, Infraccion art 5, 27, 37 del CE</t>
  </si>
  <si>
    <t>mail, 554994</t>
  </si>
  <si>
    <t>Calle Madres y Abuelas de Plaza de Mayo s/N°</t>
  </si>
  <si>
    <t>GALARZA Gerardo</t>
  </si>
  <si>
    <t>SACULA Gustavo</t>
  </si>
  <si>
    <t>vivienda unifamiliar, tres dormitorios, uno en suite con baño privado, baño completo compartimentado, lavadero, toilet al exterior, estar comedor cocina desayunador, cochera semicubierta para dos vehiculos, BAJO ORD 27/10, art 1, punto 1, inc 9, punto 2, inc 2, Infraccion art 5, 27, 37, del CE</t>
  </si>
  <si>
    <t>San Martín N° 859 - 861</t>
  </si>
  <si>
    <t>LUGRIN Ismael Abelardo</t>
  </si>
  <si>
    <t>BERTOLDI Fabián A</t>
  </si>
  <si>
    <t>relevamiento de galpón depósito al fondo del lote, dos locales comerciales al frente c/u con sanitario con plano antecedente, BAJO ORD 27/10, art 1, punto 2, inc 2 y 3, Infraccion ORD 130/22, art 20 Anexo V, infraccion art 5, 27, 37, 176, 179, 202 del CE</t>
  </si>
  <si>
    <t>mail, 554794</t>
  </si>
  <si>
    <t>5159 y 54309</t>
  </si>
  <si>
    <t>826 y 163537</t>
  </si>
  <si>
    <t>1344 y 9922</t>
  </si>
  <si>
    <t>4 y 5</t>
  </si>
  <si>
    <t>3 de Febrero N° 70</t>
  </si>
  <si>
    <t>DELASOIE Carlos J.</t>
  </si>
  <si>
    <t>ORG. DELASOIE Hnos. S. A.</t>
  </si>
  <si>
    <t>RAMOS Omar Ricardo</t>
  </si>
  <si>
    <t>Cocheras</t>
  </si>
  <si>
    <t>edificio de cocheras a cosntruir ($208553,37)</t>
  </si>
  <si>
    <t>mail, 555346</t>
  </si>
  <si>
    <t>Florentina Gomez Miranda N° 120</t>
  </si>
  <si>
    <t>LANDEIRA Mariano Ramón</t>
  </si>
  <si>
    <t>una vivienda de cuatro dormitorios, estar, cocina comedor, depostio, baño, toilete y cochera semicubierta la frente, detrás, tres deptos, uno en PB de un dormitorio, cocina comedor y baño, en PA dos monoambientes, BAJO ORD 27/10, art 1, punto 2, inc 2 y 3, Infraccion art 5, 27, 37, 144, 151, 176, 202, 232, 246, 256 del CE</t>
  </si>
  <si>
    <t>Las Piedras N°  336</t>
  </si>
  <si>
    <t xml:space="preserve">RAYMOND de VIOLLAZ Marta </t>
  </si>
  <si>
    <t>Vivienda multifamiliar + Galpón Depósito</t>
  </si>
  <si>
    <t>BAJO ORD 27/10, art 1, punto 2, inc 2, Infraccion art 5, 27, 37, 144, 151, 176, 181, 182, 202, 223, 233 del CE</t>
  </si>
  <si>
    <t>mail, 554006</t>
  </si>
  <si>
    <t>San Martín N° 472</t>
  </si>
  <si>
    <t>AMERICAN BUILDING SA</t>
  </si>
  <si>
    <t>PERNO Ruben Alberto</t>
  </si>
  <si>
    <t>AMERICAN BUILDING S.A.</t>
  </si>
  <si>
    <t>ING. CONST.</t>
  </si>
  <si>
    <t>demolicion de vivienda exixtente, se mantiene la fachada, edificio de departamentos a construir, 23 unidades de vivienda de un dormitorio, cocina comedor estar, baño, cocheras descubiertas, y semienterradas, local comercial en PB</t>
  </si>
  <si>
    <t>mail, 555399</t>
  </si>
  <si>
    <t>Avda Paysandú esq 3 de Febrero N°</t>
  </si>
  <si>
    <t>DAMMANN Susanne</t>
  </si>
  <si>
    <t>BAJO ORD 27/10, art 1, punto 2, inc 2 y 3, Infraccion Ord 130/22, art 29, Anexo V, CE art 5, 27, 37, 144, 176, 178, 179, 202, 230, Infraccion Ord 53/07</t>
  </si>
  <si>
    <t>mail, 555521</t>
  </si>
  <si>
    <t>Bvard. Gaillard Nº 2028 , 2030</t>
  </si>
  <si>
    <t>dos unidades de vivienda a construir, dos dormitorios, baño, cocina comedor estar cada una, cochreas al frente descubiertas</t>
  </si>
  <si>
    <t>7/9/23, fundaciones</t>
  </si>
  <si>
    <t>mail, 555421</t>
  </si>
  <si>
    <t>Monteagudo N° 114</t>
  </si>
  <si>
    <t>CAUZZI Zulma María</t>
  </si>
  <si>
    <t>relevamiento de ampliacion realizada en vivienda de dos dormitorios, baño, cocina comedor, dormitorio al fondo con baño y semicubierto para cochera</t>
  </si>
  <si>
    <t>mail, 555470</t>
  </si>
  <si>
    <t>Calle provada s/N° - Los Bretes</t>
  </si>
  <si>
    <t>UGARTEMENDIA Juan Sebastian</t>
  </si>
  <si>
    <t xml:space="preserve">CACERES Hernan </t>
  </si>
  <si>
    <t>vivienda unifamiliar a construir, madera, en PA tres dormitorios, uno en suite con vestidor y bañoi compartimentado completo, baño completo compartimentado, sector estar intimo, balcones y lavadero, en PB estar comedor cocina desayunador sala de te, toilete, acceso, deposito, quincho con parrilla y baño, semicubierto al fondo galeria expansioin, semicubierto al frente para cocheras dos vehiculos, espacio de guardado exterior, piscina la fondo, terraza</t>
  </si>
  <si>
    <t>7/9/23, baldio</t>
  </si>
  <si>
    <t>mail, 555612</t>
  </si>
  <si>
    <t>Santa Crúz N° 395</t>
  </si>
  <si>
    <t>MOREL CHEVILLET Marcela</t>
  </si>
  <si>
    <t>viviendas con posibilidad de funcionar separadas o conjuntamente, tiene acceso a la PA desde la calle y desde el interior de la vivienda de PB, vivienda de dos dormitorios, baño, estar, cocina comedor, cochera lavadero cubierto en PB, en PA vivienda de tres dormitorios, baño, cocina comedor, estar, terraza balcón, aparte en PB quincho, cochera semicubierta, depósito cubierto y sobre esto otro quincho o salon multiuso con baño, BAJO ORD 27/10, art 1, punto 2, inc 2 y 3, Infraccion art 5, 27, 37, 144, 151, 179, 202 del CE, Ord 62/22, art 20, Anexo V</t>
  </si>
  <si>
    <t>Calle Progreso s/Nº</t>
  </si>
  <si>
    <t>AGUARA Constructora S.A.</t>
  </si>
  <si>
    <t>VIOLLAZ Susana Inés</t>
  </si>
  <si>
    <t>CHINELLATO Damián G.</t>
  </si>
  <si>
    <t>tes unidades de vivienda a construir, cada una con dos dormitorios, baño, cocina desayunador comedor estar, lavadero parrilla semicubierta con pergola, cochera semicubierta</t>
  </si>
  <si>
    <t>inspección 01/09/21, acopio de materiales, obra no iniciada</t>
  </si>
  <si>
    <t>Hernández N° 363</t>
  </si>
  <si>
    <t>KENNEMAN Raul Humberto</t>
  </si>
  <si>
    <t>SERRANO María Laura y VIOLLAZ Carolina</t>
  </si>
  <si>
    <t>BUFFET Hugo</t>
  </si>
  <si>
    <t>ampliacion en vivienda unifamiliar existente, dormitorio en PA, en PB cocina comedor estar, dos dormitorios, baño, separado otro dormitorio al fondo con baño, espacio semicubirto con parrilla, cochera semicubierta la frente, BAJO ORD 27/10, art 1, punto 2, inc 2 y 3, Infraccion ORd 130/22, art 20 (FOS y RETIRO), Infraccion art 5, 27, 37, 144, 151, 178, 202, 247 del CE</t>
  </si>
  <si>
    <t>7/9/2023, obra no comenzada</t>
  </si>
  <si>
    <t>mail, 555746</t>
  </si>
  <si>
    <t>M. M. Lima N° 226</t>
  </si>
  <si>
    <t>MAZZINI Mariano Esteban</t>
  </si>
  <si>
    <t>LEONARDI Jerónimo y GOMEZ WICKY Diamela</t>
  </si>
  <si>
    <t>relevamiento de 4 unidades de vivienda , 3 de alquiler, una de un dormitorio, baño y cocina comedor, otra de PB cocina comedor, estar, baño y en PA un entrepiso dormitorio, la otra  igual, estas tres ubicadas al frente del lote, vivienda unifamiliar al fondo con cocina comedor estar, dos dormitorios, baño, espacio tipo quincho estar comedor, parrilla y horno, BAJO ORD 27/10, art 1, punto 2, inc 2, Infraccion art 5, 27, 37, 176, 178, 179, 202, 223, 227, 236, 247 del CE, Ord 130/22, art 20, Ord 53/07</t>
  </si>
  <si>
    <t>mail, 555752</t>
  </si>
  <si>
    <t>Combatientes de Malvinas N°  182 (ANTES 178)</t>
  </si>
  <si>
    <t>SEEWALD Emma Marisa</t>
  </si>
  <si>
    <t>MAHER Luciana A.</t>
  </si>
  <si>
    <t>demolición sin permiso de vivienda existente, monoambiente a construir al fondo del lote</t>
  </si>
  <si>
    <t>Durand N° 457 es Pasaje s/nombre</t>
  </si>
  <si>
    <t>DI PASQUA Nilda Beatríz</t>
  </si>
  <si>
    <t>BERTOLDI Fabián Aníbal</t>
  </si>
  <si>
    <t>relevamieto de dos viviendas, una en PB de dos dormitoiros, baño, cocina comedor, una en PA de un dormitorio, cocina comedor estar, baño, BAJO ORD 27/10, art 5, 27, 37, 130, 146, 149, 151, 179, 181, 182, 205, 214, 227, 232, 233, 247 del CE, Ord 53/07, Ord 130/22</t>
  </si>
  <si>
    <t>mail, 555957</t>
  </si>
  <si>
    <t>Avda Urquiza N° 662, 664</t>
  </si>
  <si>
    <t>DERUDDER Camila y MALGOR José Manuel</t>
  </si>
  <si>
    <t>vivienda existente a demoler, vivienda unifamiliar a construir, cuatro dormitorios, oficina en PA y estudio en PB, estar cocina comedor, galeria quincho semicubierta, cochera semicubierta doble, (67811,73)</t>
  </si>
  <si>
    <t>Avda Urquiza N° 313</t>
  </si>
  <si>
    <t>NUÑEZ Adelia Beatriz</t>
  </si>
  <si>
    <t>relevamieto de local comercial al frente, vivienda  unifamiliar al lado, un dormitorio, baño, cocina comedor estar, cochera descubierta, deposito lavadero al fondo, BAJO ORD 27/10, art 1, punto 2, inc 2, Infraccion art 5, 27, 37, 179, 202 del CE</t>
  </si>
  <si>
    <t>Periburbano</t>
  </si>
  <si>
    <t>Ceibo s/N°</t>
  </si>
  <si>
    <t>VILLAVERDE Silvio Javier</t>
  </si>
  <si>
    <t>Vivienda unfamiliar</t>
  </si>
  <si>
    <t>vivienda unifamiliar a cosntruir, en PB estar comedor cocina, baño, dos dormitorios, en PA dos dormitorios cada uno con su baño, cochera descubierta lateral</t>
  </si>
  <si>
    <t>21/7/23, baldio</t>
  </si>
  <si>
    <t>Calle Privada s/N° - Los Bretes</t>
  </si>
  <si>
    <t>MISTA Sandra</t>
  </si>
  <si>
    <t>MORARD Manuel Arturo</t>
  </si>
  <si>
    <t>ING. en CONST</t>
  </si>
  <si>
    <t>relevamiento de vivienda unifamiliar ampliada, pegada a la vivienda original, comedor estar, dos dormitorios, baño, cochera cubierta, galeria con parrilla, al fondo cancha de futbol 5, semicubiertoa a los ladosw, baños, piletas (3) tipo tanque australiano, pequeñas, BAJO ORD 27/10, art 1, punto 2, inc 2 y 3, Infraccion Ard 130/22, art 21 (retiro), Infraccion art 5, 27, ,37, 176, 179, 247 del CE</t>
  </si>
  <si>
    <t>mail</t>
  </si>
  <si>
    <t>Urana</t>
  </si>
  <si>
    <t>Mitre s/Nº 325</t>
  </si>
  <si>
    <t>REY Patricia y ESTUPENENGO Sebastian Omar</t>
  </si>
  <si>
    <t>REY Patricia</t>
  </si>
  <si>
    <t>DUARTE MEDINA Luis Osmar</t>
  </si>
  <si>
    <t>Vivienda multifamiliar + Oficinas</t>
  </si>
  <si>
    <t>departamentos (9) a construir en torre, un dormitorio, baño, cocina comedor esta, balcòn o terraza, Planteo 3 como oficinas, SE DEJA NOTA EN CARATULA</t>
  </si>
  <si>
    <t>14/9/23, baldio</t>
  </si>
  <si>
    <t>VILLA RODRIGUEZ Martin Nicolas, TESTA DIAZ Daiana Solange</t>
  </si>
  <si>
    <t>LOKER Luis</t>
  </si>
  <si>
    <t>ARQ,</t>
  </si>
  <si>
    <t>vivienda unifamiliar a construir, dos dormitorios, uno en suite con baño compartimentado y vestidor, baño, cocina desayunador comedor estar, lavadero cubierto, separado un estudio con baño, cochera semicubierta para dos vehículos, BAJO ORD 27/10, art 1, punto 2 inc 2 y 3, Infraccion ORd 130/22, art 21, Infraccion art 5, 27, 37, 176, 178, 179, 247 del CE</t>
  </si>
  <si>
    <t>15/9/23, ya ejecutado</t>
  </si>
  <si>
    <t>San Martín N° 1212, 1220</t>
  </si>
  <si>
    <t>MASEI Javier Andrés</t>
  </si>
  <si>
    <t>MANA DISTRIBUCIONES S.A.</t>
  </si>
  <si>
    <t>CABRERA Noel Javier</t>
  </si>
  <si>
    <t>locales comerciales a construir, vivienda unifamiliar a demoler</t>
  </si>
  <si>
    <t>7/9/23, edificación precaria ezistente</t>
  </si>
  <si>
    <t>NOTIFICACION por no haber iniciado la Obra-DESISTIDO-06/06/25</t>
  </si>
  <si>
    <t>Bolívar esq Sourigues N° 443</t>
  </si>
  <si>
    <t>FIDEICOMISO L. FRATELLI</t>
  </si>
  <si>
    <t>demolición de vivienda unfamiliar</t>
  </si>
  <si>
    <t>M. Moreno N° 164</t>
  </si>
  <si>
    <t>CAFFARATTI Sergio</t>
  </si>
  <si>
    <t>ampliación vivienda unifamiliar , a ejecutar en PA sobre cochera un depto de un dormitorio, baño y cocina comedor, a demoler un pequeño deposito, BAJO ORD 27/10, art 1, punto 2, inc 2, Infraccion art 5, 27, 37, 179, 247 del CE</t>
  </si>
  <si>
    <t>Reibel N° 223, 225</t>
  </si>
  <si>
    <t>SORDI Eduarod Martín</t>
  </si>
  <si>
    <t>a demoler existente al frente, en  su lugar vivienda a construir al frente, un dormitorio, baño, cocina comedor estar, cocheras descubiertas, Vivienda al fondo en PB cocina comedor baño, en PA dos dormitorios y baño, BAJO ORD 27/10, art 1, punto 2, inc 2, Infraccion art 5, 27, 37, 179, 232 del CE, Infraccion Ord 56/07, art 3, inc 2, sub inc 1</t>
  </si>
  <si>
    <t>Las Piedras N° 341</t>
  </si>
  <si>
    <t>CABRAL Juan Antonio y SOLOIZANO Alcina I</t>
  </si>
  <si>
    <t>relevamiento de vivienda unifamiliar con dos dormitorios, cocina, comedor estar,  baño, lavadero, descubierto, sector de parrilla, depòsito al fondo, local comercial con foza, ocupa vereda con techo, BAJO ORD 27/10, art 1, punto 2, inc 1, 2 y 3, Infraccion art 5, 27, 37,144, 151, 179, 202, 223, 230, 233 del CE, Ord 130/22, art 20, Zona Urbana</t>
  </si>
  <si>
    <t>mail, 557242</t>
  </si>
  <si>
    <t>Salsipuedes s/N°</t>
  </si>
  <si>
    <t>BERON Eduardo Horacio</t>
  </si>
  <si>
    <t>dos unidades de vivienda a cosntruir, dos dormitorios, cocina, cocmedor estar, baño, no marca cochera</t>
  </si>
  <si>
    <t>2/11/23, baldío</t>
  </si>
  <si>
    <t>mail, 557277</t>
  </si>
  <si>
    <t>Florentina Gomez Miranda N° 117</t>
  </si>
  <si>
    <t>TORRANT Ramiro Martin</t>
  </si>
  <si>
    <t>Vivienda unifamiliar + Galpón Depósito</t>
  </si>
  <si>
    <t>vivienda existente con planos, tipo 2002, tres dormitorios, baño, cocina comedor estar, semicubierto lateral y acceso, galpón depósito a relevar al frente del lote, baño, entrepiso, BAJO ORD 27/10, art 1, punto 2, inc 2, Infraccion art 5, 27, 37, 144, 151, 176, 202, 232, 246, 256 del CE, ORd 130/22, art 20, anexo V</t>
  </si>
  <si>
    <t>Calle Chañar s/N° esq Saavedra Lamas - Barrio Cicle</t>
  </si>
  <si>
    <t>CAPELLANO Sancho Flavio</t>
  </si>
  <si>
    <t>relevamiento vivienda tipo Viviendas 2002, dos dormitorios, cocina comedor estar, baño, espacio cochera semicubierto, BAJO ORD 27/10, art 1, punto 2, inc 2, Infraccion art 5, 27, 37, 144, 151, 178, 202, 236 del CE</t>
  </si>
  <si>
    <t>Calle Sauce N° esq Juana Azurduy</t>
  </si>
  <si>
    <t>PAVON María Luján</t>
  </si>
  <si>
    <t>relevamiento vivienda unifamiliar,tres dormitorios, baño, cocina comedor estar, galeria semicubierta quincho, BAJO ORD 27/10, art 1, punto 2, inc 2, Infraccion art 5, 27, 37 del CE</t>
  </si>
  <si>
    <t>Avda. Paysandú N° 1156</t>
  </si>
  <si>
    <t>LABARTE RIET Verónica</t>
  </si>
  <si>
    <t>relevamiento de dos unidades de vivienda, una al fondo del lote, dos dormitorios, baño, cocina comedor, otra al frente dos dormitorios, baño, cocina comedor estar, espacio de cocheras descubierta, BAJO ORD 27/10, art 1, punto 2, inc 2 y 3, Infraccion art 5, 27, 37, 144, 151, 179, 201, 202, 223 del CE</t>
  </si>
  <si>
    <t>Avda Paysandú N° 274</t>
  </si>
  <si>
    <t>INDUSTRIAL NORTE (Rafael y Oscar Acosta)</t>
  </si>
  <si>
    <t>relevamiento construccòn al fondo del lote, SUM, baño y depòsito en PB y deposito en PA, a construir en el frente hall, dos salas amplias divisibles en cuatro, grupo sanitario separado por sexos, BAJO ORD 27/10, art 1, punto 2, inc 2 y 3, Infraccion Ord 130/22, art 20, anexo V, Infraccion Ord 56/07, art 3, inc 2, sub inc 2, infraccion art 5, 27, 37, 144, 151, 176, 202, 232, 246, 256 del CE</t>
  </si>
  <si>
    <t>27/4/23, en fundaciones</t>
  </si>
  <si>
    <t>Calle Paraiso ( Loteo Aires de 1872)</t>
  </si>
  <si>
    <t>DOMINGUEZ PAIS Diego Rodrigo</t>
  </si>
  <si>
    <t>relevamiento de vivienda unifamiliar con tres dormitorios, cocina comedor estar, dos baños, lavadero, cochera semicubierta para dos vehiculos con sector de parrilla, pileta de fibra de vidrio al fondo, BAJO ORD 27/10, art 1, punto 2, inc 2 y 3,Infraccion CE art 5, 27, 37, 236 del CE, Ord 130/21, art 21</t>
  </si>
  <si>
    <t>Bernard N° 671</t>
  </si>
  <si>
    <t>ARLETTAZ María Cristina</t>
  </si>
  <si>
    <t>CENTRO CRISTIANO VIDA PLENA</t>
  </si>
  <si>
    <t>Salón</t>
  </si>
  <si>
    <t>relevamiento de salón religioso, quincho al fondo, entrepiso en el frente, BAJO ORD 27/10, art 1, punto 2, inc 2 y 3, Infraccion Ord 130/22, art 20, anexo V, infraccion art 5, 27, 37, 176, 179, 227, 230, 236, 258, 264 del CE</t>
  </si>
  <si>
    <t>BERNA Hernán Guillermo</t>
  </si>
  <si>
    <t>vivienda unifamiliar a construir, tres dorimitorios, uno en suite con baño y vestidor, baño, cocina comedor estar, cochera semicubierta doble, galeria posterio con parrilla</t>
  </si>
  <si>
    <t>Avda. Urquiza N° 769</t>
  </si>
  <si>
    <t>COLOMBO Agustin Santiago</t>
  </si>
  <si>
    <t>CABRAL Fernando Antonio</t>
  </si>
  <si>
    <t>relevamiento de viviendas, un grupo de dos, otras sobre dos locales comerciales ubicados en PB, BAJO ORD 27/10, art 1, punto 2, inc 2, Infraccion Ord 53/07</t>
  </si>
  <si>
    <t>mail, 557568</t>
  </si>
  <si>
    <t>Primera Junta N° 93 esq Bolivar</t>
  </si>
  <si>
    <t>CAJA de JUBILACIONES y PENSIONES PROFESIONALES de la ING</t>
  </si>
  <si>
    <t>GOMEZ Iris Rocio</t>
  </si>
  <si>
    <t>Edificio administrativo</t>
  </si>
  <si>
    <t>depósito a construir en vivienda existente ahora utilizada por el Poder Judicial, Bajo ord 27/10,m art 1, punto 2, inc 2 y 3, Infraccion art 5, 27, 37, 179, 223, 232, 233 del CE, Ord 130/22, art 20, Anexo V</t>
  </si>
  <si>
    <t>13/11/2023, en terminaciones</t>
  </si>
  <si>
    <t>Piamonte N° 650</t>
  </si>
  <si>
    <t>RAMOS Catalina Susana</t>
  </si>
  <si>
    <t>MANUCCI José María</t>
  </si>
  <si>
    <t>relevamiento de cuatro cabañas de madera, BAJO ORD 27/10, art 1, punto 2, inc 2, Infraccion art 5, 27, 37, 144, 176, 178, 179, 181 194, 198, 201, 202, 205, 214 del CE, Ord 53/07</t>
  </si>
  <si>
    <t>12 de Abril  N° 1186</t>
  </si>
  <si>
    <t>VIOLLAZ Carina Susana y otros</t>
  </si>
  <si>
    <t>vivienda unifamiliar existente con antecedentes en PB estar comedor cocina, baño copleto, lavadero semicubierto, cochera semicubierta, en PA dos dormitorios, dos unidades de vivienda de alquiler a relevar, cada una un dormitorio, baño, cocina comedor, cochera semicubierta, BAJO Ord 27/10, art 1, punto 2, inc 2, Infracción art 5, 27, 37, 178, 179, 201, 202, 226, 232, 247 del CE</t>
  </si>
  <si>
    <t>inspección 17/11/23</t>
  </si>
  <si>
    <t>Maipú N° 74</t>
  </si>
  <si>
    <t>CEVALLOS Elisa Susana</t>
  </si>
  <si>
    <t>demolición de vivienda unfamiliar, vivienda unifamiliar a construir, tres dormitorios, baño principal compartimentado, balcones, estar, cocina comedor, galeria quincho con toilete de acceso exterior, cochera cubierta</t>
  </si>
  <si>
    <t>28/9/23, no comenzada</t>
  </si>
  <si>
    <t>mail, 557632</t>
  </si>
  <si>
    <t>Bvard Gaillard N° 252 esq Sarmiento</t>
  </si>
  <si>
    <t>CASTAÑO ESPINOSA Griselda</t>
  </si>
  <si>
    <t>NEGREIRA Gustavo Daniel</t>
  </si>
  <si>
    <t>relevamiento de dos unidades de vivienda , cada una de dos dormitorios, cocina comedor estar, baño, una con cochera cubierta, la otra con un deposito cubierto sin acceso desde la calle, BAJO ORD 27/10, art 1, punto 2, inc 2 y 3, Infraccion Ord 130/22, art 20, Anexo VB, infraccion Cod de Edif Art 5, 27, 37, 130, 144, 151, 178, 179</t>
  </si>
  <si>
    <t>Sarmiento N°</t>
  </si>
  <si>
    <t>mail, 557847</t>
  </si>
  <si>
    <t>9 de Mayo N°   323</t>
  </si>
  <si>
    <t>URANGA Nora Beatriz</t>
  </si>
  <si>
    <t>GRAZIANI Jorge Agustin</t>
  </si>
  <si>
    <t>REYES Carlos Adolfo</t>
  </si>
  <si>
    <t xml:space="preserve">                    </t>
  </si>
  <si>
    <t>vivienda unifamiliar a construir, tres dormitorios, una con baño privado, baño, cocina comedor estar, patio interno, cochera descubierta lateral</t>
  </si>
  <si>
    <t xml:space="preserve">mail, 558149 </t>
  </si>
  <si>
    <t>Calle Privada s/Nº - Los Bretes</t>
  </si>
  <si>
    <t>CROSA Julio Alberto</t>
  </si>
  <si>
    <t>GONZALEZ Juan Marìa</t>
  </si>
  <si>
    <t>vivienda unifamiliar existente declarada, dos dormitorios, dos baños, escritorio, deposito, toilete exterior, estar comedor cocina, hall, quincho con depósito y baño y piscina a construir</t>
  </si>
  <si>
    <t>General Paz N° 136</t>
  </si>
  <si>
    <t>MESITI Orlando Carmelo</t>
  </si>
  <si>
    <t>Local comercial + Vivienda multifamiliar</t>
  </si>
  <si>
    <t>Local comercial en PB, vivienda en PA con tres dormitorios, cocina comedor estar, baño, lavadero, cochera descubierta, vivienda al fondo, con dos dormitorios, baño, cocina comedor estar, cochera semicubierta</t>
  </si>
  <si>
    <t>BIDAL Maria Ernestina</t>
  </si>
  <si>
    <t>VALLARINO Guillermo Daniel</t>
  </si>
  <si>
    <t>BRITEZ BENITEZ Daniel</t>
  </si>
  <si>
    <t>Vivienda unifamiliar + Piscina</t>
  </si>
  <si>
    <t>vivienda unifamiliar existente, dos dormitorios, baño completo compartimentado, toilete, estar comedor cocina, cochera semicubierta al frente con sector parrilla, a colocar piscina al costado de la vivienda</t>
  </si>
  <si>
    <t>mail, 558172</t>
  </si>
  <si>
    <t>Reibel N° 161, 163, 165</t>
  </si>
  <si>
    <t>WAMBOLDT Guillermo Antonio</t>
  </si>
  <si>
    <t>Vivienda multifammiliar</t>
  </si>
  <si>
    <t>tres unidades de vivienda a construir, apareadas, en PB estar comedor cocina, roilete, cochera semicubierta, en PA, baño y dos dormitorios con balcon al fondo y parrilla</t>
  </si>
  <si>
    <t>MAIL, 558956</t>
  </si>
  <si>
    <t>María Isabel Fernandez s/N°</t>
  </si>
  <si>
    <t>GRANTEC SA</t>
  </si>
  <si>
    <t>relevamiento de amplaciòn realizada en galpòn, depòsito, un entrepiso, BAJO ORD 27/10, art 1, punto 2, inc 2, Infracciòn art 5, 27, 37, 144, 179, 202, 223, 233 del CE</t>
  </si>
  <si>
    <t>mail, 558179</t>
  </si>
  <si>
    <t>Quintas</t>
  </si>
  <si>
    <t>VIOLLAZ Mónica Susana</t>
  </si>
  <si>
    <t>relevamiento de dos unidades de alquiler, monoambientes, tres unidades de dos dormitorios, baño, cocina comedor, cochera semicubierta y pileta  existentes al fondo , BAJO ORD 27/10, art 1, punto 2, inc 2, Infraccion Ord 130/22, art 23, Anexo V, CE art 5, 27, 37, 144, 176, 178, 236</t>
  </si>
  <si>
    <t>BAHL Lucas Ariel</t>
  </si>
  <si>
    <t>PONCE Cecilia Leonor</t>
  </si>
  <si>
    <t>relevamiento de vivienda unifamiliar de dos dormitorios, baño, cocina comedor estar, dos viviendas apareadas exixtentes de un dormitorio, baño, cocina comedor, cochera decubierta.BAJO ORD 27/10, art 1, punto 2 y 3, Infraccion Ord 56/07, art 3, Ord 53/07, CE art 5, 27, 37, 130, 176, 178, 179, 181, 182, 201, 202, 231</t>
  </si>
  <si>
    <t>mail, 558114</t>
  </si>
  <si>
    <t>996 - 51927</t>
  </si>
  <si>
    <t>San Martín N° 773 y 775</t>
  </si>
  <si>
    <t>MARTINELLI Dario</t>
  </si>
  <si>
    <t>EDIFICIO COLON</t>
  </si>
  <si>
    <t>Departamentos</t>
  </si>
  <si>
    <t xml:space="preserve">plano conforme a obra, edificio de departamentos, 11 departamentos, 9 de un dormitorio, cocina comedor estar, baño y balcon, dos de dos dormitorios, cocina comedor estar, balcon al frente, quincho en la terraza con piscina, faltan cocheras, local comercial en PB, BAJO ORD 27/10, art 1, punto 2, inc 2 y 3, Infraccion Odr 53/07, Ord 130/22, art 19, Anexo V, Infraccion CE art 5, 27, 37, 176, 178, 179, 181, 182, 202, 232, 240, 264 </t>
  </si>
  <si>
    <t>MAIL, 557967</t>
  </si>
  <si>
    <t>Avda. Paysandú Nº 657</t>
  </si>
  <si>
    <t>OJEDA Juan Pablo</t>
  </si>
  <si>
    <t>VOMMARO Alexis Gabriel</t>
  </si>
  <si>
    <t>Vivienda Unifamiliar</t>
  </si>
  <si>
    <t>vivienda unifamiliar a consrtuir, un dormitorio, cocina comedor estar, baño, cochera descubierta, a verificar COTA *10,00m</t>
  </si>
  <si>
    <t>29/11/23, balsio</t>
  </si>
  <si>
    <t>Primera Junta Nº 458</t>
  </si>
  <si>
    <t>mail, 558287</t>
  </si>
  <si>
    <t>Batalla de Cepeda Nº204, 206, esq Lavalle</t>
  </si>
  <si>
    <t>POMPEI VIVACQUA Maria Sol</t>
  </si>
  <si>
    <t>PERNO Rubèn Alberto</t>
  </si>
  <si>
    <t>DIAZ ROJAS Hugo C</t>
  </si>
  <si>
    <t>Local comercial + Monoambientes</t>
  </si>
  <si>
    <t>ING. En CONSTR.</t>
  </si>
  <si>
    <t>local comercial en PB y cocheras semicubiertas, en PA siete monambientes, a construir</t>
  </si>
  <si>
    <t>13/12/23, baldio</t>
  </si>
  <si>
    <t>Bolívar Nº 87</t>
  </si>
  <si>
    <t>OTERO Carolina A V y DELALOYE Miguel A</t>
  </si>
  <si>
    <t xml:space="preserve">ampliaciòn de quincho nexistente al fondo para transformarlo en dos monoambientes, BAJO ORD 27/10, art 1, punto 2, inc 2, Infraccion Ord 56/07, art 3, CE art 5, 27, 37, 176, 178, 179, 202, 223, 232 ,233, 247 </t>
  </si>
  <si>
    <t>28/9/23, comenzada</t>
  </si>
  <si>
    <t>MAIL, 557642</t>
  </si>
  <si>
    <t>Paso de los Andes Nº</t>
  </si>
  <si>
    <t>RAMIREZ Gerónimo</t>
  </si>
  <si>
    <t>relevamiento de dos unidades de vivienda , una sion terminar, de madera, otra mas ya declarada al frente, BAJO ORD 27/10, art 1, punto 2, inc 2 y 3, Infraccion C.E art 5, 27, 37, 144, 151, 176, 178, 179, 181, 182, 198, 202, 214, 223, 232, 233, Ord 130/22, art 20</t>
  </si>
  <si>
    <t>MAIL, 558332</t>
  </si>
  <si>
    <t>Calle Las Moras s/Nº</t>
  </si>
  <si>
    <t>JACOB Javier Gustavo</t>
  </si>
  <si>
    <t>vivienda unifamiliar relevada, dos dormitorios, uno con vestidor y baño, baño, cocina comedor estar, cochera semicubierta, BAJO ORD 27/10, art 1, punto 2, inc 2 y 3, punto 1, inc 9, INFRACCION C.E. art 5, 27, 37, 141, 144, 151, 182, Ord 130/22, art 21, anevo V</t>
  </si>
  <si>
    <t>Bvard. Güemes N° 252</t>
  </si>
  <si>
    <t>MARANO Clarisa</t>
  </si>
  <si>
    <t>POVEDANO Carlos</t>
  </si>
  <si>
    <t>MARCHAND Uriel</t>
  </si>
  <si>
    <t>mail, 538247</t>
  </si>
  <si>
    <t>Bvard. Güemes N° 252, esq. Tucumán</t>
  </si>
  <si>
    <t>MARANO ROUDE Maria de los Milagros</t>
  </si>
  <si>
    <t>vivienda unifamiliar a construir, a la fecha terminada,  sistema de construccion industrializado en seco (Steel Framing), dos dormitorios, baño, estar comedor cocina, lavadero, cochera descubierta, BAJO ORD 27/10, art 1, punto 1, inc 9, punto 2, inc 2 y 3, Infracción C.E. art 5, 27, 37, Ord 130/22, art 20, Anexo V</t>
  </si>
  <si>
    <t>15/12/21, muros terminados</t>
  </si>
  <si>
    <t>Tucumán y Leguizamón Nº 244</t>
  </si>
  <si>
    <t>PETENATTI Cristian Cesar</t>
  </si>
  <si>
    <t>MARTIN Melida Paola</t>
  </si>
  <si>
    <t>relevamiento de dos unidades de vivienda, una de un dormitorio, baño y cocina comedor estar, cochera descubierta, otra e la esquina de dos dormitorios, baño, cocina, comedor cochera semicubierta, BAJO ORD 27/10, art 1, punto 2, inc 2, y 3, Infraccion Ord 130/22, art 20, Anexo V, Infraccion art 5, 27, 37, 144, 176, 178, 182, 201, 202, 214, del CE, Ord 53/07</t>
  </si>
  <si>
    <t>mail, 558288</t>
  </si>
  <si>
    <t>ARCAGNI Marìa Emilia</t>
  </si>
  <si>
    <t>vivienda unifamiliar existente, en PB dormitorio ppal en suite, con vestidor y baño compartimentado, cochera cubierta, depòsito para cochera, toilette bajo escalera, cocina desayunador comedor , estar, acceso semicubierto, galerìa al fondo con parrilla, cocheras dobles semicubiertas, en PA dos dormitorios, baño completo, balcon y estar intimo balconeando sobre el estar y acceso de PB, Piscina a construir, BAJO ORD 27/10, art 1, punto 2, inc 2, Infraccion CE art 5, 27, 37</t>
  </si>
  <si>
    <t>15/12/23, vivienda casi terminada, pileta no colocada</t>
  </si>
  <si>
    <t>mail, 555678</t>
  </si>
  <si>
    <t xml:space="preserve">L. N. Alem Nº 17 esq.12 de Abril </t>
  </si>
  <si>
    <t>UFANO Angel Carlos</t>
  </si>
  <si>
    <t>relevamiento de local comercial, baños, cocina, BAJO ORD 27/10, art 1, punto 2, inc 2 y 3, Infraccion art 5, 27, 37, 130, 179, 202, 223, 232, 233 del CE, Ord 130/22, art 19, Anexo V (pluviales)</t>
  </si>
  <si>
    <t xml:space="preserve"> 20/12/23</t>
  </si>
  <si>
    <t>DESISTIDO</t>
  </si>
  <si>
    <t>piscina existente , vivienda unifamiliar a construir, tres dormitorios, cochra semicubierta la frente docle, cocina comedor estar, galeria trasera con parrilla, toilet, baulera</t>
  </si>
  <si>
    <t>mail, 557003</t>
  </si>
  <si>
    <t xml:space="preserve">Castelli N° </t>
  </si>
  <si>
    <t>FERNANDEZ Hugo Dario</t>
  </si>
  <si>
    <t>VILA Federico  E</t>
  </si>
  <si>
    <t>relevamiento de dos unidades de vivienda , una en PB monoambiente, otra en PA con un dormitorio, BAJO ORD 27/10, art 1, punto 2, inc 2 y 3, Infraccion CE art 5, 27, 37, 144, 151, 176, 178, 179, 181, 182, 202, 223, 226, 230, 232, 233, Infraccion ORD 53/07, Ord 130/22, art 20</t>
  </si>
  <si>
    <t>mail, 557641</t>
  </si>
  <si>
    <t>Paso de los Andes N°2170</t>
  </si>
  <si>
    <t>PELLINI Mariana Evangelina</t>
  </si>
  <si>
    <t>una vivieda de dos dormitorios, baño, cocina comedor estar y cochera semicubierta existente con antecedente, a relevar ampliacion de ésta y vivienda ubicada al fondo del lote, un dormitorio, cocina comedor estar y baño, BAJO OIRD 27/10, art 1, punto 2, inc 2, Ibnfraccion CE art 5, 27, 37, 144, 151, 176, 179, 198, 201, 202, 214, 223, ORd 56/07, art 3, inc 1, ORD 130/22, art 20</t>
  </si>
  <si>
    <t>Belgrano N° 582</t>
  </si>
  <si>
    <t>BLANC Natalia</t>
  </si>
  <si>
    <t>SOTELO Victor</t>
  </si>
  <si>
    <t>vivienda unifamiliar, cuatro dormitorios, el ppal en PB en suite con baño, baño de servicio, cocina comedor estar, lavadero cubierto quincho semicubierto galeria, en PA tres dormitorios cada uno con un baño y balcon</t>
  </si>
  <si>
    <t>mail, 558527</t>
  </si>
  <si>
    <t>Avda Paysandú N° 262 - 268</t>
  </si>
  <si>
    <t>LOPEZ Rodrigo Martin</t>
  </si>
  <si>
    <t>relevamiento de local comercial y deptos en planta superior, BAJO ORD 27/10, art 1, punto 2, inc 2 y 3, Infraccion CE art 5, 27, 37, 144, 178, 179, 182, 202, 214, 223 230, 232, 233, 246, 247, Ord 56/07, art 3, inc 2, sub inc 1, Ord 53/07, Ord 95/14, Ord 130/22, art 20</t>
  </si>
  <si>
    <t>MAIL, 558440</t>
  </si>
  <si>
    <t>Los Cardos s/Nº</t>
  </si>
  <si>
    <t>MACHADO Paola Beatriz</t>
  </si>
  <si>
    <t>MARTINEZ Jose L</t>
  </si>
  <si>
    <t>cuatro bungalos a construir, cada uno de dos dormitorios, baño, cocina comedor, cochera descubierta, piscina, tanque de agua</t>
  </si>
  <si>
    <t>22/12/23, baldio</t>
  </si>
  <si>
    <t>mail, 558378</t>
  </si>
  <si>
    <t>Domingo Matheu s/N°</t>
  </si>
  <si>
    <t>NUÑEZ Héctor Mauricio</t>
  </si>
  <si>
    <t>relevamiento de dos unidades de vivienda cada una de dos dormitorios, baño cocina comedor, separado, baños publicos, pileta de natacion y tobogan de hormgon, depósito debajo, BAJO or d27/10, art 1, punto 2, inc 2 y 3, Infraccion CE art 5, 27, 37, 176, 178, 179, 201, 202, Ord 130/22, art 21, anexo V</t>
  </si>
  <si>
    <t>3 de Febrero Nº 606</t>
  </si>
  <si>
    <t>BARRAGAN de DEL REAL Olga Renee</t>
  </si>
  <si>
    <t>dos viviendas existentes, una de un dormitorio, baño, cocina comedor, otra de dos dormitorios, cocina comedor estar, baño, separado cochera cubierta y en PA a relevar salon tipo quincho con parrilla deposito y baño, BAJO ORD 27/10, art 1, punto 2, inc 1, 2 y 3, Infraccion CE art 5, 27, 37, 130, 176, 178, 179, 181, 182, 223, 226, 232, Ord 53/07, Ord 29/10, Ord 37/03, Ord 130/22, art 20 - ACTA por techo y parrillas en vereda</t>
  </si>
  <si>
    <t>Bvard Ferrari Nº 1183</t>
  </si>
  <si>
    <t>BIDAL Roque Modesto</t>
  </si>
  <si>
    <t>relevamiento de dos unidades de vivienda, una en PB y otra igual en PA, dos dormitorios, baño, cocina comedor, cocheras semicubiertas al frente, BAJO ORD 27/10, art 1, punto 2, inc 2 , Infraccion art 5, 27, 37, 144, 151, 176, 178, 179, 181, 182, 202, 226, 232 DEL ce, orD 56/07, ART 3, INC 2, SUB INC 1</t>
  </si>
  <si>
    <t>Chacabuco Nº 292</t>
  </si>
  <si>
    <t>BESSON Neris Miguel</t>
  </si>
  <si>
    <t>CASULA Gustavo</t>
  </si>
  <si>
    <t>demolición de vivienda unifamiliar existente</t>
  </si>
  <si>
    <t>demolición no comenzada, 26/12/23</t>
  </si>
  <si>
    <t>mail, 558656</t>
  </si>
  <si>
    <t>9 de Julio Nº 302, 304, 306, 308, 310, 312 y 314 y Paso de los Andes</t>
  </si>
  <si>
    <t>MINATTA Marcelo Humberto</t>
  </si>
  <si>
    <t>relevamiento de local comercial en PB esquina y seis deptos de PB y PA, releva pequeña ampliacion de un baño y un office, BAJO ORD 27/10, art 1, punto 2, inc 2 y 3, Infraccion CE art 5, 27, 37, 179, Ord 130/22, art 20, Anexo V</t>
  </si>
  <si>
    <t>MES</t>
  </si>
  <si>
    <t>USO</t>
  </si>
  <si>
    <t>Cantidad de Habitaciones (dormitorios) Existente</t>
  </si>
  <si>
    <t>Cantidad de Habitaciones (dormitorios) Nuevas</t>
  </si>
  <si>
    <t>Locales de 1º, Habitables Existente</t>
  </si>
  <si>
    <t>Locales de 1º, Habitables Nuevos</t>
  </si>
  <si>
    <t>N° de Plazas Existente</t>
  </si>
  <si>
    <t>N° de Plazas Nuevas</t>
  </si>
  <si>
    <t>M² existentes (con antecedente) Vivienda</t>
  </si>
  <si>
    <t>M² existentes (con antecedente) Local</t>
  </si>
  <si>
    <t>M² existentes (relevados) Vivienda</t>
  </si>
  <si>
    <t>M² existentes (relevados) Local</t>
  </si>
  <si>
    <t>M²     (a construir Vivienda</t>
  </si>
  <si>
    <t>M²     (a construir Local</t>
  </si>
  <si>
    <t>TITULO PROFESIONAL</t>
  </si>
  <si>
    <t>VISADO</t>
  </si>
  <si>
    <t>FINAL OBRA</t>
  </si>
  <si>
    <t>Columna1</t>
  </si>
</sst>
</file>

<file path=xl/styles.xml><?xml version="1.0" encoding="utf-8"?>
<styleSheet xmlns="http://schemas.openxmlformats.org/spreadsheetml/2006/main">
  <numFmts count="3">
    <numFmt numFmtId="164" formatCode="[$-2C0A]dd/mm/yyyy"/>
    <numFmt numFmtId="165" formatCode="0.000000"/>
    <numFmt numFmtId="166" formatCode="[$€-2C0A]#,##0.00\ ;[$€-2C0A]\-#,##0.00\ ;[$€-2C0A]\-#\ "/>
  </numFmts>
  <fonts count="36">
    <font>
      <sz val="11"/>
      <color rgb="FF000000"/>
      <name val="Arial1"/>
      <charset val="1"/>
    </font>
    <font>
      <sz val="11"/>
      <color theme="1"/>
      <name val="Calibri"/>
      <family val="2"/>
      <scheme val="minor"/>
    </font>
    <font>
      <sz val="11"/>
      <color rgb="FF000000"/>
      <name val="Arial1"/>
      <charset val="1"/>
    </font>
    <font>
      <b/>
      <sz val="10"/>
      <name val="Arial"/>
      <family val="2"/>
      <charset val="1"/>
    </font>
    <font>
      <b/>
      <sz val="10"/>
      <color rgb="FF000000"/>
      <name val="Arial"/>
      <family val="2"/>
      <charset val="1"/>
    </font>
    <font>
      <sz val="10"/>
      <color rgb="FF000000"/>
      <name val="Arial"/>
      <family val="2"/>
      <charset val="1"/>
    </font>
    <font>
      <i/>
      <sz val="10"/>
      <color rgb="FF000000"/>
      <name val="Arial"/>
      <family val="2"/>
      <charset val="1"/>
    </font>
    <font>
      <sz val="10"/>
      <name val="Arial"/>
      <family val="2"/>
    </font>
    <font>
      <b/>
      <sz val="10"/>
      <name val="Arial"/>
      <family val="2"/>
    </font>
    <font>
      <i/>
      <sz val="10"/>
      <name val="Arial"/>
      <family val="2"/>
    </font>
    <font>
      <sz val="10"/>
      <color rgb="FF000000"/>
      <name val="Arial"/>
      <family val="2"/>
    </font>
    <font>
      <sz val="10"/>
      <color rgb="FFFF0000"/>
      <name val="Arial"/>
      <family val="2"/>
      <charset val="1"/>
    </font>
    <font>
      <sz val="10"/>
      <name val="Arial"/>
      <family val="2"/>
      <charset val="1"/>
    </font>
    <font>
      <sz val="11"/>
      <name val="Arial1"/>
      <charset val="1"/>
    </font>
    <font>
      <sz val="10"/>
      <color rgb="FFFFFFFF"/>
      <name val="Arial"/>
      <family val="2"/>
      <charset val="1"/>
    </font>
    <font>
      <sz val="10"/>
      <color rgb="FFFFFFFF"/>
      <name val="Arial1"/>
      <charset val="1"/>
    </font>
    <font>
      <b/>
      <sz val="10"/>
      <color rgb="FF000000"/>
      <name val="Arial1"/>
      <charset val="1"/>
    </font>
    <font>
      <sz val="10"/>
      <color rgb="FFCC0000"/>
      <name val="Arial"/>
      <family val="2"/>
      <charset val="1"/>
    </font>
    <font>
      <sz val="10"/>
      <color rgb="FFCC0000"/>
      <name val="Arial1"/>
      <charset val="1"/>
    </font>
    <font>
      <b/>
      <sz val="10"/>
      <color rgb="FFFFFFFF"/>
      <name val="Arial"/>
      <family val="2"/>
      <charset val="1"/>
    </font>
    <font>
      <b/>
      <sz val="10"/>
      <color rgb="FFFFFFFF"/>
      <name val="Arial1"/>
      <charset val="1"/>
    </font>
    <font>
      <i/>
      <sz val="10"/>
      <color rgb="FF808080"/>
      <name val="Arial"/>
      <family val="2"/>
      <charset val="1"/>
    </font>
    <font>
      <i/>
      <sz val="10"/>
      <color rgb="FF808080"/>
      <name val="Arial1"/>
      <charset val="1"/>
    </font>
    <font>
      <sz val="10"/>
      <color rgb="FF006600"/>
      <name val="Arial"/>
      <family val="2"/>
      <charset val="1"/>
    </font>
    <font>
      <sz val="10"/>
      <color rgb="FF006600"/>
      <name val="Arial1"/>
      <charset val="1"/>
    </font>
    <font>
      <b/>
      <sz val="24"/>
      <color rgb="FF000000"/>
      <name val="Arial1"/>
      <charset val="1"/>
    </font>
    <font>
      <sz val="18"/>
      <color rgb="FF000000"/>
      <name val="Arial"/>
      <family val="2"/>
      <charset val="1"/>
    </font>
    <font>
      <sz val="18"/>
      <color rgb="FF000000"/>
      <name val="Arial1"/>
      <charset val="1"/>
    </font>
    <font>
      <sz val="12"/>
      <color rgb="FF000000"/>
      <name val="Arial"/>
      <family val="2"/>
      <charset val="1"/>
    </font>
    <font>
      <sz val="12"/>
      <color rgb="FF000000"/>
      <name val="Arial1"/>
      <charset val="1"/>
    </font>
    <font>
      <b/>
      <sz val="24"/>
      <color rgb="FF000000"/>
      <name val="Arial"/>
      <family val="2"/>
      <charset val="1"/>
    </font>
    <font>
      <u/>
      <sz val="10"/>
      <color rgb="FF0000EE"/>
      <name val="Arial"/>
      <family val="2"/>
      <charset val="1"/>
    </font>
    <font>
      <u/>
      <sz val="10"/>
      <color rgb="FF0000EE"/>
      <name val="Arial1"/>
      <charset val="1"/>
    </font>
    <font>
      <sz val="10"/>
      <color rgb="FF996600"/>
      <name val="Arial"/>
      <family val="2"/>
      <charset val="1"/>
    </font>
    <font>
      <sz val="10"/>
      <color rgb="FF333333"/>
      <name val="Arial"/>
      <family val="2"/>
      <charset val="1"/>
    </font>
    <font>
      <sz val="10"/>
      <color rgb="FF333333"/>
      <name val="Arial1"/>
      <charset val="1"/>
    </font>
  </fonts>
  <fills count="19">
    <fill>
      <patternFill patternType="none"/>
    </fill>
    <fill>
      <patternFill patternType="gray125"/>
    </fill>
    <fill>
      <patternFill patternType="solid">
        <fgColor rgb="FFAFD095"/>
        <bgColor rgb="FFC0C0C0"/>
      </patternFill>
    </fill>
    <fill>
      <patternFill patternType="gray125">
        <fgColor rgb="FFFF0000"/>
      </patternFill>
    </fill>
    <fill>
      <patternFill patternType="solid">
        <fgColor rgb="FFFFC000"/>
        <bgColor rgb="FFC0C0C0"/>
      </patternFill>
    </fill>
    <fill>
      <patternFill patternType="solid">
        <fgColor rgb="FFFFFF00"/>
        <bgColor rgb="FFC0C0C0"/>
      </patternFill>
    </fill>
    <fill>
      <patternFill patternType="solid">
        <fgColor rgb="FF92D050"/>
        <bgColor indexed="64"/>
      </patternFill>
    </fill>
    <fill>
      <patternFill patternType="solid">
        <fgColor theme="9" tint="0.39997558519241921"/>
        <bgColor indexed="64"/>
      </patternFill>
    </fill>
    <fill>
      <patternFill patternType="solid">
        <fgColor rgb="FF002060"/>
        <bgColor rgb="FFC0C0C0"/>
      </patternFill>
    </fill>
    <fill>
      <patternFill patternType="solid">
        <fgColor rgb="FF92D050"/>
        <bgColor rgb="FFC0C0C0"/>
      </patternFill>
    </fill>
    <fill>
      <patternFill patternType="solid">
        <fgColor rgb="FFFFFF00"/>
        <bgColor indexed="64"/>
      </patternFill>
    </fill>
    <fill>
      <patternFill patternType="gray125">
        <fgColor rgb="FFFF0000"/>
        <bgColor rgb="FFFFFF00"/>
      </patternFill>
    </fill>
    <fill>
      <patternFill patternType="solid">
        <fgColor rgb="FF000000"/>
        <bgColor rgb="FF000080"/>
      </patternFill>
    </fill>
    <fill>
      <patternFill patternType="solid">
        <fgColor rgb="FF808080"/>
        <bgColor rgb="FF969696"/>
      </patternFill>
    </fill>
    <fill>
      <patternFill patternType="solid">
        <fgColor rgb="FFDDDDDD"/>
        <bgColor rgb="FFDDE8CB"/>
      </patternFill>
    </fill>
    <fill>
      <patternFill patternType="solid">
        <fgColor rgb="FFFFCCCC"/>
        <bgColor rgb="FFFFCC99"/>
      </patternFill>
    </fill>
    <fill>
      <patternFill patternType="solid">
        <fgColor rgb="FFCC0000"/>
        <bgColor rgb="FFFF0000"/>
      </patternFill>
    </fill>
    <fill>
      <patternFill patternType="solid">
        <fgColor rgb="FFCCFFCC"/>
        <bgColor rgb="FFE0EFD4"/>
      </patternFill>
    </fill>
    <fill>
      <patternFill patternType="solid">
        <fgColor rgb="FFFFFFCC"/>
        <bgColor rgb="FFFFFFA6"/>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medium">
        <color indexed="64"/>
      </top>
      <bottom/>
      <diagonal/>
    </border>
    <border>
      <left/>
      <right style="thin">
        <color auto="1"/>
      </right>
      <top/>
      <bottom/>
      <diagonal/>
    </border>
    <border>
      <left style="medium">
        <color indexed="64"/>
      </left>
      <right style="medium">
        <color indexed="64"/>
      </right>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bottom style="thin">
        <color auto="1"/>
      </bottom>
      <diagonal/>
    </border>
    <border>
      <left style="medium">
        <color auto="1"/>
      </left>
      <right style="thin">
        <color auto="1"/>
      </right>
      <top/>
      <bottom style="thin">
        <color auto="1"/>
      </bottom>
      <diagonal/>
    </border>
    <border>
      <left style="medium">
        <color auto="1"/>
      </left>
      <right/>
      <top/>
      <bottom/>
      <diagonal/>
    </border>
    <border>
      <left/>
      <right/>
      <top/>
      <bottom style="thin">
        <color auto="1"/>
      </bottom>
      <diagonal/>
    </border>
    <border>
      <left/>
      <right style="medium">
        <color indexed="64"/>
      </right>
      <top/>
      <bottom/>
      <diagonal/>
    </border>
    <border>
      <left style="thin">
        <color rgb="FF808080"/>
      </left>
      <right style="thin">
        <color rgb="FF808080"/>
      </right>
      <top style="thin">
        <color rgb="FF808080"/>
      </top>
      <bottom style="thin">
        <color rgb="FF808080"/>
      </bottom>
      <diagonal/>
    </border>
  </borders>
  <cellStyleXfs count="37">
    <xf numFmtId="0" fontId="0" fillId="0" borderId="0"/>
    <xf numFmtId="0" fontId="14" fillId="12" borderId="0"/>
    <xf numFmtId="0" fontId="15" fillId="12" borderId="0"/>
    <xf numFmtId="0" fontId="14" fillId="13" borderId="0"/>
    <xf numFmtId="0" fontId="15" fillId="13" borderId="0"/>
    <xf numFmtId="0" fontId="4" fillId="14" borderId="0"/>
    <xf numFmtId="0" fontId="16" fillId="14" borderId="0"/>
    <xf numFmtId="0" fontId="4" fillId="0" borderId="0"/>
    <xf numFmtId="0" fontId="16" fillId="0" borderId="0"/>
    <xf numFmtId="0" fontId="17" fillId="15" borderId="0"/>
    <xf numFmtId="0" fontId="18" fillId="15" borderId="0"/>
    <xf numFmtId="0" fontId="19" fillId="16" borderId="0"/>
    <xf numFmtId="0" fontId="20" fillId="16" borderId="0"/>
    <xf numFmtId="166" fontId="5" fillId="0" borderId="0"/>
    <xf numFmtId="0" fontId="21" fillId="0" borderId="0"/>
    <xf numFmtId="0" fontId="22" fillId="0" borderId="0"/>
    <xf numFmtId="0" fontId="23" fillId="17" borderId="0"/>
    <xf numFmtId="0" fontId="24" fillId="17" borderId="0"/>
    <xf numFmtId="0" fontId="25" fillId="0" borderId="0"/>
    <xf numFmtId="0" fontId="26" fillId="0" borderId="0"/>
    <xf numFmtId="0" fontId="27" fillId="0" borderId="0"/>
    <xf numFmtId="0" fontId="28" fillId="0" borderId="0"/>
    <xf numFmtId="0" fontId="29" fillId="0" borderId="0"/>
    <xf numFmtId="0" fontId="30" fillId="0" borderId="0"/>
    <xf numFmtId="0" fontId="31" fillId="0" borderId="0"/>
    <xf numFmtId="0" fontId="32" fillId="0" borderId="0"/>
    <xf numFmtId="0" fontId="33" fillId="18" borderId="0"/>
    <xf numFmtId="0" fontId="1" fillId="0" borderId="0"/>
    <xf numFmtId="0" fontId="1" fillId="0" borderId="0"/>
    <xf numFmtId="0" fontId="34" fillId="18" borderId="17"/>
    <xf numFmtId="0" fontId="35" fillId="18" borderId="17"/>
    <xf numFmtId="0" fontId="5" fillId="0" borderId="0"/>
    <xf numFmtId="0" fontId="2" fillId="0" borderId="0"/>
    <xf numFmtId="0" fontId="5" fillId="0" borderId="0"/>
    <xf numFmtId="0" fontId="2" fillId="0" borderId="0"/>
    <xf numFmtId="0" fontId="17" fillId="0" borderId="0"/>
    <xf numFmtId="0" fontId="18" fillId="0" borderId="0"/>
  </cellStyleXfs>
  <cellXfs count="198">
    <xf numFmtId="0" fontId="0" fillId="0" borderId="0" xfId="0"/>
    <xf numFmtId="0" fontId="4" fillId="0" borderId="4" xfId="0" applyFont="1" applyBorder="1" applyAlignment="1">
      <alignment horizontal="center" vertical="center" wrapText="1"/>
    </xf>
    <xf numFmtId="0" fontId="5" fillId="0" borderId="0" xfId="0" applyFont="1" applyAlignment="1">
      <alignment horizontal="center" vertical="center" wrapText="1"/>
    </xf>
    <xf numFmtId="3" fontId="5" fillId="0" borderId="5" xfId="0" applyNumberFormat="1" applyFont="1" applyBorder="1" applyAlignment="1">
      <alignment horizontal="center" vertical="top" wrapText="1"/>
    </xf>
    <xf numFmtId="0" fontId="5" fillId="0" borderId="5" xfId="0" applyFont="1" applyBorder="1" applyAlignment="1">
      <alignment horizontal="center" vertical="top" wrapText="1"/>
    </xf>
    <xf numFmtId="0" fontId="5" fillId="3" borderId="5" xfId="0" applyFont="1" applyFill="1" applyBorder="1" applyAlignment="1">
      <alignment horizontal="center" vertical="top" wrapText="1"/>
    </xf>
    <xf numFmtId="1" fontId="5" fillId="0" borderId="5" xfId="0" applyNumberFormat="1" applyFont="1" applyBorder="1" applyAlignment="1">
      <alignment horizontal="center" vertical="top" wrapText="1"/>
    </xf>
    <xf numFmtId="1" fontId="5" fillId="3" borderId="5" xfId="0" applyNumberFormat="1" applyFont="1" applyFill="1" applyBorder="1" applyAlignment="1">
      <alignment horizontal="center" vertical="top" wrapText="1"/>
    </xf>
    <xf numFmtId="1" fontId="5" fillId="0" borderId="5" xfId="0" applyNumberFormat="1" applyFont="1" applyFill="1" applyBorder="1" applyAlignment="1">
      <alignment horizontal="center" vertical="top" wrapText="1"/>
    </xf>
    <xf numFmtId="0" fontId="5" fillId="3" borderId="5" xfId="0" applyFont="1" applyFill="1" applyBorder="1" applyAlignment="1">
      <alignment horizontal="center" wrapText="1"/>
    </xf>
    <xf numFmtId="0" fontId="5" fillId="0" borderId="5" xfId="0" applyFont="1" applyBorder="1" applyAlignment="1">
      <alignment horizontal="center" wrapText="1"/>
    </xf>
    <xf numFmtId="0" fontId="5" fillId="0" borderId="5" xfId="0" applyFont="1" applyBorder="1" applyAlignment="1">
      <alignment horizontal="left" vertical="top" wrapText="1"/>
    </xf>
    <xf numFmtId="0" fontId="5" fillId="0" borderId="5" xfId="0" applyFont="1" applyBorder="1" applyAlignment="1">
      <alignment horizontal="center" vertical="center" wrapText="1"/>
    </xf>
    <xf numFmtId="0" fontId="5" fillId="0" borderId="0" xfId="0" applyFont="1" applyBorder="1" applyAlignment="1">
      <alignment horizontal="center" wrapText="1"/>
    </xf>
    <xf numFmtId="0" fontId="5" fillId="0" borderId="0" xfId="0" applyFont="1" applyBorder="1" applyAlignment="1">
      <alignment horizontal="center" vertical="center" wrapText="1"/>
    </xf>
    <xf numFmtId="3" fontId="5" fillId="0" borderId="1" xfId="0" applyNumberFormat="1" applyFont="1" applyBorder="1" applyAlignment="1">
      <alignment horizontal="center" vertical="top" wrapText="1"/>
    </xf>
    <xf numFmtId="0" fontId="5" fillId="0" borderId="1" xfId="0" applyFont="1" applyBorder="1" applyAlignment="1">
      <alignment horizontal="center" vertical="top" wrapText="1"/>
    </xf>
    <xf numFmtId="0" fontId="5" fillId="3" borderId="1" xfId="0" applyFont="1" applyFill="1" applyBorder="1" applyAlignment="1">
      <alignment horizontal="center" vertical="top" wrapText="1"/>
    </xf>
    <xf numFmtId="1" fontId="5" fillId="0" borderId="1" xfId="0" applyNumberFormat="1" applyFont="1" applyBorder="1" applyAlignment="1">
      <alignment horizontal="center" vertical="top" wrapText="1"/>
    </xf>
    <xf numFmtId="1" fontId="5" fillId="3" borderId="1" xfId="0" applyNumberFormat="1" applyFont="1" applyFill="1" applyBorder="1" applyAlignment="1">
      <alignment horizontal="center" vertical="top" wrapText="1"/>
    </xf>
    <xf numFmtId="1" fontId="5" fillId="0" borderId="1" xfId="0" applyNumberFormat="1" applyFont="1" applyFill="1" applyBorder="1" applyAlignment="1">
      <alignment horizontal="center" vertical="top" wrapText="1"/>
    </xf>
    <xf numFmtId="0" fontId="5" fillId="3" borderId="1" xfId="0" applyFont="1" applyFill="1" applyBorder="1" applyAlignment="1">
      <alignment horizontal="center" wrapText="1"/>
    </xf>
    <xf numFmtId="0" fontId="5" fillId="0" borderId="1" xfId="0" applyFont="1" applyBorder="1" applyAlignment="1">
      <alignment horizontal="center" wrapText="1"/>
    </xf>
    <xf numFmtId="0" fontId="5" fillId="0" borderId="1" xfId="0" applyFont="1" applyBorder="1" applyAlignment="1">
      <alignment horizontal="left" vertical="top" wrapText="1"/>
    </xf>
    <xf numFmtId="0" fontId="5" fillId="0" borderId="1" xfId="0" applyFont="1" applyBorder="1" applyAlignment="1">
      <alignment horizontal="center" vertical="center" wrapText="1"/>
    </xf>
    <xf numFmtId="0" fontId="7" fillId="0" borderId="0" xfId="0" applyFont="1" applyFill="1" applyAlignment="1">
      <alignment horizontal="center" vertical="center" wrapText="1"/>
    </xf>
    <xf numFmtId="0" fontId="8" fillId="0" borderId="9" xfId="0" applyFont="1" applyFill="1" applyBorder="1" applyAlignment="1">
      <alignment horizontal="center" vertical="center" wrapText="1"/>
    </xf>
    <xf numFmtId="0" fontId="8" fillId="0" borderId="10" xfId="0" applyFont="1" applyFill="1" applyBorder="1" applyAlignment="1">
      <alignment horizontal="center" vertical="center" wrapText="1"/>
    </xf>
    <xf numFmtId="14" fontId="8" fillId="0" borderId="10" xfId="0" applyNumberFormat="1" applyFont="1" applyFill="1" applyBorder="1" applyAlignment="1">
      <alignment horizontal="center" vertical="center" wrapText="1"/>
    </xf>
    <xf numFmtId="164" fontId="9" fillId="0" borderId="1" xfId="0" applyNumberFormat="1" applyFont="1" applyFill="1" applyBorder="1" applyAlignment="1">
      <alignment horizontal="center" vertical="top" wrapText="1"/>
    </xf>
    <xf numFmtId="3" fontId="7" fillId="0" borderId="1" xfId="0" applyNumberFormat="1" applyFont="1" applyFill="1" applyBorder="1" applyAlignment="1">
      <alignment horizontal="center" vertical="top" wrapText="1"/>
    </xf>
    <xf numFmtId="0" fontId="7" fillId="0" borderId="1" xfId="0" applyFont="1" applyFill="1" applyBorder="1" applyAlignment="1">
      <alignment horizontal="center" vertical="top" wrapText="1"/>
    </xf>
    <xf numFmtId="1" fontId="7" fillId="0" borderId="1" xfId="0" applyNumberFormat="1" applyFont="1" applyFill="1" applyBorder="1" applyAlignment="1">
      <alignment horizontal="center" vertical="top" wrapText="1"/>
    </xf>
    <xf numFmtId="0" fontId="7" fillId="0" borderId="1" xfId="0" applyFont="1" applyFill="1" applyBorder="1" applyAlignment="1">
      <alignment horizontal="center" wrapText="1"/>
    </xf>
    <xf numFmtId="0" fontId="7" fillId="0" borderId="1" xfId="0" applyFont="1" applyFill="1" applyBorder="1" applyAlignment="1">
      <alignment horizontal="left" vertical="top" wrapText="1"/>
    </xf>
    <xf numFmtId="14" fontId="7" fillId="0" borderId="1" xfId="0" applyNumberFormat="1" applyFont="1" applyFill="1" applyBorder="1" applyAlignment="1">
      <alignment horizontal="center" vertical="center" wrapText="1"/>
    </xf>
    <xf numFmtId="0" fontId="7" fillId="0" borderId="1" xfId="0" applyFont="1" applyFill="1" applyBorder="1" applyAlignment="1">
      <alignment horizontal="center" vertical="center" wrapText="1"/>
    </xf>
    <xf numFmtId="14" fontId="7" fillId="0" borderId="11" xfId="0" applyNumberFormat="1" applyFont="1" applyFill="1" applyBorder="1" applyAlignment="1">
      <alignment horizontal="left" vertical="top" wrapText="1"/>
    </xf>
    <xf numFmtId="0" fontId="7" fillId="0" borderId="0" xfId="0" applyFont="1" applyFill="1" applyBorder="1" applyAlignment="1">
      <alignment horizontal="center" wrapText="1"/>
    </xf>
    <xf numFmtId="0" fontId="7" fillId="0" borderId="0" xfId="0" applyFont="1" applyFill="1" applyBorder="1" applyAlignment="1">
      <alignment horizontal="center" vertical="center" wrapText="1"/>
    </xf>
    <xf numFmtId="0" fontId="4" fillId="2" borderId="0" xfId="0" applyFont="1" applyFill="1" applyBorder="1" applyAlignment="1">
      <alignment horizontal="center" vertical="center" wrapText="1"/>
    </xf>
    <xf numFmtId="0" fontId="4" fillId="0" borderId="5" xfId="0" applyFont="1" applyBorder="1" applyAlignment="1">
      <alignment horizontal="center" wrapText="1"/>
    </xf>
    <xf numFmtId="164" fontId="6" fillId="0" borderId="3" xfId="0" applyNumberFormat="1" applyFont="1" applyBorder="1" applyAlignment="1">
      <alignment horizontal="center" vertical="top" wrapText="1"/>
    </xf>
    <xf numFmtId="14" fontId="6" fillId="0" borderId="1" xfId="0" applyNumberFormat="1" applyFont="1" applyBorder="1" applyAlignment="1">
      <alignment horizontal="center" vertical="top" wrapText="1"/>
    </xf>
    <xf numFmtId="14" fontId="5" fillId="0" borderId="1" xfId="0" applyNumberFormat="1" applyFont="1" applyBorder="1" applyAlignment="1">
      <alignment horizontal="center" vertical="center" wrapText="1"/>
    </xf>
    <xf numFmtId="14" fontId="5" fillId="0" borderId="1" xfId="0" applyNumberFormat="1" applyFont="1" applyBorder="1" applyAlignment="1">
      <alignment horizontal="left" vertical="top" wrapText="1"/>
    </xf>
    <xf numFmtId="0" fontId="8" fillId="0" borderId="10" xfId="0" applyFont="1" applyFill="1" applyBorder="1" applyAlignment="1">
      <alignment horizontal="center" wrapText="1"/>
    </xf>
    <xf numFmtId="14" fontId="8" fillId="0" borderId="1" xfId="0" applyNumberFormat="1" applyFont="1" applyFill="1" applyBorder="1" applyAlignment="1">
      <alignment horizontal="center" wrapText="1"/>
    </xf>
    <xf numFmtId="164" fontId="9" fillId="0" borderId="3" xfId="0" applyNumberFormat="1" applyFont="1" applyFill="1" applyBorder="1" applyAlignment="1">
      <alignment horizontal="center" vertical="top" wrapText="1"/>
    </xf>
    <xf numFmtId="0" fontId="4" fillId="2" borderId="0" xfId="0" applyFont="1" applyFill="1" applyBorder="1" applyAlignment="1">
      <alignment horizontal="center" wrapText="1"/>
    </xf>
    <xf numFmtId="164" fontId="6" fillId="0" borderId="12" xfId="0" applyNumberFormat="1" applyFont="1" applyBorder="1" applyAlignment="1">
      <alignment horizontal="center" vertical="top" wrapText="1"/>
    </xf>
    <xf numFmtId="14" fontId="6" fillId="0" borderId="5" xfId="0" applyNumberFormat="1" applyFont="1" applyBorder="1" applyAlignment="1">
      <alignment horizontal="center" vertical="top" wrapText="1"/>
    </xf>
    <xf numFmtId="0" fontId="6" fillId="0" borderId="1" xfId="0" applyNumberFormat="1" applyFont="1" applyBorder="1" applyAlignment="1">
      <alignment horizontal="center" vertical="top" wrapText="1"/>
    </xf>
    <xf numFmtId="0" fontId="3" fillId="4" borderId="9" xfId="0" applyFont="1" applyFill="1" applyBorder="1" applyAlignment="1">
      <alignment horizontal="center" wrapText="1"/>
    </xf>
    <xf numFmtId="0" fontId="8" fillId="0" borderId="13" xfId="0" applyFont="1" applyFill="1" applyBorder="1" applyAlignment="1">
      <alignment horizontal="center" vertical="center" wrapText="1"/>
    </xf>
    <xf numFmtId="0" fontId="8" fillId="0" borderId="5" xfId="0" applyFont="1" applyFill="1" applyBorder="1" applyAlignment="1">
      <alignment horizontal="center" vertical="center" wrapText="1"/>
    </xf>
    <xf numFmtId="0" fontId="5" fillId="0" borderId="1" xfId="0" applyFont="1" applyFill="1" applyBorder="1" applyAlignment="1">
      <alignment horizontal="center" vertical="top" wrapText="1"/>
    </xf>
    <xf numFmtId="14" fontId="5" fillId="0" borderId="1" xfId="0" applyNumberFormat="1" applyFont="1" applyBorder="1" applyAlignment="1">
      <alignment horizontal="left" vertical="top"/>
    </xf>
    <xf numFmtId="0" fontId="4" fillId="0" borderId="1" xfId="0" applyFont="1" applyBorder="1" applyAlignment="1">
      <alignment horizontal="center" wrapText="1"/>
    </xf>
    <xf numFmtId="0" fontId="8" fillId="0" borderId="9" xfId="0" applyFont="1" applyFill="1" applyBorder="1" applyAlignment="1">
      <alignment horizontal="center" wrapText="1"/>
    </xf>
    <xf numFmtId="0" fontId="7" fillId="0" borderId="11" xfId="0" applyFont="1" applyFill="1" applyBorder="1" applyAlignment="1">
      <alignment horizontal="left" vertical="top" wrapText="1"/>
    </xf>
    <xf numFmtId="14" fontId="8" fillId="0" borderId="5" xfId="0" applyNumberFormat="1" applyFont="1" applyFill="1" applyBorder="1" applyAlignment="1">
      <alignment horizontal="center" vertical="center" wrapText="1"/>
    </xf>
    <xf numFmtId="165" fontId="5" fillId="0" borderId="1" xfId="0" applyNumberFormat="1" applyFont="1" applyBorder="1" applyAlignment="1">
      <alignment horizontal="center" wrapText="1"/>
    </xf>
    <xf numFmtId="0" fontId="4" fillId="0" borderId="5" xfId="0" applyFont="1" applyBorder="1" applyAlignment="1">
      <alignment horizontal="center" vertical="center" wrapText="1"/>
    </xf>
    <xf numFmtId="0" fontId="4" fillId="5" borderId="0" xfId="0" applyFont="1" applyFill="1" applyBorder="1" applyAlignment="1">
      <alignment horizontal="center" wrapText="1"/>
    </xf>
    <xf numFmtId="14" fontId="5" fillId="0" borderId="6" xfId="0" applyNumberFormat="1" applyFont="1" applyBorder="1" applyAlignment="1">
      <alignment horizontal="left" vertical="top" wrapText="1"/>
    </xf>
    <xf numFmtId="0" fontId="8" fillId="6" borderId="9" xfId="0" applyFont="1" applyFill="1" applyBorder="1" applyAlignment="1">
      <alignment horizontal="center" wrapText="1"/>
    </xf>
    <xf numFmtId="0" fontId="8" fillId="0" borderId="1" xfId="0" applyFont="1" applyFill="1" applyBorder="1" applyAlignment="1">
      <alignment horizontal="center" wrapText="1"/>
    </xf>
    <xf numFmtId="0" fontId="8" fillId="6" borderId="0" xfId="0" applyFont="1" applyFill="1" applyBorder="1" applyAlignment="1">
      <alignment horizontal="center" wrapText="1"/>
    </xf>
    <xf numFmtId="0" fontId="8" fillId="0" borderId="12" xfId="0" applyFont="1" applyFill="1" applyBorder="1" applyAlignment="1">
      <alignment horizontal="center" wrapText="1"/>
    </xf>
    <xf numFmtId="14" fontId="8" fillId="0" borderId="3" xfId="0" applyNumberFormat="1" applyFont="1" applyFill="1" applyBorder="1" applyAlignment="1">
      <alignment horizontal="center" wrapText="1"/>
    </xf>
    <xf numFmtId="14" fontId="7" fillId="0" borderId="6" xfId="0" applyNumberFormat="1" applyFont="1" applyFill="1" applyBorder="1" applyAlignment="1">
      <alignment horizontal="left" vertical="top" wrapText="1"/>
    </xf>
    <xf numFmtId="0" fontId="10" fillId="0" borderId="1" xfId="0" applyFont="1" applyBorder="1" applyAlignment="1">
      <alignment horizontal="center" vertical="top" wrapText="1"/>
    </xf>
    <xf numFmtId="0" fontId="8" fillId="7" borderId="9" xfId="0" applyFont="1" applyFill="1" applyBorder="1" applyAlignment="1">
      <alignment horizontal="center" wrapText="1"/>
    </xf>
    <xf numFmtId="0" fontId="8" fillId="0" borderId="14" xfId="0" applyFont="1" applyFill="1" applyBorder="1" applyAlignment="1">
      <alignment horizontal="center" wrapText="1"/>
    </xf>
    <xf numFmtId="164" fontId="7" fillId="0" borderId="12" xfId="0" applyNumberFormat="1" applyFont="1" applyFill="1" applyBorder="1" applyAlignment="1">
      <alignment horizontal="center" vertical="center" wrapText="1"/>
    </xf>
    <xf numFmtId="0" fontId="7" fillId="0" borderId="12" xfId="0" applyNumberFormat="1" applyFont="1" applyFill="1" applyBorder="1" applyAlignment="1">
      <alignment horizontal="center" vertical="center" wrapText="1"/>
    </xf>
    <xf numFmtId="3" fontId="7" fillId="0" borderId="1" xfId="0" applyNumberFormat="1" applyFont="1" applyFill="1" applyBorder="1" applyAlignment="1">
      <alignment horizontal="center" vertical="center" wrapText="1"/>
    </xf>
    <xf numFmtId="0" fontId="7" fillId="0" borderId="5" xfId="0" applyFont="1" applyFill="1" applyBorder="1" applyAlignment="1">
      <alignment horizontal="center" vertical="center" wrapText="1"/>
    </xf>
    <xf numFmtId="0" fontId="7" fillId="0" borderId="5" xfId="0" applyFont="1" applyFill="1" applyBorder="1" applyAlignment="1">
      <alignment horizontal="center" vertical="top" wrapText="1"/>
    </xf>
    <xf numFmtId="3" fontId="11" fillId="0" borderId="1" xfId="0" applyNumberFormat="1" applyFont="1" applyBorder="1" applyAlignment="1">
      <alignment horizontal="center" vertical="top" wrapText="1"/>
    </xf>
    <xf numFmtId="14" fontId="8" fillId="0" borderId="1" xfId="0" applyNumberFormat="1" applyFont="1" applyFill="1" applyBorder="1" applyAlignment="1">
      <alignment horizontal="center" vertical="center" wrapText="1"/>
    </xf>
    <xf numFmtId="164" fontId="9" fillId="0" borderId="3" xfId="0" applyNumberFormat="1" applyFont="1" applyFill="1" applyBorder="1" applyAlignment="1">
      <alignment horizontal="center" vertical="center" wrapText="1"/>
    </xf>
    <xf numFmtId="0" fontId="8" fillId="0" borderId="15" xfId="0" applyFont="1" applyFill="1" applyBorder="1" applyAlignment="1">
      <alignment horizontal="center" vertical="center" wrapText="1"/>
    </xf>
    <xf numFmtId="164" fontId="9" fillId="0" borderId="12" xfId="0" applyNumberFormat="1" applyFont="1" applyFill="1" applyBorder="1" applyAlignment="1">
      <alignment horizontal="center" vertical="center" wrapText="1"/>
    </xf>
    <xf numFmtId="0" fontId="4" fillId="2" borderId="16" xfId="0" applyFont="1" applyFill="1" applyBorder="1" applyAlignment="1">
      <alignment horizontal="center" wrapText="1"/>
    </xf>
    <xf numFmtId="0" fontId="5" fillId="0" borderId="3" xfId="0" applyFont="1" applyBorder="1" applyAlignment="1">
      <alignment horizontal="center" wrapText="1"/>
    </xf>
    <xf numFmtId="0" fontId="5" fillId="0" borderId="1" xfId="0" applyFont="1" applyBorder="1" applyAlignment="1">
      <alignment vertical="top" wrapText="1"/>
    </xf>
    <xf numFmtId="0" fontId="4" fillId="0" borderId="12" xfId="0" applyFont="1" applyBorder="1" applyAlignment="1">
      <alignment horizontal="center" wrapText="1"/>
    </xf>
    <xf numFmtId="0" fontId="4" fillId="0" borderId="12" xfId="0" applyFont="1" applyBorder="1" applyAlignment="1">
      <alignment horizontal="center" vertical="center" wrapText="1"/>
    </xf>
    <xf numFmtId="0" fontId="7" fillId="0" borderId="3" xfId="0" applyFont="1" applyFill="1" applyBorder="1" applyAlignment="1">
      <alignment horizontal="center" vertical="center" wrapText="1"/>
    </xf>
    <xf numFmtId="0" fontId="8" fillId="0" borderId="3" xfId="0" applyFont="1" applyFill="1" applyBorder="1" applyAlignment="1">
      <alignment horizontal="center" wrapText="1"/>
    </xf>
    <xf numFmtId="14" fontId="9" fillId="0" borderId="1" xfId="0" applyNumberFormat="1" applyFont="1" applyFill="1" applyBorder="1" applyAlignment="1">
      <alignment horizontal="center" vertical="top" wrapText="1"/>
    </xf>
    <xf numFmtId="14" fontId="9" fillId="0" borderId="3" xfId="0" applyNumberFormat="1" applyFont="1" applyFill="1" applyBorder="1" applyAlignment="1">
      <alignment horizontal="center" vertical="top" wrapText="1"/>
    </xf>
    <xf numFmtId="14" fontId="7" fillId="0" borderId="1" xfId="0" applyNumberFormat="1" applyFont="1" applyFill="1" applyBorder="1" applyAlignment="1">
      <alignment horizontal="left" vertical="top" wrapText="1"/>
    </xf>
    <xf numFmtId="0" fontId="10" fillId="0" borderId="3" xfId="0" applyNumberFormat="1" applyFont="1" applyBorder="1" applyAlignment="1">
      <alignment horizontal="center" vertical="top" wrapText="1"/>
    </xf>
    <xf numFmtId="0" fontId="10" fillId="0" borderId="1" xfId="0" applyNumberFormat="1" applyFont="1" applyBorder="1" applyAlignment="1">
      <alignment horizontal="center" vertical="top" wrapText="1"/>
    </xf>
    <xf numFmtId="0" fontId="8" fillId="0" borderId="5" xfId="0" applyFont="1" applyFill="1" applyBorder="1" applyAlignment="1">
      <alignment horizontal="center" wrapText="1"/>
    </xf>
    <xf numFmtId="14" fontId="8" fillId="0" borderId="12" xfId="0" applyNumberFormat="1" applyFont="1" applyFill="1" applyBorder="1" applyAlignment="1">
      <alignment horizontal="center" wrapText="1"/>
    </xf>
    <xf numFmtId="164" fontId="9" fillId="0" borderId="12" xfId="0" applyNumberFormat="1" applyFont="1" applyFill="1" applyBorder="1" applyAlignment="1">
      <alignment horizontal="center" vertical="top" wrapText="1"/>
    </xf>
    <xf numFmtId="0" fontId="7" fillId="0" borderId="5" xfId="0" applyFont="1" applyFill="1" applyBorder="1" applyAlignment="1">
      <alignment horizontal="center" wrapText="1"/>
    </xf>
    <xf numFmtId="14" fontId="7" fillId="0" borderId="5" xfId="0" applyNumberFormat="1" applyFont="1" applyFill="1" applyBorder="1" applyAlignment="1">
      <alignment horizontal="left" vertical="top" wrapText="1"/>
    </xf>
    <xf numFmtId="14" fontId="7" fillId="0" borderId="5" xfId="0" applyNumberFormat="1" applyFont="1" applyFill="1" applyBorder="1" applyAlignment="1">
      <alignment horizontal="center" vertical="top" wrapText="1"/>
    </xf>
    <xf numFmtId="164" fontId="7" fillId="0" borderId="3" xfId="0" applyNumberFormat="1" applyFont="1" applyFill="1" applyBorder="1" applyAlignment="1">
      <alignment horizontal="center" vertical="top" wrapText="1"/>
    </xf>
    <xf numFmtId="0" fontId="7" fillId="0" borderId="1" xfId="0" applyFont="1" applyFill="1" applyBorder="1"/>
    <xf numFmtId="0" fontId="7" fillId="0" borderId="1" xfId="0" applyFont="1" applyFill="1" applyBorder="1" applyAlignment="1">
      <alignment horizontal="center"/>
    </xf>
    <xf numFmtId="0" fontId="7" fillId="0" borderId="1" xfId="0" applyFont="1" applyFill="1" applyBorder="1" applyAlignment="1">
      <alignment vertical="top" wrapText="1"/>
    </xf>
    <xf numFmtId="14" fontId="7" fillId="0" borderId="1" xfId="0" applyNumberFormat="1" applyFont="1" applyFill="1" applyBorder="1" applyAlignment="1">
      <alignment wrapText="1"/>
    </xf>
    <xf numFmtId="14" fontId="7" fillId="0" borderId="1" xfId="0" applyNumberFormat="1" applyFont="1" applyFill="1" applyBorder="1" applyAlignment="1"/>
    <xf numFmtId="0" fontId="7" fillId="0" borderId="0" xfId="0" applyFont="1" applyFill="1" applyBorder="1"/>
    <xf numFmtId="0" fontId="4" fillId="8" borderId="0" xfId="0" applyFont="1" applyFill="1" applyBorder="1" applyAlignment="1">
      <alignment horizontal="center" wrapText="1"/>
    </xf>
    <xf numFmtId="0" fontId="5" fillId="0"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top" wrapText="1"/>
    </xf>
    <xf numFmtId="0" fontId="7" fillId="0" borderId="0" xfId="0" applyFont="1" applyFill="1" applyBorder="1" applyAlignment="1">
      <alignment horizontal="left" vertical="top"/>
    </xf>
    <xf numFmtId="0" fontId="4" fillId="9" borderId="0" xfId="0" applyFont="1" applyFill="1" applyBorder="1" applyAlignment="1">
      <alignment horizontal="center" wrapText="1"/>
    </xf>
    <xf numFmtId="0" fontId="7" fillId="0" borderId="2" xfId="0" applyFont="1" applyFill="1" applyBorder="1" applyAlignment="1">
      <alignment horizontal="center" vertical="top" wrapText="1"/>
    </xf>
    <xf numFmtId="0" fontId="7" fillId="0" borderId="4" xfId="0" applyFont="1" applyFill="1" applyBorder="1" applyAlignment="1">
      <alignment horizontal="center" vertical="top" wrapText="1"/>
    </xf>
    <xf numFmtId="14" fontId="7" fillId="0" borderId="5" xfId="0" applyNumberFormat="1" applyFont="1" applyFill="1" applyBorder="1" applyAlignment="1">
      <alignment horizontal="center" vertical="center" wrapText="1"/>
    </xf>
    <xf numFmtId="0" fontId="4" fillId="10" borderId="5" xfId="0" applyFont="1" applyFill="1" applyBorder="1" applyAlignment="1">
      <alignment horizontal="center" vertical="center" wrapText="1"/>
    </xf>
    <xf numFmtId="164" fontId="6" fillId="10" borderId="3" xfId="0" applyNumberFormat="1" applyFont="1" applyFill="1" applyBorder="1" applyAlignment="1">
      <alignment horizontal="center" vertical="top" wrapText="1"/>
    </xf>
    <xf numFmtId="14" fontId="6" fillId="10" borderId="1" xfId="0" applyNumberFormat="1" applyFont="1" applyFill="1" applyBorder="1" applyAlignment="1">
      <alignment horizontal="center" vertical="top" wrapText="1"/>
    </xf>
    <xf numFmtId="3" fontId="5" fillId="10" borderId="1" xfId="0" applyNumberFormat="1" applyFont="1" applyFill="1" applyBorder="1" applyAlignment="1">
      <alignment horizontal="center" vertical="top" wrapText="1"/>
    </xf>
    <xf numFmtId="0" fontId="5" fillId="10" borderId="1" xfId="0" applyFont="1" applyFill="1" applyBorder="1" applyAlignment="1">
      <alignment horizontal="center" vertical="top" wrapText="1"/>
    </xf>
    <xf numFmtId="0" fontId="10" fillId="10" borderId="1" xfId="0" applyFont="1" applyFill="1" applyBorder="1" applyAlignment="1">
      <alignment horizontal="center" vertical="top" wrapText="1"/>
    </xf>
    <xf numFmtId="0" fontId="5" fillId="11" borderId="1" xfId="0" applyFont="1" applyFill="1" applyBorder="1" applyAlignment="1">
      <alignment horizontal="center" vertical="top" wrapText="1"/>
    </xf>
    <xf numFmtId="1" fontId="5" fillId="10" borderId="1" xfId="0" applyNumberFormat="1" applyFont="1" applyFill="1" applyBorder="1" applyAlignment="1">
      <alignment horizontal="center" vertical="top" wrapText="1"/>
    </xf>
    <xf numFmtId="1" fontId="5" fillId="11" borderId="1" xfId="0" applyNumberFormat="1" applyFont="1" applyFill="1" applyBorder="1" applyAlignment="1">
      <alignment horizontal="center" vertical="top" wrapText="1"/>
    </xf>
    <xf numFmtId="0" fontId="5" fillId="11" borderId="1" xfId="0" applyFont="1" applyFill="1" applyBorder="1" applyAlignment="1">
      <alignment horizontal="center" wrapText="1"/>
    </xf>
    <xf numFmtId="0" fontId="5" fillId="10" borderId="1" xfId="0" applyFont="1" applyFill="1" applyBorder="1" applyAlignment="1">
      <alignment horizontal="center" wrapText="1"/>
    </xf>
    <xf numFmtId="0" fontId="5" fillId="10" borderId="1" xfId="0" applyFont="1" applyFill="1" applyBorder="1" applyAlignment="1">
      <alignment horizontal="left" vertical="top" wrapText="1"/>
    </xf>
    <xf numFmtId="14" fontId="5" fillId="10" borderId="1" xfId="0" applyNumberFormat="1" applyFont="1" applyFill="1" applyBorder="1" applyAlignment="1">
      <alignment horizontal="center" vertical="center" wrapText="1"/>
    </xf>
    <xf numFmtId="0" fontId="5" fillId="10" borderId="1" xfId="0" applyFont="1" applyFill="1" applyBorder="1" applyAlignment="1">
      <alignment horizontal="center" vertical="center" wrapText="1"/>
    </xf>
    <xf numFmtId="0" fontId="5" fillId="10" borderId="0" xfId="0" applyFont="1" applyFill="1" applyBorder="1" applyAlignment="1">
      <alignment horizontal="center" wrapText="1"/>
    </xf>
    <xf numFmtId="0" fontId="5" fillId="10" borderId="0" xfId="0" applyFont="1" applyFill="1" applyBorder="1" applyAlignment="1">
      <alignment horizontal="center" vertical="center" wrapText="1"/>
    </xf>
    <xf numFmtId="0" fontId="5" fillId="10" borderId="0" xfId="0" applyFont="1" applyFill="1" applyAlignment="1">
      <alignment horizontal="center" vertical="center" wrapText="1"/>
    </xf>
    <xf numFmtId="0" fontId="4" fillId="0" borderId="0" xfId="0" applyFont="1" applyFill="1" applyBorder="1" applyAlignment="1">
      <alignment horizontal="center" wrapText="1"/>
    </xf>
    <xf numFmtId="14" fontId="6" fillId="0" borderId="3" xfId="0" applyNumberFormat="1" applyFont="1" applyBorder="1" applyAlignment="1">
      <alignment horizontal="center" vertical="top" wrapText="1"/>
    </xf>
    <xf numFmtId="0" fontId="12" fillId="3" borderId="1" xfId="0" applyFont="1" applyFill="1" applyBorder="1" applyAlignment="1">
      <alignment horizontal="center" vertical="top" wrapText="1"/>
    </xf>
    <xf numFmtId="1" fontId="12" fillId="3" borderId="1" xfId="0" applyNumberFormat="1" applyFont="1" applyFill="1" applyBorder="1" applyAlignment="1">
      <alignment horizontal="center" vertical="top" wrapText="1"/>
    </xf>
    <xf numFmtId="0" fontId="10" fillId="0" borderId="0" xfId="0" applyFont="1"/>
    <xf numFmtId="0" fontId="10" fillId="0" borderId="0" xfId="0" applyFont="1" applyAlignment="1">
      <alignment horizontal="center" vertical="center"/>
    </xf>
    <xf numFmtId="0" fontId="10" fillId="0" borderId="0" xfId="0" applyFont="1" applyAlignment="1">
      <alignment horizontal="center"/>
    </xf>
    <xf numFmtId="0" fontId="10" fillId="0" borderId="0" xfId="0" applyFont="1" applyAlignment="1">
      <alignment horizontal="center" vertical="top"/>
    </xf>
    <xf numFmtId="0" fontId="10" fillId="0" borderId="0" xfId="0" applyFont="1" applyAlignment="1"/>
    <xf numFmtId="0" fontId="10" fillId="0" borderId="0" xfId="0" applyFont="1" applyAlignment="1">
      <alignment horizontal="left" vertical="top"/>
    </xf>
    <xf numFmtId="0" fontId="7" fillId="0" borderId="0" xfId="0" applyFont="1" applyFill="1"/>
    <xf numFmtId="0" fontId="13" fillId="0" borderId="0" xfId="0" applyFont="1" applyFill="1"/>
    <xf numFmtId="0" fontId="0" fillId="0" borderId="0" xfId="0" applyAlignment="1">
      <alignment horizontal="center" vertical="center"/>
    </xf>
    <xf numFmtId="0" fontId="0" fillId="0" borderId="0" xfId="0" applyAlignment="1">
      <alignment horizontal="center"/>
    </xf>
    <xf numFmtId="0" fontId="0" fillId="0" borderId="0" xfId="0" applyFont="1" applyAlignment="1">
      <alignment horizontal="center" vertical="top"/>
    </xf>
    <xf numFmtId="0" fontId="0" fillId="0" borderId="0" xfId="0" applyFont="1"/>
    <xf numFmtId="0" fontId="0" fillId="0" borderId="0" xfId="0" applyAlignment="1"/>
    <xf numFmtId="0" fontId="0" fillId="0" borderId="0" xfId="0" applyAlignment="1">
      <alignment horizontal="left" vertical="top"/>
    </xf>
    <xf numFmtId="49" fontId="4" fillId="0" borderId="5" xfId="0" applyNumberFormat="1" applyFont="1" applyBorder="1" applyAlignment="1">
      <alignment horizontal="center" vertical="center" wrapText="1"/>
    </xf>
    <xf numFmtId="49" fontId="5" fillId="0" borderId="5" xfId="0" applyNumberFormat="1" applyFont="1" applyBorder="1" applyAlignment="1">
      <alignment horizontal="center" vertical="center" wrapText="1"/>
    </xf>
    <xf numFmtId="49" fontId="4" fillId="0" borderId="4" xfId="0" applyNumberFormat="1" applyFont="1" applyBorder="1" applyAlignment="1">
      <alignment vertical="center" wrapText="1"/>
    </xf>
    <xf numFmtId="49" fontId="5" fillId="0" borderId="4" xfId="0" applyNumberFormat="1" applyFont="1" applyBorder="1" applyAlignment="1">
      <alignment vertical="center" wrapText="1"/>
    </xf>
    <xf numFmtId="49" fontId="4" fillId="0" borderId="1" xfId="0" applyNumberFormat="1" applyFont="1" applyBorder="1" applyAlignment="1">
      <alignment horizontal="center" vertical="center" wrapText="1"/>
    </xf>
    <xf numFmtId="49" fontId="4" fillId="0" borderId="2" xfId="0" applyNumberFormat="1" applyFont="1" applyBorder="1" applyAlignment="1">
      <alignment vertical="center" wrapText="1"/>
    </xf>
    <xf numFmtId="49" fontId="4" fillId="0" borderId="4" xfId="0" applyNumberFormat="1" applyFont="1" applyBorder="1" applyAlignment="1">
      <alignment wrapText="1"/>
    </xf>
    <xf numFmtId="49" fontId="4" fillId="0" borderId="4" xfId="0" applyNumberFormat="1" applyFont="1" applyBorder="1" applyAlignment="1">
      <alignment horizontal="center" vertical="center" wrapText="1"/>
    </xf>
    <xf numFmtId="49" fontId="4" fillId="0" borderId="4" xfId="0" applyNumberFormat="1" applyFont="1" applyBorder="1" applyAlignment="1">
      <alignment vertical="top" wrapText="1"/>
    </xf>
    <xf numFmtId="49" fontId="4" fillId="0" borderId="5" xfId="0" applyNumberFormat="1" applyFont="1" applyBorder="1" applyAlignment="1">
      <alignment vertical="center" wrapText="1"/>
    </xf>
    <xf numFmtId="49" fontId="0" fillId="0" borderId="0" xfId="0" applyNumberFormat="1" applyAlignment="1">
      <alignment vertical="center"/>
    </xf>
    <xf numFmtId="0" fontId="4" fillId="2" borderId="7" xfId="0" applyFont="1" applyFill="1" applyBorder="1" applyAlignment="1">
      <alignment horizontal="center" vertical="center" wrapText="1"/>
    </xf>
    <xf numFmtId="0" fontId="4" fillId="0" borderId="2" xfId="0" applyFont="1" applyBorder="1" applyAlignment="1">
      <alignment horizontal="center" wrapText="1"/>
    </xf>
    <xf numFmtId="164" fontId="6" fillId="0" borderId="2" xfId="0" applyNumberFormat="1" applyFont="1" applyBorder="1" applyAlignment="1">
      <alignment horizontal="center" vertical="top" wrapText="1"/>
    </xf>
    <xf numFmtId="14" fontId="6" fillId="0" borderId="2" xfId="0" applyNumberFormat="1" applyFont="1" applyBorder="1" applyAlignment="1">
      <alignment horizontal="center" vertical="top" wrapText="1"/>
    </xf>
    <xf numFmtId="0" fontId="5" fillId="0" borderId="2" xfId="0" applyFont="1" applyBorder="1" applyAlignment="1">
      <alignment horizontal="center" vertical="top" wrapText="1"/>
    </xf>
    <xf numFmtId="0" fontId="5" fillId="0" borderId="2" xfId="0" applyFont="1" applyBorder="1" applyAlignment="1">
      <alignment horizontal="center" wrapText="1"/>
    </xf>
    <xf numFmtId="0" fontId="5" fillId="0" borderId="2" xfId="0" applyFont="1" applyBorder="1" applyAlignment="1">
      <alignment horizontal="left" vertical="top" wrapText="1"/>
    </xf>
    <xf numFmtId="14" fontId="5" fillId="0" borderId="2" xfId="0" applyNumberFormat="1" applyFont="1" applyBorder="1" applyAlignment="1">
      <alignment horizontal="center" vertical="center" wrapText="1"/>
    </xf>
    <xf numFmtId="14" fontId="5" fillId="0" borderId="2" xfId="0" applyNumberFormat="1" applyFont="1" applyBorder="1" applyAlignment="1">
      <alignment horizontal="center" vertical="top" wrapText="1"/>
    </xf>
    <xf numFmtId="0" fontId="4" fillId="2" borderId="8" xfId="0" applyFont="1" applyFill="1" applyBorder="1" applyAlignment="1">
      <alignment horizontal="center" vertical="center" wrapText="1"/>
    </xf>
    <xf numFmtId="164" fontId="6" fillId="0" borderId="5" xfId="0" applyNumberFormat="1" applyFont="1" applyBorder="1" applyAlignment="1">
      <alignment horizontal="center" vertical="top" wrapText="1"/>
    </xf>
    <xf numFmtId="14" fontId="5" fillId="0" borderId="5" xfId="0" applyNumberFormat="1" applyFont="1" applyBorder="1" applyAlignment="1">
      <alignment horizontal="center" vertical="center" wrapText="1"/>
    </xf>
    <xf numFmtId="14" fontId="5" fillId="0" borderId="5" xfId="0" applyNumberFormat="1" applyFont="1" applyBorder="1" applyAlignment="1">
      <alignment horizontal="center" vertical="top" wrapText="1"/>
    </xf>
    <xf numFmtId="164" fontId="6" fillId="0" borderId="4" xfId="0" applyNumberFormat="1" applyFont="1" applyBorder="1" applyAlignment="1">
      <alignment horizontal="center" vertical="top" wrapText="1"/>
    </xf>
    <xf numFmtId="14" fontId="6" fillId="0" borderId="4" xfId="0" applyNumberFormat="1" applyFont="1" applyBorder="1" applyAlignment="1">
      <alignment horizontal="center" vertical="top" wrapText="1"/>
    </xf>
    <xf numFmtId="0" fontId="5" fillId="0" borderId="4" xfId="0" applyFont="1" applyBorder="1" applyAlignment="1">
      <alignment horizontal="center" vertical="top" wrapText="1"/>
    </xf>
    <xf numFmtId="0" fontId="5" fillId="0" borderId="4" xfId="0" applyFont="1" applyBorder="1" applyAlignment="1">
      <alignment horizontal="center" wrapText="1"/>
    </xf>
    <xf numFmtId="14" fontId="5" fillId="0" borderId="4" xfId="0" applyNumberFormat="1" applyFont="1" applyBorder="1" applyAlignment="1">
      <alignment horizontal="center" vertical="center" wrapText="1"/>
    </xf>
    <xf numFmtId="0" fontId="4" fillId="0" borderId="4" xfId="0" applyFont="1" applyBorder="1" applyAlignment="1">
      <alignment horizontal="center" wrapText="1"/>
    </xf>
    <xf numFmtId="0" fontId="8" fillId="6" borderId="8" xfId="0" applyFont="1" applyFill="1" applyBorder="1" applyAlignment="1">
      <alignment horizontal="center" wrapText="1"/>
    </xf>
    <xf numFmtId="0" fontId="8" fillId="0" borderId="4" xfId="0" applyFont="1" applyFill="1" applyBorder="1" applyAlignment="1">
      <alignment horizontal="center" vertical="center" wrapText="1"/>
    </xf>
    <xf numFmtId="14" fontId="8" fillId="0" borderId="4" xfId="0" applyNumberFormat="1" applyFont="1" applyFill="1" applyBorder="1" applyAlignment="1">
      <alignment horizontal="center" vertical="center" wrapText="1"/>
    </xf>
    <xf numFmtId="164" fontId="9" fillId="0" borderId="4" xfId="0" applyNumberFormat="1" applyFont="1" applyFill="1" applyBorder="1" applyAlignment="1">
      <alignment horizontal="center" vertical="top" wrapText="1"/>
    </xf>
    <xf numFmtId="0" fontId="7" fillId="0" borderId="4" xfId="0" applyFont="1" applyFill="1" applyBorder="1" applyAlignment="1">
      <alignment horizontal="center" wrapText="1"/>
    </xf>
    <xf numFmtId="0" fontId="7" fillId="0" borderId="4" xfId="0" applyFont="1" applyFill="1" applyBorder="1" applyAlignment="1">
      <alignment horizontal="left" vertical="top" wrapText="1"/>
    </xf>
    <xf numFmtId="14" fontId="7" fillId="0" borderId="4" xfId="0" applyNumberFormat="1" applyFont="1" applyFill="1" applyBorder="1" applyAlignment="1">
      <alignment horizontal="center" vertical="center" wrapText="1"/>
    </xf>
    <xf numFmtId="164" fontId="9" fillId="0" borderId="5" xfId="0" applyNumberFormat="1" applyFont="1" applyFill="1" applyBorder="1" applyAlignment="1">
      <alignment horizontal="center" vertical="top" wrapText="1"/>
    </xf>
    <xf numFmtId="0" fontId="7" fillId="0" borderId="5" xfId="0" applyFont="1" applyFill="1" applyBorder="1" applyAlignment="1">
      <alignment horizontal="left" vertical="top" wrapText="1"/>
    </xf>
    <xf numFmtId="0" fontId="4" fillId="2" borderId="8" xfId="0" applyFont="1" applyFill="1" applyBorder="1" applyAlignment="1">
      <alignment horizontal="center" wrapText="1"/>
    </xf>
    <xf numFmtId="0" fontId="8" fillId="0" borderId="4" xfId="0" applyFont="1" applyFill="1" applyBorder="1" applyAlignment="1">
      <alignment horizontal="center" wrapText="1"/>
    </xf>
    <xf numFmtId="14" fontId="8" fillId="0" borderId="4" xfId="0" applyNumberFormat="1" applyFont="1" applyFill="1" applyBorder="1" applyAlignment="1">
      <alignment horizontal="center" wrapText="1"/>
    </xf>
    <xf numFmtId="14" fontId="8" fillId="0" borderId="5" xfId="0" applyNumberFormat="1" applyFont="1" applyFill="1" applyBorder="1" applyAlignment="1">
      <alignment horizontal="center" wrapText="1"/>
    </xf>
    <xf numFmtId="14" fontId="7" fillId="0" borderId="4" xfId="0" applyNumberFormat="1" applyFont="1" applyFill="1" applyBorder="1" applyAlignment="1">
      <alignment horizontal="center" vertical="top" wrapText="1"/>
    </xf>
  </cellXfs>
  <cellStyles count="37">
    <cellStyle name="Accent 1 1" xfId="1"/>
    <cellStyle name="Accent 1 6" xfId="2"/>
    <cellStyle name="Accent 2 1" xfId="3"/>
    <cellStyle name="Accent 2 7" xfId="4"/>
    <cellStyle name="Accent 3 1" xfId="5"/>
    <cellStyle name="Accent 3 8" xfId="6"/>
    <cellStyle name="Accent 4" xfId="7"/>
    <cellStyle name="Accent 5" xfId="8"/>
    <cellStyle name="Bad 1" xfId="9"/>
    <cellStyle name="Bad 9" xfId="10"/>
    <cellStyle name="Error 1" xfId="11"/>
    <cellStyle name="Error 10" xfId="12"/>
    <cellStyle name="Euro" xfId="13"/>
    <cellStyle name="Footnote 1" xfId="14"/>
    <cellStyle name="Footnote 11" xfId="15"/>
    <cellStyle name="Good 1" xfId="16"/>
    <cellStyle name="Good 12" xfId="17"/>
    <cellStyle name="Heading (user) 13" xfId="18"/>
    <cellStyle name="Heading 1 1" xfId="19"/>
    <cellStyle name="Heading 1 14" xfId="20"/>
    <cellStyle name="Heading 2 1" xfId="21"/>
    <cellStyle name="Heading 2 15" xfId="22"/>
    <cellStyle name="Heading 3" xfId="23"/>
    <cellStyle name="Hyperlink 1" xfId="24"/>
    <cellStyle name="Hyperlink 16" xfId="25"/>
    <cellStyle name="Neutral 1" xfId="26"/>
    <cellStyle name="Normal" xfId="0" builtinId="0"/>
    <cellStyle name="Normal 2" xfId="27"/>
    <cellStyle name="Normal 3" xfId="28"/>
    <cellStyle name="Note 1" xfId="29"/>
    <cellStyle name="Note 17" xfId="30"/>
    <cellStyle name="Status 1" xfId="31"/>
    <cellStyle name="Status 18" xfId="32"/>
    <cellStyle name="Text 1" xfId="33"/>
    <cellStyle name="Text 19" xfId="34"/>
    <cellStyle name="Warning 1" xfId="35"/>
    <cellStyle name="Warning 20" xfId="36"/>
  </cellStyles>
  <dxfs count="48">
    <dxf>
      <font>
        <b val="0"/>
        <i val="0"/>
        <strike val="0"/>
        <condense val="0"/>
        <extend val="0"/>
        <outline val="0"/>
        <shadow val="0"/>
        <u val="none"/>
        <vertAlign val="baseline"/>
        <sz val="10"/>
        <color auto="1"/>
        <name val="Arial"/>
        <scheme val="none"/>
      </font>
      <numFmt numFmtId="19" formatCode="dd/mm/yy"/>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center"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numFmt numFmtId="19" formatCode="dd/mm/yy"/>
      <fill>
        <patternFill patternType="none">
          <fgColor indexed="64"/>
          <bgColor indexed="65"/>
        </patternFill>
      </fill>
      <alignment horizontal="center" vertical="center"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left"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bottom" textRotation="0" wrapText="1" indent="0" relativeIndent="0" justifyLastLine="0" shrinkToFit="0" mergeCell="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left"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bottom"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numFmt numFmtId="1" formatCode="0"/>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numFmt numFmtId="1" formatCode="0"/>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numFmt numFmtId="1" formatCode="0"/>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numFmt numFmtId="1" formatCode="0"/>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numFmt numFmtId="1" formatCode="0"/>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numFmt numFmtId="1" formatCode="0"/>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center" vertical="top" textRotation="0" wrapText="1" indent="0" relativeIndent="0" justifyLastLine="0" shrinkToFit="0" mergeCell="0" readingOrder="0"/>
      <border diagonalUp="0" diagonalDown="0">
        <left style="thin">
          <color auto="1"/>
        </left>
        <right style="thin">
          <color auto="1"/>
        </right>
        <top style="thin">
          <color auto="1"/>
        </top>
        <bottom style="thin">
          <color auto="1"/>
        </bottom>
        <vertical/>
        <horizontal/>
      </border>
    </dxf>
    <dxf>
      <font>
        <b val="0"/>
        <i/>
        <strike val="0"/>
        <condense val="0"/>
        <extend val="0"/>
        <outline val="0"/>
        <shadow val="0"/>
        <u val="none"/>
        <vertAlign val="baseline"/>
        <sz val="10"/>
        <color auto="1"/>
        <name val="Arial"/>
        <scheme val="none"/>
      </font>
      <numFmt numFmtId="164" formatCode="[$-2C0A]dd/mm/yyyy"/>
      <fill>
        <patternFill patternType="none">
          <fgColor indexed="64"/>
          <bgColor indexed="65"/>
        </patternFill>
      </fill>
      <alignment horizontal="center" vertical="top" textRotation="0" wrapText="1" indent="0" relativeIndent="0" justifyLastLine="0" shrinkToFit="0" mergeCell="0" readingOrder="0"/>
      <border diagonalUp="0" diagonalDown="0">
        <left/>
        <right style="thin">
          <color auto="1"/>
        </right>
        <top/>
        <bottom style="thin">
          <color auto="1"/>
        </bottom>
        <vertical/>
        <horizontal/>
      </border>
    </dxf>
    <dxf>
      <font>
        <b/>
        <i val="0"/>
        <strike val="0"/>
        <condense val="0"/>
        <extend val="0"/>
        <outline val="0"/>
        <shadow val="0"/>
        <u val="none"/>
        <vertAlign val="baseline"/>
        <sz val="10"/>
        <color auto="1"/>
        <name val="Arial"/>
        <scheme val="none"/>
      </font>
      <numFmt numFmtId="19" formatCode="dd/mm/yy"/>
      <fill>
        <patternFill patternType="none">
          <fgColor indexed="64"/>
          <bgColor indexed="65"/>
        </patternFill>
      </fill>
      <alignment horizontal="center" vertical="bottom" textRotation="0" wrapText="1" indent="0" relativeIndent="0" justifyLastLine="0" shrinkToFit="0" mergeCell="0" readingOrder="0"/>
      <border diagonalUp="0" diagonalDown="0">
        <left/>
        <right style="thin">
          <color auto="1"/>
        </right>
        <top/>
        <bottom style="thin">
          <color auto="1"/>
        </bottom>
        <vertical/>
        <horizontal/>
      </border>
    </dxf>
    <dxf>
      <font>
        <b/>
        <i val="0"/>
        <strike val="0"/>
        <condense val="0"/>
        <extend val="0"/>
        <outline val="0"/>
        <shadow val="0"/>
        <u val="none"/>
        <vertAlign val="baseline"/>
        <sz val="10"/>
        <color auto="1"/>
        <name val="Arial"/>
        <scheme val="none"/>
      </font>
      <fill>
        <patternFill patternType="none">
          <fgColor indexed="64"/>
          <bgColor indexed="65"/>
        </patternFill>
      </fill>
      <alignment horizontal="center" vertical="bottom" textRotation="0" wrapText="1" indent="0" relativeIndent="0" justifyLastLine="0" shrinkToFit="0" mergeCell="0" readingOrder="0"/>
      <border diagonalUp="0" diagonalDown="0">
        <left style="thin">
          <color auto="1"/>
        </left>
        <right style="thin">
          <color auto="1"/>
        </right>
        <top/>
        <bottom style="thin">
          <color auto="1"/>
        </bottom>
        <vertical/>
        <horizontal/>
      </border>
    </dxf>
    <dxf>
      <font>
        <b/>
        <i val="0"/>
        <strike val="0"/>
        <condense val="0"/>
        <extend val="0"/>
        <outline val="0"/>
        <shadow val="0"/>
        <u val="none"/>
        <vertAlign val="baseline"/>
        <sz val="10"/>
        <color rgb="FF000000"/>
        <name val="Arial"/>
        <scheme val="none"/>
      </font>
      <fill>
        <patternFill patternType="solid">
          <fgColor rgb="FFC0C0C0"/>
          <bgColor rgb="FFAFD095"/>
        </patternFill>
      </fill>
      <alignment horizontal="center" vertical="bottom" textRotation="0" wrapText="1" indent="0" relativeIndent="0" justifyLastLine="0" shrinkToFit="0" mergeCell="0" readingOrder="0"/>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center" textRotation="0" wrapText="1" indent="0" relativeIndent="0" justifyLastLine="0" shrinkToFit="0" mergeCell="0" readingOrder="0"/>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id="1" name="Tabla1" displayName="Tabla1" ref="A1:AV208" totalsRowShown="0">
  <autoFilter ref="A1:AV208"/>
  <tableColumns count="48">
    <tableColumn id="1" name="MES" dataDxfId="47"/>
    <tableColumn id="2" name="LEGAJO" dataDxfId="46"/>
    <tableColumn id="3" name="EXPEDIENTE" dataDxfId="45"/>
    <tableColumn id="4" name="INGRESO" dataDxfId="44"/>
    <tableColumn id="5" name="Plano de Mensura" dataDxfId="43"/>
    <tableColumn id="6" name="Partida Provincial" dataDxfId="42"/>
    <tableColumn id="7" name="Partida Municipal" dataDxfId="41"/>
    <tableColumn id="8" name="Concesión" dataDxfId="40"/>
    <tableColumn id="9" name="Ex-Quinta" dataDxfId="39"/>
    <tableColumn id="10" name="Manzana" dataDxfId="38"/>
    <tableColumn id="11" name="Parcela" dataDxfId="37"/>
    <tableColumn id="12" name="Zonificación" dataDxfId="36"/>
    <tableColumn id="13" name="Ubicación" dataDxfId="35"/>
    <tableColumn id="14" name="Propietario" dataDxfId="34"/>
    <tableColumn id="15" name="Nombre del Establecimiento y/o empresa" dataDxfId="33"/>
    <tableColumn id="16" name="Proyecto" dataDxfId="32"/>
    <tableColumn id="17" name="Dirección de obra" dataDxfId="31"/>
    <tableColumn id="18" name="Estructura" dataDxfId="30"/>
    <tableColumn id="19" name="Constructor" dataDxfId="29"/>
    <tableColumn id="20" name="RELEVAMIENTO o existente" dataDxfId="28"/>
    <tableColumn id="21" name="A CONTRUIR / OBRA NUEVA" dataDxfId="27"/>
    <tableColumn id="22" name="AMPLIACION de obra existente" dataDxfId="26"/>
    <tableColumn id="23" name="PROYECTADO (no iniciado)" dataDxfId="25"/>
    <tableColumn id="24" name="USO" dataDxfId="24"/>
    <tableColumn id="25" name="Cantidad de Habitaciones (dormitorios) Existente" dataDxfId="23"/>
    <tableColumn id="26" name="Cantidad de Habitaciones (dormitorios) Nuevas" dataDxfId="22"/>
    <tableColumn id="27" name="Locales de 1º, Habitables Existente" dataDxfId="21"/>
    <tableColumn id="28" name="Locales de 1º, Habitables Nuevos" dataDxfId="20"/>
    <tableColumn id="29" name="N° de Plazas Existente" dataDxfId="19"/>
    <tableColumn id="30" name="N° de Plazas Nuevas" dataDxfId="18">
      <calculatedColumnFormula>+Z2*2</calculatedColumnFormula>
    </tableColumn>
    <tableColumn id="31" name="M² existentes (con antecedente) Vivienda" dataDxfId="17"/>
    <tableColumn id="32" name="M² existentes (con antecedente) Local" dataDxfId="16"/>
    <tableColumn id="33" name="M² existentes (relevados) Vivienda" dataDxfId="15"/>
    <tableColumn id="34" name="M² existentes (relevados) Local" dataDxfId="14"/>
    <tableColumn id="35" name="M²     (a construir Vivienda" dataDxfId="13"/>
    <tableColumn id="36" name="M²     (a construir Local" dataDxfId="12"/>
    <tableColumn id="37" name="Terreno" dataDxfId="11"/>
    <tableColumn id="38" name="F. O. S." dataDxfId="10"/>
    <tableColumn id="39" name="F. O. T." dataDxfId="9"/>
    <tableColumn id="40" name="CATEGORIA" dataDxfId="8"/>
    <tableColumn id="41" name="Monto de la Inversión (estimado y/o declarado)" dataDxfId="7"/>
    <tableColumn id="42" name="Derechos de edificación" dataDxfId="6"/>
    <tableColumn id="43" name="TITULO PROFESIONAL" dataDxfId="5"/>
    <tableColumn id="44" name="Observaciones" dataDxfId="4"/>
    <tableColumn id="45" name="VISADO" dataDxfId="3"/>
    <tableColumn id="46" name="FINAL OBRA" dataDxfId="2"/>
    <tableColumn id="47" name="AVANCE DE OBRA" dataDxfId="1"/>
    <tableColumn id="48" name="Columna1" dataDxfId="0"/>
  </tableColumns>
  <tableStyleInfo name="TableStyleMedium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W221"/>
  <sheetViews>
    <sheetView tabSelected="1" workbookViewId="0">
      <selection sqref="A1:AV208"/>
    </sheetView>
  </sheetViews>
  <sheetFormatPr baseColWidth="10" defaultColWidth="9" defaultRowHeight="14.25"/>
  <cols>
    <col min="1" max="1" width="8.125" style="147" bestFit="1" customWidth="1"/>
    <col min="2" max="2" width="9.5" style="147" customWidth="1"/>
    <col min="3" max="3" width="12.75" style="148" customWidth="1"/>
    <col min="4" max="4" width="10.75" style="149" customWidth="1"/>
    <col min="5" max="5" width="17.125" customWidth="1"/>
    <col min="6" max="6" width="17" customWidth="1"/>
    <col min="7" max="7" width="16.75" customWidth="1"/>
    <col min="8" max="8" width="11" customWidth="1"/>
    <col min="9" max="9" width="10.5" customWidth="1"/>
    <col min="10" max="10" width="10" customWidth="1"/>
    <col min="11" max="11" width="9.25" customWidth="1"/>
    <col min="12" max="12" width="12.375" customWidth="1"/>
    <col min="13" max="13" width="10.875" customWidth="1"/>
    <col min="14" max="14" width="12.125" customWidth="1"/>
    <col min="15" max="15" width="32.625" style="150" customWidth="1"/>
    <col min="16" max="16" width="12.5" style="151" customWidth="1"/>
    <col min="17" max="17" width="16.875" customWidth="1"/>
    <col min="18" max="18" width="10.625" customWidth="1"/>
    <col min="19" max="19" width="11.75" customWidth="1"/>
    <col min="20" max="20" width="24.625" customWidth="1"/>
    <col min="21" max="21" width="24.875" customWidth="1"/>
    <col min="22" max="22" width="27.375" customWidth="1"/>
    <col min="23" max="23" width="24.25" customWidth="1"/>
    <col min="24" max="24" width="13.75" customWidth="1"/>
    <col min="25" max="25" width="41.375" customWidth="1"/>
    <col min="26" max="26" width="39.875" customWidth="1"/>
    <col min="27" max="27" width="30.5" customWidth="1"/>
    <col min="28" max="28" width="29" customWidth="1"/>
    <col min="29" max="29" width="20.5" customWidth="1"/>
    <col min="30" max="30" width="19" customWidth="1"/>
    <col min="31" max="31" width="35.375" customWidth="1"/>
    <col min="32" max="32" width="32.75" customWidth="1"/>
    <col min="33" max="33" width="29.875" customWidth="1"/>
    <col min="34" max="34" width="27.25" customWidth="1"/>
    <col min="35" max="35" width="23.5" customWidth="1"/>
    <col min="36" max="36" width="20.875" customWidth="1"/>
    <col min="37" max="37" width="9" customWidth="1"/>
    <col min="38" max="38" width="8.625" customWidth="1"/>
    <col min="39" max="39" width="8.5" customWidth="1"/>
    <col min="40" max="40" width="12.25" customWidth="1"/>
    <col min="41" max="41" width="40" customWidth="1"/>
    <col min="42" max="42" width="21.875" customWidth="1"/>
    <col min="43" max="43" width="20.75" style="152" customWidth="1"/>
    <col min="44" max="44" width="14.375" customWidth="1"/>
    <col min="45" max="45" width="47.5" customWidth="1"/>
    <col min="46" max="46" width="12.625" customWidth="1"/>
    <col min="47" max="47" width="17.125" customWidth="1"/>
    <col min="48" max="48" width="11.125" style="153" customWidth="1"/>
    <col min="49" max="1026" width="6.625" customWidth="1"/>
  </cols>
  <sheetData>
    <row r="1" spans="1:257" s="164" customFormat="1" ht="90" thickBot="1">
      <c r="A1" s="154" t="s">
        <v>1028</v>
      </c>
      <c r="B1" s="154" t="s">
        <v>0</v>
      </c>
      <c r="C1" s="155" t="s">
        <v>1</v>
      </c>
      <c r="D1" s="154" t="s">
        <v>2</v>
      </c>
      <c r="E1" s="156" t="s">
        <v>3</v>
      </c>
      <c r="F1" s="156" t="s">
        <v>4</v>
      </c>
      <c r="G1" s="156" t="s">
        <v>5</v>
      </c>
      <c r="H1" s="156" t="s">
        <v>6</v>
      </c>
      <c r="I1" s="156" t="s">
        <v>7</v>
      </c>
      <c r="J1" s="156" t="s">
        <v>8</v>
      </c>
      <c r="K1" s="156" t="s">
        <v>9</v>
      </c>
      <c r="L1" s="156" t="s">
        <v>10</v>
      </c>
      <c r="M1" s="156" t="s">
        <v>11</v>
      </c>
      <c r="N1" s="156" t="s">
        <v>12</v>
      </c>
      <c r="O1" s="157" t="s">
        <v>13</v>
      </c>
      <c r="P1" s="156" t="s">
        <v>14</v>
      </c>
      <c r="Q1" s="156" t="s">
        <v>15</v>
      </c>
      <c r="R1" s="156" t="s">
        <v>16</v>
      </c>
      <c r="S1" s="156" t="s">
        <v>17</v>
      </c>
      <c r="T1" s="156" t="s">
        <v>18</v>
      </c>
      <c r="U1" s="156" t="s">
        <v>19</v>
      </c>
      <c r="V1" s="156" t="s">
        <v>20</v>
      </c>
      <c r="W1" s="156" t="s">
        <v>21</v>
      </c>
      <c r="X1" s="156" t="s">
        <v>1029</v>
      </c>
      <c r="Y1" s="158" t="s">
        <v>1030</v>
      </c>
      <c r="Z1" s="158" t="s">
        <v>1031</v>
      </c>
      <c r="AA1" s="158" t="s">
        <v>1032</v>
      </c>
      <c r="AB1" s="158" t="s">
        <v>1033</v>
      </c>
      <c r="AC1" s="158" t="s">
        <v>1034</v>
      </c>
      <c r="AD1" s="158" t="s">
        <v>1035</v>
      </c>
      <c r="AE1" s="158" t="s">
        <v>1036</v>
      </c>
      <c r="AF1" s="158" t="s">
        <v>1037</v>
      </c>
      <c r="AG1" s="158" t="s">
        <v>1038</v>
      </c>
      <c r="AH1" s="158" t="s">
        <v>1039</v>
      </c>
      <c r="AI1" s="158" t="s">
        <v>1040</v>
      </c>
      <c r="AJ1" s="158" t="s">
        <v>1041</v>
      </c>
      <c r="AK1" s="159" t="s">
        <v>22</v>
      </c>
      <c r="AL1" s="159" t="s">
        <v>23</v>
      </c>
      <c r="AM1" s="159" t="s">
        <v>24</v>
      </c>
      <c r="AN1" s="159" t="s">
        <v>25</v>
      </c>
      <c r="AO1" s="159" t="s">
        <v>26</v>
      </c>
      <c r="AP1" s="160" t="s">
        <v>27</v>
      </c>
      <c r="AQ1" s="161" t="s">
        <v>1042</v>
      </c>
      <c r="AR1" s="162" t="s">
        <v>28</v>
      </c>
      <c r="AS1" s="163" t="s">
        <v>1043</v>
      </c>
      <c r="AT1" s="163" t="s">
        <v>1044</v>
      </c>
      <c r="AU1" s="159" t="s">
        <v>29</v>
      </c>
      <c r="AV1" s="164" t="s">
        <v>1045</v>
      </c>
    </row>
    <row r="2" spans="1:257" s="2" customFormat="1" ht="51">
      <c r="B2" s="165">
        <v>1</v>
      </c>
      <c r="C2" s="166" t="s">
        <v>30</v>
      </c>
      <c r="D2" s="167">
        <v>44772</v>
      </c>
      <c r="E2" s="168" t="s">
        <v>31</v>
      </c>
      <c r="F2" s="3">
        <v>21008</v>
      </c>
      <c r="G2" s="3"/>
      <c r="H2" s="3">
        <v>30231</v>
      </c>
      <c r="I2" s="169">
        <v>324</v>
      </c>
      <c r="J2" s="4"/>
      <c r="K2" s="4"/>
      <c r="L2" s="4">
        <v>9</v>
      </c>
      <c r="M2" s="4"/>
      <c r="N2" s="169" t="s">
        <v>32</v>
      </c>
      <c r="O2" s="4" t="s">
        <v>33</v>
      </c>
      <c r="P2" s="4"/>
      <c r="Q2" s="169" t="s">
        <v>34</v>
      </c>
      <c r="R2" s="4"/>
      <c r="S2" s="4"/>
      <c r="T2" s="4"/>
      <c r="U2" s="4"/>
      <c r="V2" s="5"/>
      <c r="W2" s="4"/>
      <c r="X2" s="4"/>
      <c r="Y2" s="4"/>
      <c r="Z2" s="6"/>
      <c r="AA2" s="7"/>
      <c r="AB2" s="8"/>
      <c r="AC2" s="7"/>
      <c r="AD2" s="8"/>
      <c r="AE2" s="7"/>
      <c r="AF2" s="4">
        <f>263.97+35.85/2+262.73</f>
        <v>544.625</v>
      </c>
      <c r="AG2" s="4"/>
      <c r="AH2" s="4"/>
      <c r="AI2" s="4"/>
      <c r="AJ2" s="5"/>
      <c r="AK2" s="9"/>
      <c r="AL2" s="10">
        <v>800</v>
      </c>
      <c r="AM2" s="10">
        <f>+(203.97+35.85)/AL2</f>
        <v>0.29977500000000001</v>
      </c>
      <c r="AN2" s="10">
        <f>+AF2/AL2</f>
        <v>0.68078125</v>
      </c>
      <c r="AO2" s="10"/>
      <c r="AP2" s="10"/>
      <c r="AQ2" s="11"/>
      <c r="AR2" s="170" t="s">
        <v>35</v>
      </c>
      <c r="AS2" s="171" t="s">
        <v>36</v>
      </c>
      <c r="AT2" s="172">
        <v>44935</v>
      </c>
      <c r="AU2" s="12"/>
      <c r="AV2" s="173">
        <v>44929</v>
      </c>
      <c r="AW2" s="13"/>
      <c r="AX2" s="13"/>
      <c r="AY2" s="13"/>
      <c r="AZ2" s="13"/>
      <c r="BA2" s="13"/>
      <c r="BB2" s="13"/>
      <c r="BC2" s="13"/>
      <c r="BD2" s="13"/>
      <c r="BE2" s="13"/>
      <c r="BF2" s="13"/>
      <c r="BG2" s="13"/>
      <c r="BH2" s="14"/>
      <c r="BI2" s="14"/>
      <c r="BJ2" s="14"/>
      <c r="BK2" s="14"/>
      <c r="BL2" s="14"/>
      <c r="BM2" s="14"/>
      <c r="BN2" s="14"/>
      <c r="BO2" s="14"/>
      <c r="BP2" s="14"/>
      <c r="BQ2" s="14"/>
      <c r="BR2" s="14"/>
      <c r="BS2" s="14"/>
      <c r="BT2" s="14"/>
      <c r="BU2" s="14"/>
      <c r="BV2" s="14"/>
      <c r="BW2" s="14"/>
      <c r="IQ2" s="14"/>
      <c r="IR2" s="14"/>
      <c r="IS2" s="14"/>
      <c r="IT2" s="14"/>
      <c r="IU2" s="14"/>
      <c r="IV2" s="14"/>
      <c r="IW2" s="14"/>
    </row>
    <row r="3" spans="1:257" s="2" customFormat="1" ht="25.5">
      <c r="B3" s="174"/>
      <c r="C3" s="41"/>
      <c r="D3" s="175"/>
      <c r="E3" s="51"/>
      <c r="F3" s="15">
        <v>43928</v>
      </c>
      <c r="G3" s="15">
        <v>141596</v>
      </c>
      <c r="H3" s="15">
        <v>32082</v>
      </c>
      <c r="I3" s="4"/>
      <c r="J3" s="16"/>
      <c r="K3" s="4"/>
      <c r="L3" s="16">
        <v>33</v>
      </c>
      <c r="M3" s="4" t="s">
        <v>37</v>
      </c>
      <c r="N3" s="4"/>
      <c r="O3" s="16" t="s">
        <v>38</v>
      </c>
      <c r="P3" s="16"/>
      <c r="Q3" s="4"/>
      <c r="R3" s="16"/>
      <c r="S3" s="16"/>
      <c r="T3" s="16"/>
      <c r="U3" s="16"/>
      <c r="V3" s="17"/>
      <c r="W3" s="16"/>
      <c r="X3" s="16"/>
      <c r="Y3" s="16"/>
      <c r="Z3" s="18"/>
      <c r="AA3" s="19"/>
      <c r="AB3" s="20"/>
      <c r="AC3" s="19"/>
      <c r="AD3" s="20"/>
      <c r="AE3" s="19"/>
      <c r="AF3" s="16">
        <f>301.53+239.95</f>
        <v>541.48</v>
      </c>
      <c r="AG3" s="16"/>
      <c r="AH3" s="16">
        <f>31.24+56.73/2+36.24</f>
        <v>95.844999999999999</v>
      </c>
      <c r="AI3" s="16"/>
      <c r="AJ3" s="17"/>
      <c r="AK3" s="21"/>
      <c r="AL3" s="22">
        <v>1598.33</v>
      </c>
      <c r="AM3" s="22">
        <f>+(301.53+31.24+56.73)/AL3</f>
        <v>0.24369185337195698</v>
      </c>
      <c r="AN3" s="22">
        <f>+(AF3+AH3)/AL3</f>
        <v>0.39874431437813224</v>
      </c>
      <c r="AO3" s="22"/>
      <c r="AP3" s="22">
        <v>3700000</v>
      </c>
      <c r="AQ3" s="23">
        <v>54668</v>
      </c>
      <c r="AR3" s="10"/>
      <c r="AS3" s="11"/>
      <c r="AT3" s="176"/>
      <c r="AU3" s="24"/>
      <c r="AV3" s="177"/>
      <c r="AW3" s="13"/>
      <c r="AX3" s="13"/>
      <c r="AY3" s="13"/>
      <c r="AZ3" s="13"/>
      <c r="BA3" s="13"/>
      <c r="BB3" s="13"/>
      <c r="BC3" s="13"/>
      <c r="BD3" s="13"/>
      <c r="BE3" s="13"/>
      <c r="BF3" s="13"/>
      <c r="BG3" s="13"/>
      <c r="BH3" s="14"/>
      <c r="BI3" s="14"/>
      <c r="BJ3" s="14"/>
      <c r="BK3" s="14"/>
      <c r="BL3" s="14"/>
      <c r="BM3" s="14"/>
      <c r="BN3" s="14"/>
      <c r="BO3" s="14"/>
      <c r="BP3" s="14"/>
      <c r="BQ3" s="14"/>
      <c r="BR3" s="14"/>
      <c r="BS3" s="14"/>
      <c r="BT3" s="14"/>
      <c r="BU3" s="14"/>
      <c r="BV3" s="14"/>
      <c r="BW3" s="14"/>
      <c r="IQ3" s="14"/>
      <c r="IR3" s="14"/>
      <c r="IS3" s="14"/>
      <c r="IT3" s="14"/>
      <c r="IU3" s="14"/>
      <c r="IV3" s="14"/>
      <c r="IW3" s="14"/>
    </row>
    <row r="4" spans="1:257" s="25" customFormat="1" ht="63.75">
      <c r="B4" s="26">
        <v>2</v>
      </c>
      <c r="C4" s="27">
        <v>547704</v>
      </c>
      <c r="D4" s="28">
        <v>44880</v>
      </c>
      <c r="E4" s="29" t="s">
        <v>39</v>
      </c>
      <c r="F4" s="30">
        <v>27582</v>
      </c>
      <c r="G4" s="30">
        <v>120634</v>
      </c>
      <c r="H4" s="30">
        <v>6161</v>
      </c>
      <c r="I4" s="31"/>
      <c r="J4" s="31"/>
      <c r="K4" s="31">
        <v>156</v>
      </c>
      <c r="L4" s="31">
        <v>2</v>
      </c>
      <c r="M4" s="31" t="s">
        <v>40</v>
      </c>
      <c r="N4" s="16" t="s">
        <v>41</v>
      </c>
      <c r="O4" s="16"/>
      <c r="P4" s="16" t="s">
        <v>42</v>
      </c>
      <c r="Q4" s="16" t="s">
        <v>43</v>
      </c>
      <c r="R4" s="31"/>
      <c r="S4" s="31"/>
      <c r="T4" s="31"/>
      <c r="U4" s="31">
        <v>10</v>
      </c>
      <c r="V4" s="31"/>
      <c r="W4" s="31"/>
      <c r="X4" s="31"/>
      <c r="Y4" s="31" t="s">
        <v>44</v>
      </c>
      <c r="Z4" s="32">
        <f>4*1+4*1+2*2</f>
        <v>12</v>
      </c>
      <c r="AA4" s="32"/>
      <c r="AB4" s="32">
        <f>+Z4+10</f>
        <v>22</v>
      </c>
      <c r="AC4" s="32"/>
      <c r="AD4" s="32">
        <f>+Z4*2</f>
        <v>24</v>
      </c>
      <c r="AE4" s="32"/>
      <c r="AF4" s="31">
        <f>26.82+189.31/2+534.71+27.49/2</f>
        <v>669.93000000000006</v>
      </c>
      <c r="AG4" s="31"/>
      <c r="AH4" s="31">
        <f>(28.12+171.63+31.32/2+506.44+53.62/2)-AF4</f>
        <v>78.729999999999905</v>
      </c>
      <c r="AI4" s="31"/>
      <c r="AJ4" s="31"/>
      <c r="AK4" s="33"/>
      <c r="AL4" s="33">
        <v>243.52</v>
      </c>
      <c r="AM4" s="33">
        <f>+(26.12+171.63+31.32)/AL4</f>
        <v>0.94066195795006569</v>
      </c>
      <c r="AN4" s="33">
        <f>+(AH4-171.63)/AL4</f>
        <v>-0.38148817345597935</v>
      </c>
      <c r="AO4" s="33"/>
      <c r="AP4" s="34">
        <f>+(33123*2+13*26491+8*19871+13249)/24*AH4</f>
        <v>1911977.7324999976</v>
      </c>
      <c r="AQ4" s="34">
        <v>43099.66</v>
      </c>
      <c r="AR4" s="33" t="s">
        <v>35</v>
      </c>
      <c r="AS4" s="34" t="s">
        <v>45</v>
      </c>
      <c r="AT4" s="35">
        <v>44935</v>
      </c>
      <c r="AU4" s="36"/>
      <c r="AV4" s="37">
        <v>44882</v>
      </c>
      <c r="AW4" s="38"/>
      <c r="AX4" s="38"/>
      <c r="AY4" s="38"/>
      <c r="AZ4" s="38"/>
      <c r="BA4" s="38"/>
      <c r="BB4" s="38"/>
      <c r="BC4" s="38"/>
      <c r="BD4" s="38"/>
      <c r="BE4" s="38"/>
      <c r="BF4" s="38"/>
      <c r="BG4" s="38"/>
      <c r="BH4" s="39"/>
      <c r="BI4" s="39"/>
      <c r="BJ4" s="39"/>
      <c r="BK4" s="39"/>
      <c r="BL4" s="39"/>
      <c r="BM4" s="39"/>
      <c r="BN4" s="39"/>
      <c r="BO4" s="39"/>
      <c r="BP4" s="39"/>
      <c r="BQ4" s="39"/>
      <c r="BR4" s="39"/>
      <c r="BS4" s="39"/>
      <c r="BT4" s="39"/>
      <c r="BU4" s="39"/>
      <c r="BV4" s="39"/>
      <c r="BW4" s="39"/>
      <c r="IQ4" s="39"/>
      <c r="IR4" s="39"/>
      <c r="IS4" s="39"/>
      <c r="IT4" s="39"/>
      <c r="IU4" s="39"/>
      <c r="IV4" s="39"/>
      <c r="IW4" s="39"/>
    </row>
    <row r="5" spans="1:257" s="2" customFormat="1" ht="89.25">
      <c r="B5" s="40">
        <v>3</v>
      </c>
      <c r="C5" s="41">
        <v>549038</v>
      </c>
      <c r="D5" s="42">
        <v>44923</v>
      </c>
      <c r="E5" s="43" t="s">
        <v>46</v>
      </c>
      <c r="F5" s="15">
        <v>109</v>
      </c>
      <c r="G5" s="15">
        <v>101082</v>
      </c>
      <c r="H5" s="15">
        <v>2631</v>
      </c>
      <c r="I5" s="16"/>
      <c r="J5" s="16"/>
      <c r="K5" s="16">
        <v>712</v>
      </c>
      <c r="L5" s="16">
        <v>13</v>
      </c>
      <c r="M5" s="16" t="s">
        <v>47</v>
      </c>
      <c r="N5" s="16" t="s">
        <v>48</v>
      </c>
      <c r="O5" s="16" t="s">
        <v>49</v>
      </c>
      <c r="P5" s="16"/>
      <c r="Q5" s="16" t="s">
        <v>50</v>
      </c>
      <c r="R5" s="16"/>
      <c r="S5" s="16"/>
      <c r="T5" s="16"/>
      <c r="U5" s="16">
        <v>2</v>
      </c>
      <c r="V5" s="17"/>
      <c r="W5" s="16"/>
      <c r="X5" s="16"/>
      <c r="Y5" s="16" t="s">
        <v>44</v>
      </c>
      <c r="Z5" s="18">
        <f>3+2</f>
        <v>5</v>
      </c>
      <c r="AA5" s="19"/>
      <c r="AB5" s="20">
        <f>+Z5+1+1</f>
        <v>7</v>
      </c>
      <c r="AC5" s="19"/>
      <c r="AD5" s="20">
        <f>+Z5*2</f>
        <v>10</v>
      </c>
      <c r="AE5" s="19"/>
      <c r="AF5" s="16"/>
      <c r="AG5" s="16"/>
      <c r="AH5" s="16">
        <f>131.02+44.18/2</f>
        <v>153.11000000000001</v>
      </c>
      <c r="AI5" s="16"/>
      <c r="AJ5" s="17"/>
      <c r="AK5" s="21"/>
      <c r="AL5" s="22">
        <v>372</v>
      </c>
      <c r="AM5" s="22">
        <f>+(131.02+44.18)/AL5</f>
        <v>0.47096774193548391</v>
      </c>
      <c r="AN5" s="22">
        <f>+AH5/AL5</f>
        <v>0.41158602150537638</v>
      </c>
      <c r="AO5" s="22"/>
      <c r="AP5" s="22">
        <f>+(2*33123+26491*3+13*19871+11*13249)/29*AH5</f>
        <v>2902654.1003448279</v>
      </c>
      <c r="AQ5" s="23">
        <v>42696.35</v>
      </c>
      <c r="AR5" s="22" t="s">
        <v>51</v>
      </c>
      <c r="AS5" s="23" t="s">
        <v>52</v>
      </c>
      <c r="AT5" s="44">
        <v>44936</v>
      </c>
      <c r="AU5" s="24"/>
      <c r="AV5" s="45">
        <v>44925</v>
      </c>
      <c r="AW5" s="13"/>
      <c r="AX5" s="13"/>
      <c r="AY5" s="13"/>
      <c r="AZ5" s="13"/>
      <c r="BA5" s="13"/>
      <c r="BB5" s="13"/>
      <c r="BC5" s="13"/>
      <c r="BD5" s="13"/>
      <c r="BE5" s="13"/>
      <c r="BF5" s="13"/>
      <c r="BG5" s="13"/>
      <c r="BH5" s="14"/>
      <c r="BI5" s="14"/>
      <c r="BJ5" s="14"/>
      <c r="BK5" s="14"/>
      <c r="BL5" s="14"/>
      <c r="BM5" s="14"/>
      <c r="BN5" s="14"/>
      <c r="BO5" s="14"/>
      <c r="BP5" s="14"/>
      <c r="BQ5" s="14"/>
      <c r="BR5" s="14"/>
      <c r="BS5" s="14"/>
      <c r="BT5" s="14"/>
      <c r="BU5" s="14"/>
      <c r="BV5" s="14"/>
      <c r="BW5" s="14"/>
      <c r="IQ5" s="14"/>
      <c r="IR5" s="14"/>
      <c r="IS5" s="14"/>
      <c r="IT5" s="14"/>
      <c r="IU5" s="14"/>
      <c r="IV5" s="14"/>
      <c r="IW5" s="14"/>
    </row>
    <row r="6" spans="1:257" s="25" customFormat="1" ht="114.75">
      <c r="B6" s="26">
        <v>4</v>
      </c>
      <c r="C6" s="46" t="s">
        <v>53</v>
      </c>
      <c r="D6" s="47">
        <v>44878</v>
      </c>
      <c r="E6" s="48" t="s">
        <v>46</v>
      </c>
      <c r="F6" s="30">
        <v>53935</v>
      </c>
      <c r="G6" s="30">
        <v>163261</v>
      </c>
      <c r="H6" s="30">
        <v>33340</v>
      </c>
      <c r="I6" s="31">
        <v>330</v>
      </c>
      <c r="J6" s="31"/>
      <c r="K6" s="31">
        <v>1</v>
      </c>
      <c r="L6" s="31">
        <v>2</v>
      </c>
      <c r="M6" s="31" t="s">
        <v>54</v>
      </c>
      <c r="N6" s="31" t="s">
        <v>55</v>
      </c>
      <c r="O6" s="31" t="s">
        <v>56</v>
      </c>
      <c r="P6" s="31"/>
      <c r="Q6" s="31" t="s">
        <v>34</v>
      </c>
      <c r="R6" s="31"/>
      <c r="S6" s="31"/>
      <c r="T6" s="31"/>
      <c r="U6" s="31">
        <v>2</v>
      </c>
      <c r="V6" s="31"/>
      <c r="W6" s="31"/>
      <c r="X6" s="31"/>
      <c r="Y6" s="16" t="s">
        <v>44</v>
      </c>
      <c r="Z6" s="32">
        <v>2</v>
      </c>
      <c r="AA6" s="32"/>
      <c r="AB6" s="32">
        <f>+Z6+1+1+1+1</f>
        <v>6</v>
      </c>
      <c r="AC6" s="32"/>
      <c r="AD6" s="32">
        <f>+Z6*2</f>
        <v>4</v>
      </c>
      <c r="AE6" s="32"/>
      <c r="AF6" s="31">
        <f>28.64/2+147.28+5.19/2+4.44/2+44.88</f>
        <v>211.29499999999999</v>
      </c>
      <c r="AG6" s="31"/>
      <c r="AH6" s="31">
        <f>8.67+14.54/2+14.6+39.32+10.54/2+13.37</f>
        <v>88.5</v>
      </c>
      <c r="AI6" s="31"/>
      <c r="AJ6" s="31"/>
      <c r="AK6" s="33"/>
      <c r="AL6" s="33">
        <v>828.74</v>
      </c>
      <c r="AM6" s="33">
        <f>+(8.67+26.84+14.54+4.44+147.28+5.19)/AL6</f>
        <v>0.24972850351135456</v>
      </c>
      <c r="AN6" s="33">
        <f>+(AF6+AH6)/AL6</f>
        <v>0.36174795472645216</v>
      </c>
      <c r="AO6" s="33"/>
      <c r="AP6" s="33">
        <f>+(7*26491+6*19871+7*13249)/20*AH6</f>
        <v>1758521.55</v>
      </c>
      <c r="AQ6" s="34">
        <v>45575.33</v>
      </c>
      <c r="AR6" s="33" t="s">
        <v>57</v>
      </c>
      <c r="AS6" s="34" t="s">
        <v>58</v>
      </c>
      <c r="AT6" s="35">
        <v>44572</v>
      </c>
      <c r="AU6" s="36"/>
      <c r="AV6" s="37">
        <v>44931</v>
      </c>
      <c r="AW6" s="38"/>
      <c r="AX6" s="38"/>
      <c r="AY6" s="38"/>
      <c r="AZ6" s="38"/>
      <c r="BA6" s="38"/>
      <c r="BB6" s="38"/>
      <c r="BC6" s="38"/>
      <c r="BD6" s="38"/>
      <c r="BE6" s="38"/>
      <c r="BF6" s="38"/>
      <c r="BG6" s="38"/>
      <c r="BH6" s="39"/>
      <c r="BI6" s="39"/>
      <c r="BJ6" s="39"/>
      <c r="BK6" s="39"/>
      <c r="BL6" s="39"/>
      <c r="BM6" s="39"/>
      <c r="BN6" s="39"/>
      <c r="BO6" s="39"/>
      <c r="BP6" s="39"/>
      <c r="BQ6" s="39"/>
      <c r="BR6" s="39"/>
      <c r="BS6" s="39"/>
      <c r="BT6" s="39"/>
      <c r="BU6" s="39"/>
      <c r="BV6" s="39"/>
      <c r="BW6" s="39"/>
      <c r="IQ6" s="39"/>
      <c r="IR6" s="39"/>
      <c r="IS6" s="39"/>
      <c r="IT6" s="39"/>
      <c r="IU6" s="39"/>
      <c r="IV6" s="39"/>
      <c r="IW6" s="39"/>
    </row>
    <row r="7" spans="1:257" s="2" customFormat="1" ht="51">
      <c r="B7" s="40">
        <v>5</v>
      </c>
      <c r="C7" s="41">
        <v>549912</v>
      </c>
      <c r="D7" s="42">
        <v>44917</v>
      </c>
      <c r="E7" s="43" t="s">
        <v>46</v>
      </c>
      <c r="F7" s="15">
        <v>20777</v>
      </c>
      <c r="G7" s="15">
        <v>43</v>
      </c>
      <c r="H7" s="15">
        <v>1291</v>
      </c>
      <c r="I7" s="16"/>
      <c r="J7" s="16"/>
      <c r="K7" s="16">
        <v>117</v>
      </c>
      <c r="L7" s="16">
        <v>5</v>
      </c>
      <c r="M7" s="16" t="s">
        <v>40</v>
      </c>
      <c r="N7" s="16" t="s">
        <v>59</v>
      </c>
      <c r="O7" s="16" t="s">
        <v>60</v>
      </c>
      <c r="P7" s="16"/>
      <c r="Q7" s="16" t="s">
        <v>61</v>
      </c>
      <c r="R7" s="16"/>
      <c r="S7" s="16"/>
      <c r="T7" s="16"/>
      <c r="U7" s="16">
        <v>1</v>
      </c>
      <c r="V7" s="17"/>
      <c r="W7" s="16"/>
      <c r="X7" s="16"/>
      <c r="Y7" s="16" t="s">
        <v>62</v>
      </c>
      <c r="Z7" s="18"/>
      <c r="AA7" s="19"/>
      <c r="AB7" s="20"/>
      <c r="AC7" s="19"/>
      <c r="AD7" s="20"/>
      <c r="AE7" s="19"/>
      <c r="AF7" s="16"/>
      <c r="AG7" s="16"/>
      <c r="AH7" s="16"/>
      <c r="AI7" s="16">
        <f>130.81+3.57/2</f>
        <v>132.595</v>
      </c>
      <c r="AJ7" s="17"/>
      <c r="AK7" s="21"/>
      <c r="AL7" s="22">
        <v>391.5</v>
      </c>
      <c r="AM7" s="22">
        <f>+(130.81+3.57)/AL7</f>
        <v>0.34324393358876115</v>
      </c>
      <c r="AN7" s="22">
        <f>+AI7/AL7</f>
        <v>0.33868454661558112</v>
      </c>
      <c r="AO7" s="22"/>
      <c r="AP7" s="22">
        <f>+AI7*31052</f>
        <v>4117339.94</v>
      </c>
      <c r="AQ7" s="22">
        <v>59252.18</v>
      </c>
      <c r="AR7" s="22" t="s">
        <v>51</v>
      </c>
      <c r="AS7" s="23" t="s">
        <v>63</v>
      </c>
      <c r="AT7" s="44">
        <v>44573</v>
      </c>
      <c r="AU7" s="24"/>
      <c r="AV7" s="45">
        <v>44924</v>
      </c>
      <c r="AW7" s="13"/>
      <c r="AX7" s="13"/>
      <c r="AY7" s="13"/>
      <c r="AZ7" s="13"/>
      <c r="BA7" s="13"/>
      <c r="BB7" s="13"/>
      <c r="BC7" s="13"/>
      <c r="BD7" s="13"/>
      <c r="BE7" s="13"/>
      <c r="BF7" s="13"/>
      <c r="BG7" s="13"/>
      <c r="BH7" s="14"/>
      <c r="BI7" s="14"/>
      <c r="BJ7" s="14"/>
      <c r="BK7" s="14"/>
      <c r="BL7" s="14"/>
      <c r="BM7" s="14"/>
      <c r="BN7" s="14"/>
      <c r="BO7" s="14"/>
      <c r="BP7" s="14"/>
      <c r="BQ7" s="14"/>
      <c r="BR7" s="14"/>
      <c r="BS7" s="14"/>
      <c r="BT7" s="14"/>
      <c r="BU7" s="14"/>
      <c r="BV7" s="14"/>
      <c r="BW7" s="14"/>
      <c r="IQ7" s="14"/>
      <c r="IR7" s="14"/>
      <c r="IS7" s="14"/>
      <c r="IT7" s="14"/>
      <c r="IU7" s="14"/>
      <c r="IV7" s="14"/>
      <c r="IW7" s="14"/>
    </row>
    <row r="8" spans="1:257" s="2" customFormat="1" ht="25.5">
      <c r="B8" s="49">
        <v>6</v>
      </c>
      <c r="C8" s="41" t="s">
        <v>64</v>
      </c>
      <c r="D8" s="50">
        <v>44900</v>
      </c>
      <c r="E8" s="51" t="s">
        <v>65</v>
      </c>
      <c r="F8" s="15">
        <v>50801</v>
      </c>
      <c r="G8" s="15">
        <v>160764</v>
      </c>
      <c r="H8" s="15">
        <v>9646</v>
      </c>
      <c r="I8" s="16"/>
      <c r="J8" s="16"/>
      <c r="K8" s="4">
        <v>508</v>
      </c>
      <c r="L8" s="16">
        <v>19</v>
      </c>
      <c r="M8" s="4" t="s">
        <v>66</v>
      </c>
      <c r="N8" s="16" t="s">
        <v>67</v>
      </c>
      <c r="O8" s="16" t="s">
        <v>68</v>
      </c>
      <c r="P8" s="16"/>
      <c r="Q8" s="16" t="s">
        <v>69</v>
      </c>
      <c r="R8" s="16" t="s">
        <v>69</v>
      </c>
      <c r="S8" s="16" t="s">
        <v>69</v>
      </c>
      <c r="T8" s="16" t="s">
        <v>70</v>
      </c>
      <c r="U8" s="16"/>
      <c r="V8" s="17">
        <v>1</v>
      </c>
      <c r="W8" s="16"/>
      <c r="X8" s="16"/>
      <c r="Y8" s="16" t="s">
        <v>71</v>
      </c>
      <c r="Z8" s="18"/>
      <c r="AA8" s="19">
        <v>3</v>
      </c>
      <c r="AB8" s="20"/>
      <c r="AC8" s="19">
        <f>+AA8+1</f>
        <v>4</v>
      </c>
      <c r="AD8" s="20"/>
      <c r="AE8" s="19">
        <f>+AA8*2</f>
        <v>6</v>
      </c>
      <c r="AF8" s="16"/>
      <c r="AG8" s="16"/>
      <c r="AH8" s="16"/>
      <c r="AI8" s="16"/>
      <c r="AJ8" s="17">
        <f>73.93+18.94/2</f>
        <v>83.4</v>
      </c>
      <c r="AK8" s="21"/>
      <c r="AL8" s="22">
        <v>316.26</v>
      </c>
      <c r="AM8" s="22">
        <f>+(73.93+18.94)/AL8</f>
        <v>0.29365079365079366</v>
      </c>
      <c r="AN8" s="22">
        <f>+AJ8/AL8</f>
        <v>0.26370707645608049</v>
      </c>
      <c r="AO8" s="22">
        <f>+(2+24)/(1+8)</f>
        <v>2.8888888888888888</v>
      </c>
      <c r="AP8" s="22">
        <f>+(7*33123+26491*5+6*19871+13249)/19*AJ8</f>
        <v>2180651.021052632</v>
      </c>
      <c r="AQ8" s="23">
        <v>9100</v>
      </c>
      <c r="AR8" s="22" t="s">
        <v>57</v>
      </c>
      <c r="AS8" s="23" t="s">
        <v>72</v>
      </c>
      <c r="AT8" s="44">
        <v>44938</v>
      </c>
      <c r="AU8" s="24"/>
      <c r="AV8" s="45">
        <v>44930</v>
      </c>
      <c r="AW8" s="13"/>
      <c r="AX8" s="13"/>
      <c r="AY8" s="13"/>
      <c r="AZ8" s="13"/>
      <c r="BA8" s="13"/>
      <c r="BB8" s="13"/>
      <c r="BC8" s="13"/>
      <c r="BD8" s="13"/>
      <c r="BE8" s="13"/>
      <c r="BF8" s="13"/>
      <c r="BG8" s="13"/>
      <c r="BH8" s="14"/>
      <c r="BI8" s="14"/>
      <c r="BJ8" s="14"/>
      <c r="BK8" s="14"/>
      <c r="BL8" s="14"/>
      <c r="BM8" s="14"/>
      <c r="BN8" s="14"/>
      <c r="BO8" s="14"/>
      <c r="BP8" s="14"/>
      <c r="BQ8" s="14"/>
      <c r="BR8" s="14"/>
      <c r="BS8" s="14"/>
      <c r="BT8" s="14"/>
      <c r="BU8" s="14"/>
      <c r="BV8" s="14"/>
      <c r="BW8" s="14"/>
      <c r="IQ8" s="14"/>
      <c r="IR8" s="14"/>
      <c r="IS8" s="14"/>
      <c r="IT8" s="14"/>
      <c r="IU8" s="14"/>
      <c r="IV8" s="14"/>
      <c r="IW8" s="14"/>
    </row>
    <row r="9" spans="1:257" s="2" customFormat="1" ht="102">
      <c r="B9" s="174">
        <v>7</v>
      </c>
      <c r="C9" s="1" t="s">
        <v>73</v>
      </c>
      <c r="D9" s="178">
        <v>44824</v>
      </c>
      <c r="E9" s="179" t="s">
        <v>46</v>
      </c>
      <c r="F9" s="15">
        <v>42437</v>
      </c>
      <c r="G9" s="15">
        <v>137943</v>
      </c>
      <c r="H9" s="15">
        <v>31777</v>
      </c>
      <c r="I9" s="180">
        <v>355</v>
      </c>
      <c r="J9" s="16"/>
      <c r="K9" s="180">
        <v>6</v>
      </c>
      <c r="L9" s="16">
        <v>5</v>
      </c>
      <c r="M9" s="180" t="s">
        <v>54</v>
      </c>
      <c r="N9" s="16" t="s">
        <v>74</v>
      </c>
      <c r="O9" s="180" t="s">
        <v>75</v>
      </c>
      <c r="P9" s="16"/>
      <c r="Q9" s="180" t="s">
        <v>76</v>
      </c>
      <c r="R9" s="16"/>
      <c r="S9" s="16"/>
      <c r="T9" s="16"/>
      <c r="U9" s="16"/>
      <c r="V9" s="17"/>
      <c r="W9" s="16"/>
      <c r="X9" s="16"/>
      <c r="Y9" s="180" t="s">
        <v>44</v>
      </c>
      <c r="Z9" s="18"/>
      <c r="AA9" s="19"/>
      <c r="AB9" s="20"/>
      <c r="AC9" s="19"/>
      <c r="AD9" s="20"/>
      <c r="AE9" s="19"/>
      <c r="AF9" s="16">
        <f>138.95+21.55/2+14.86</f>
        <v>164.58499999999998</v>
      </c>
      <c r="AG9" s="16"/>
      <c r="AH9" s="16"/>
      <c r="AI9" s="16"/>
      <c r="AJ9" s="17"/>
      <c r="AK9" s="21"/>
      <c r="AL9" s="22">
        <v>448.5</v>
      </c>
      <c r="AM9" s="22">
        <f>+(138.95+21.55)/AL9</f>
        <v>0.35785953177257523</v>
      </c>
      <c r="AN9" s="22">
        <f>+AF9/AL9</f>
        <v>0.36696767001114822</v>
      </c>
      <c r="AO9" s="22"/>
      <c r="AP9" s="22"/>
      <c r="AQ9" s="180">
        <v>36247.599999999999</v>
      </c>
      <c r="AR9" s="181" t="s">
        <v>77</v>
      </c>
      <c r="AS9" s="180" t="s">
        <v>78</v>
      </c>
      <c r="AT9" s="182">
        <v>44939</v>
      </c>
      <c r="AU9" s="24"/>
      <c r="AV9" s="45">
        <v>44930</v>
      </c>
      <c r="AW9" s="13"/>
      <c r="AX9" s="13"/>
      <c r="AY9" s="13"/>
      <c r="AZ9" s="13"/>
      <c r="BA9" s="13"/>
      <c r="BB9" s="13"/>
      <c r="BC9" s="13"/>
      <c r="BD9" s="13"/>
      <c r="BE9" s="13"/>
      <c r="BF9" s="13"/>
      <c r="BG9" s="13"/>
      <c r="BH9" s="14"/>
      <c r="BI9" s="14"/>
      <c r="BJ9" s="14"/>
      <c r="BK9" s="14"/>
      <c r="BL9" s="14"/>
      <c r="BM9" s="14"/>
      <c r="BN9" s="14"/>
      <c r="BO9" s="14"/>
      <c r="BP9" s="14"/>
      <c r="BQ9" s="14"/>
      <c r="BR9" s="14"/>
      <c r="BS9" s="14"/>
      <c r="BT9" s="14"/>
      <c r="BU9" s="14"/>
      <c r="BV9" s="14"/>
      <c r="BW9" s="14"/>
      <c r="IQ9" s="14"/>
      <c r="IR9" s="14"/>
      <c r="IS9" s="14"/>
      <c r="IT9" s="14"/>
      <c r="IU9" s="14"/>
      <c r="IV9" s="14"/>
      <c r="IW9" s="14"/>
    </row>
    <row r="10" spans="1:257" s="2" customFormat="1" ht="38.25">
      <c r="B10" s="174"/>
      <c r="C10" s="63"/>
      <c r="D10" s="175"/>
      <c r="E10" s="51"/>
      <c r="F10" s="15">
        <v>42436</v>
      </c>
      <c r="G10" s="15">
        <v>140593</v>
      </c>
      <c r="H10" s="15">
        <v>31805</v>
      </c>
      <c r="I10" s="4"/>
      <c r="J10" s="16"/>
      <c r="K10" s="4"/>
      <c r="L10" s="16">
        <v>4</v>
      </c>
      <c r="M10" s="4"/>
      <c r="N10" s="16" t="s">
        <v>79</v>
      </c>
      <c r="O10" s="4"/>
      <c r="P10" s="16"/>
      <c r="Q10" s="4"/>
      <c r="R10" s="16"/>
      <c r="S10" s="16"/>
      <c r="T10" s="16"/>
      <c r="U10" s="16"/>
      <c r="V10" s="17"/>
      <c r="W10" s="16"/>
      <c r="X10" s="16"/>
      <c r="Y10" s="4"/>
      <c r="Z10" s="18"/>
      <c r="AA10" s="19"/>
      <c r="AB10" s="20"/>
      <c r="AC10" s="19"/>
      <c r="AD10" s="20"/>
      <c r="AE10" s="19"/>
      <c r="AF10" s="16">
        <f>44.63+27.84/2+58.48</f>
        <v>117.03</v>
      </c>
      <c r="AG10" s="16"/>
      <c r="AH10" s="16">
        <f>100.3+5.7+0</f>
        <v>106</v>
      </c>
      <c r="AI10" s="16"/>
      <c r="AJ10" s="17"/>
      <c r="AK10" s="21"/>
      <c r="AL10" s="22">
        <v>448.5</v>
      </c>
      <c r="AM10" s="22">
        <f>+(100.3+44.63+27.84)/AL10</f>
        <v>0.38521739130434784</v>
      </c>
      <c r="AN10" s="22">
        <f>+(AF10+AH10)/AL10</f>
        <v>0.49727982162764772</v>
      </c>
      <c r="AO10" s="22"/>
      <c r="AP10" s="22"/>
      <c r="AQ10" s="4"/>
      <c r="AR10" s="10"/>
      <c r="AS10" s="4"/>
      <c r="AT10" s="176"/>
      <c r="AU10" s="24"/>
      <c r="AV10" s="45"/>
      <c r="AW10" s="13"/>
      <c r="AX10" s="13"/>
      <c r="AY10" s="13"/>
      <c r="AZ10" s="13"/>
      <c r="BA10" s="13"/>
      <c r="BB10" s="13"/>
      <c r="BC10" s="13"/>
      <c r="BD10" s="13"/>
      <c r="BE10" s="13"/>
      <c r="BF10" s="13"/>
      <c r="BG10" s="13"/>
      <c r="BH10" s="14"/>
      <c r="BI10" s="14"/>
      <c r="BJ10" s="14"/>
      <c r="BK10" s="14"/>
      <c r="BL10" s="14"/>
      <c r="BM10" s="14"/>
      <c r="BN10" s="14"/>
      <c r="BO10" s="14"/>
      <c r="BP10" s="14"/>
      <c r="BQ10" s="14"/>
      <c r="BR10" s="14"/>
      <c r="BS10" s="14"/>
      <c r="BT10" s="14"/>
      <c r="BU10" s="14"/>
      <c r="BV10" s="14"/>
      <c r="BW10" s="14"/>
      <c r="IQ10" s="14"/>
      <c r="IR10" s="14"/>
      <c r="IS10" s="14"/>
      <c r="IT10" s="14"/>
      <c r="IU10" s="14"/>
      <c r="IV10" s="14"/>
      <c r="IW10" s="14"/>
    </row>
    <row r="11" spans="1:257" s="2" customFormat="1" ht="25.5">
      <c r="B11" s="49">
        <v>8</v>
      </c>
      <c r="C11" s="41">
        <v>549056</v>
      </c>
      <c r="D11" s="42">
        <v>44923</v>
      </c>
      <c r="E11" s="43" t="s">
        <v>80</v>
      </c>
      <c r="F11" s="15">
        <v>5366</v>
      </c>
      <c r="G11" s="15">
        <v>621</v>
      </c>
      <c r="H11" s="15">
        <v>713</v>
      </c>
      <c r="I11" s="16"/>
      <c r="J11" s="16"/>
      <c r="K11" s="16">
        <v>76</v>
      </c>
      <c r="L11" s="16">
        <v>7</v>
      </c>
      <c r="M11" s="16" t="s">
        <v>40</v>
      </c>
      <c r="N11" s="16" t="s">
        <v>81</v>
      </c>
      <c r="O11" s="16" t="s">
        <v>82</v>
      </c>
      <c r="P11" s="16"/>
      <c r="Q11" s="16" t="s">
        <v>83</v>
      </c>
      <c r="R11" s="16" t="s">
        <v>83</v>
      </c>
      <c r="S11" s="16"/>
      <c r="T11" s="16" t="s">
        <v>84</v>
      </c>
      <c r="U11" s="16">
        <v>1</v>
      </c>
      <c r="V11" s="17"/>
      <c r="W11" s="16"/>
      <c r="X11" s="16"/>
      <c r="Y11" s="16" t="s">
        <v>62</v>
      </c>
      <c r="Z11" s="18"/>
      <c r="AA11" s="19"/>
      <c r="AB11" s="20"/>
      <c r="AC11" s="19"/>
      <c r="AD11" s="20"/>
      <c r="AE11" s="19"/>
      <c r="AF11" s="16">
        <f>150.8+19.15+118.4-AG11</f>
        <v>217.15000000000003</v>
      </c>
      <c r="AG11" s="16">
        <v>71.2</v>
      </c>
      <c r="AH11" s="16"/>
      <c r="AI11" s="16"/>
      <c r="AJ11" s="17"/>
      <c r="AK11" s="21"/>
      <c r="AL11" s="22">
        <v>513.12</v>
      </c>
      <c r="AM11" s="22">
        <f>+(150.8+19.19)/AL11</f>
        <v>0.33128702837542878</v>
      </c>
      <c r="AN11" s="22">
        <f>+(AF11+AG11)/AL11</f>
        <v>0.56195431867789214</v>
      </c>
      <c r="AO11" s="22"/>
      <c r="AP11" s="22">
        <v>530000</v>
      </c>
      <c r="AQ11" s="23">
        <v>8253</v>
      </c>
      <c r="AR11" s="22" t="s">
        <v>57</v>
      </c>
      <c r="AS11" s="23" t="s">
        <v>85</v>
      </c>
      <c r="AT11" s="44">
        <v>44943</v>
      </c>
      <c r="AU11" s="24"/>
      <c r="AV11" s="45">
        <v>44930</v>
      </c>
      <c r="AW11" s="13"/>
      <c r="AX11" s="13"/>
      <c r="AY11" s="13"/>
      <c r="AZ11" s="13"/>
      <c r="BA11" s="13"/>
      <c r="BB11" s="13"/>
      <c r="BC11" s="13"/>
      <c r="BD11" s="13"/>
      <c r="BE11" s="13"/>
      <c r="BF11" s="13"/>
      <c r="BG11" s="13"/>
      <c r="BH11" s="14"/>
      <c r="BI11" s="14"/>
      <c r="BJ11" s="14"/>
      <c r="BK11" s="14"/>
      <c r="BL11" s="14"/>
      <c r="BM11" s="14"/>
      <c r="BN11" s="14"/>
      <c r="BO11" s="14"/>
      <c r="BP11" s="14"/>
      <c r="BQ11" s="14"/>
      <c r="BR11" s="14"/>
      <c r="BS11" s="14"/>
      <c r="BT11" s="14"/>
      <c r="BU11" s="14"/>
      <c r="BV11" s="14"/>
      <c r="BW11" s="14"/>
      <c r="IQ11" s="14"/>
      <c r="IR11" s="14"/>
      <c r="IS11" s="14"/>
      <c r="IT11" s="14"/>
      <c r="IU11" s="14"/>
      <c r="IV11" s="14"/>
      <c r="IW11" s="14"/>
    </row>
    <row r="12" spans="1:257" s="2" customFormat="1" ht="51">
      <c r="B12" s="49">
        <v>9</v>
      </c>
      <c r="C12" s="41" t="s">
        <v>86</v>
      </c>
      <c r="D12" s="42">
        <v>44893</v>
      </c>
      <c r="E12" s="43" t="s">
        <v>87</v>
      </c>
      <c r="F12" s="52">
        <v>57292</v>
      </c>
      <c r="G12" s="15">
        <v>165734</v>
      </c>
      <c r="H12" s="15">
        <v>33700</v>
      </c>
      <c r="I12" s="16">
        <v>327</v>
      </c>
      <c r="J12" s="16"/>
      <c r="K12" s="16">
        <v>5</v>
      </c>
      <c r="L12" s="16">
        <v>7</v>
      </c>
      <c r="M12" s="16" t="s">
        <v>88</v>
      </c>
      <c r="N12" s="16" t="s">
        <v>89</v>
      </c>
      <c r="O12" s="16" t="s">
        <v>90</v>
      </c>
      <c r="P12" s="16"/>
      <c r="Q12" s="16" t="s">
        <v>91</v>
      </c>
      <c r="R12" s="16" t="s">
        <v>91</v>
      </c>
      <c r="S12" s="16" t="s">
        <v>92</v>
      </c>
      <c r="T12" s="16" t="s">
        <v>93</v>
      </c>
      <c r="U12" s="16">
        <v>1</v>
      </c>
      <c r="V12" s="17"/>
      <c r="W12" s="16"/>
      <c r="X12" s="16"/>
      <c r="Y12" s="16" t="s">
        <v>71</v>
      </c>
      <c r="Z12" s="18">
        <v>3</v>
      </c>
      <c r="AA12" s="19"/>
      <c r="AB12" s="20">
        <f>+Z12+1</f>
        <v>4</v>
      </c>
      <c r="AC12" s="19"/>
      <c r="AD12" s="20">
        <f>+Z12*2</f>
        <v>6</v>
      </c>
      <c r="AE12" s="19"/>
      <c r="AF12" s="16"/>
      <c r="AG12" s="16"/>
      <c r="AH12" s="16">
        <f>92.65+20.76/2</f>
        <v>103.03</v>
      </c>
      <c r="AI12" s="16"/>
      <c r="AJ12" s="17"/>
      <c r="AK12" s="21"/>
      <c r="AL12" s="22">
        <v>321</v>
      </c>
      <c r="AM12" s="22">
        <f>+(92.65+20.76)/AL12</f>
        <v>0.35330218068535829</v>
      </c>
      <c r="AN12" s="22">
        <f>+AH12/AL12</f>
        <v>0.3209657320872274</v>
      </c>
      <c r="AO12" s="22"/>
      <c r="AP12" s="22">
        <f>+(2*33123+26491*9+19871*4+7*13249)/22*AH12</f>
        <v>2233371.9436363638</v>
      </c>
      <c r="AQ12" s="23">
        <v>36827.81</v>
      </c>
      <c r="AR12" s="22" t="s">
        <v>57</v>
      </c>
      <c r="AS12" s="23" t="s">
        <v>94</v>
      </c>
      <c r="AT12" s="44">
        <v>44943</v>
      </c>
      <c r="AU12" s="24"/>
      <c r="AV12" s="23" t="s">
        <v>95</v>
      </c>
      <c r="AW12" s="13"/>
      <c r="AX12" s="13"/>
      <c r="AY12" s="13"/>
      <c r="AZ12" s="13"/>
      <c r="BA12" s="13"/>
      <c r="BB12" s="13"/>
      <c r="BC12" s="13"/>
      <c r="BD12" s="13"/>
      <c r="BE12" s="13"/>
      <c r="BF12" s="13"/>
      <c r="BG12" s="13"/>
      <c r="BH12" s="14"/>
      <c r="BI12" s="14"/>
      <c r="BJ12" s="14"/>
      <c r="BK12" s="14"/>
      <c r="BL12" s="14"/>
      <c r="BM12" s="14"/>
      <c r="BN12" s="14"/>
      <c r="BO12" s="14"/>
      <c r="BP12" s="14"/>
      <c r="BQ12" s="14"/>
      <c r="BR12" s="14"/>
      <c r="BS12" s="14"/>
      <c r="BT12" s="14"/>
      <c r="BU12" s="14"/>
      <c r="BV12" s="14"/>
      <c r="BW12" s="14"/>
      <c r="IQ12" s="14"/>
      <c r="IR12" s="14"/>
      <c r="IS12" s="14"/>
      <c r="IT12" s="14"/>
      <c r="IU12" s="14"/>
      <c r="IV12" s="14"/>
      <c r="IW12" s="14"/>
    </row>
    <row r="13" spans="1:257" s="2" customFormat="1" ht="102">
      <c r="B13" s="49">
        <v>10</v>
      </c>
      <c r="C13" s="41">
        <v>548969</v>
      </c>
      <c r="D13" s="42">
        <v>44922</v>
      </c>
      <c r="E13" s="43" t="s">
        <v>46</v>
      </c>
      <c r="F13" s="15">
        <v>27458</v>
      </c>
      <c r="G13" s="15">
        <v>120550</v>
      </c>
      <c r="H13" s="15">
        <v>6143</v>
      </c>
      <c r="I13" s="16"/>
      <c r="J13" s="16"/>
      <c r="K13" s="16">
        <v>167</v>
      </c>
      <c r="L13" s="16"/>
      <c r="M13" s="16" t="s">
        <v>96</v>
      </c>
      <c r="N13" s="16" t="s">
        <v>97</v>
      </c>
      <c r="O13" s="16" t="s">
        <v>98</v>
      </c>
      <c r="P13" s="16"/>
      <c r="Q13" s="16" t="s">
        <v>99</v>
      </c>
      <c r="R13" s="16"/>
      <c r="S13" s="16"/>
      <c r="T13" s="16"/>
      <c r="U13" s="16">
        <f>2+3</f>
        <v>5</v>
      </c>
      <c r="V13" s="17"/>
      <c r="W13" s="16"/>
      <c r="X13" s="16"/>
      <c r="Y13" s="16" t="s">
        <v>44</v>
      </c>
      <c r="Z13" s="18">
        <f>2+2+2+1+1</f>
        <v>8</v>
      </c>
      <c r="AA13" s="19"/>
      <c r="AB13" s="20">
        <f>+Z13+1+1+1+1+1</f>
        <v>13</v>
      </c>
      <c r="AC13" s="19"/>
      <c r="AD13" s="20">
        <f>+Z13*2</f>
        <v>16</v>
      </c>
      <c r="AE13" s="19"/>
      <c r="AF13" s="16">
        <f>111.75+28.5/2</f>
        <v>126</v>
      </c>
      <c r="AG13" s="16"/>
      <c r="AH13" s="16">
        <f>211.87+37.37/2</f>
        <v>230.55500000000001</v>
      </c>
      <c r="AI13" s="16"/>
      <c r="AJ13" s="17"/>
      <c r="AK13" s="21"/>
      <c r="AL13" s="22">
        <v>818.4</v>
      </c>
      <c r="AM13" s="22">
        <v>0.51</v>
      </c>
      <c r="AN13" s="22">
        <f>+(AF13+AH13)/AL13</f>
        <v>0.43567326490713587</v>
      </c>
      <c r="AO13" s="22">
        <f>+(1+2+12+12)/(1+1+4+3)</f>
        <v>3</v>
      </c>
      <c r="AP13" s="22">
        <f>1500000+((2*33423+5*26491+13871*5+8*13249)/20*AH13)</f>
        <v>5818848.4820000008</v>
      </c>
      <c r="AQ13" s="23">
        <v>146058.18</v>
      </c>
      <c r="AR13" s="22" t="s">
        <v>57</v>
      </c>
      <c r="AS13" s="23" t="s">
        <v>100</v>
      </c>
      <c r="AT13" s="44">
        <v>44944</v>
      </c>
      <c r="AU13" s="24"/>
      <c r="AV13" s="45">
        <v>44929</v>
      </c>
      <c r="AW13" s="13"/>
      <c r="AX13" s="13"/>
      <c r="AY13" s="13"/>
      <c r="AZ13" s="13"/>
      <c r="BA13" s="13"/>
      <c r="BB13" s="13"/>
      <c r="BC13" s="13"/>
      <c r="BD13" s="13"/>
      <c r="BE13" s="13"/>
      <c r="BF13" s="13"/>
      <c r="BG13" s="13"/>
      <c r="BH13" s="14"/>
      <c r="BI13" s="14"/>
      <c r="BJ13" s="14"/>
      <c r="BK13" s="14"/>
      <c r="BL13" s="14"/>
      <c r="BM13" s="14"/>
      <c r="BN13" s="14"/>
      <c r="BO13" s="14"/>
      <c r="BP13" s="14"/>
      <c r="BQ13" s="14"/>
      <c r="BR13" s="14"/>
      <c r="BS13" s="14"/>
      <c r="BT13" s="14"/>
      <c r="BU13" s="14"/>
      <c r="BV13" s="14"/>
      <c r="BW13" s="14"/>
      <c r="IQ13" s="14"/>
      <c r="IR13" s="14"/>
      <c r="IS13" s="14"/>
      <c r="IT13" s="14"/>
      <c r="IU13" s="14"/>
      <c r="IV13" s="14"/>
      <c r="IW13" s="14"/>
    </row>
    <row r="14" spans="1:257" s="2" customFormat="1" ht="38.25">
      <c r="B14" s="49">
        <v>11</v>
      </c>
      <c r="C14" s="41">
        <v>548366</v>
      </c>
      <c r="D14" s="50">
        <v>44896</v>
      </c>
      <c r="E14" s="51" t="s">
        <v>65</v>
      </c>
      <c r="F14" s="15">
        <v>55020</v>
      </c>
      <c r="G14" s="15">
        <v>164020</v>
      </c>
      <c r="H14" s="15">
        <v>10028</v>
      </c>
      <c r="I14" s="16"/>
      <c r="J14" s="16"/>
      <c r="K14" s="4">
        <v>154</v>
      </c>
      <c r="L14" s="16">
        <v>19</v>
      </c>
      <c r="M14" s="4" t="s">
        <v>101</v>
      </c>
      <c r="N14" s="16" t="s">
        <v>102</v>
      </c>
      <c r="O14" s="16" t="s">
        <v>103</v>
      </c>
      <c r="P14" s="16"/>
      <c r="Q14" s="16" t="s">
        <v>104</v>
      </c>
      <c r="R14" s="16" t="s">
        <v>104</v>
      </c>
      <c r="S14" s="16" t="s">
        <v>104</v>
      </c>
      <c r="T14" s="16" t="s">
        <v>105</v>
      </c>
      <c r="U14" s="16"/>
      <c r="V14" s="17">
        <v>1</v>
      </c>
      <c r="W14" s="16"/>
      <c r="X14" s="16"/>
      <c r="Y14" s="16" t="s">
        <v>106</v>
      </c>
      <c r="Z14" s="18"/>
      <c r="AA14" s="19">
        <v>3</v>
      </c>
      <c r="AB14" s="20"/>
      <c r="AC14" s="19">
        <f>+AA14+1</f>
        <v>4</v>
      </c>
      <c r="AD14" s="20"/>
      <c r="AE14" s="19">
        <f>+AA14*2</f>
        <v>6</v>
      </c>
      <c r="AF14" s="16"/>
      <c r="AG14" s="16"/>
      <c r="AH14" s="16"/>
      <c r="AI14" s="16"/>
      <c r="AJ14" s="17">
        <f>110.88+32.5/2</f>
        <v>127.13</v>
      </c>
      <c r="AK14" s="21"/>
      <c r="AL14" s="22">
        <v>135.29</v>
      </c>
      <c r="AM14" s="22">
        <f>+(43.33+32.5)/AL14</f>
        <v>0.56049966738118118</v>
      </c>
      <c r="AN14" s="22">
        <f>+AJ14/AL14</f>
        <v>0.93968512085150424</v>
      </c>
      <c r="AO14" s="22"/>
      <c r="AP14" s="22">
        <f>+(9*33123+26491*7+8*19871+13249*3)/27*AJ14</f>
        <v>3212429.1359259258</v>
      </c>
      <c r="AQ14" s="23">
        <v>12815.21</v>
      </c>
      <c r="AR14" s="22" t="s">
        <v>35</v>
      </c>
      <c r="AS14" s="23" t="s">
        <v>107</v>
      </c>
      <c r="AT14" s="44">
        <v>44944</v>
      </c>
      <c r="AU14" s="24"/>
      <c r="AV14" s="45" t="s">
        <v>108</v>
      </c>
      <c r="AW14" s="13"/>
      <c r="AX14" s="13"/>
      <c r="AY14" s="13"/>
      <c r="AZ14" s="13"/>
      <c r="BA14" s="13"/>
      <c r="BB14" s="13"/>
      <c r="BC14" s="13"/>
      <c r="BD14" s="13"/>
      <c r="BE14" s="13"/>
      <c r="BF14" s="13"/>
      <c r="BG14" s="13"/>
      <c r="BH14" s="14"/>
      <c r="BI14" s="14"/>
      <c r="BJ14" s="14"/>
      <c r="BK14" s="14"/>
      <c r="BL14" s="14"/>
      <c r="BM14" s="14"/>
      <c r="BN14" s="14"/>
      <c r="BO14" s="14"/>
      <c r="BP14" s="14"/>
      <c r="BQ14" s="14"/>
      <c r="BR14" s="14"/>
      <c r="BS14" s="14"/>
      <c r="BT14" s="14"/>
      <c r="BU14" s="14"/>
      <c r="BV14" s="14"/>
      <c r="BW14" s="14"/>
      <c r="IQ14" s="14"/>
      <c r="IR14" s="14"/>
      <c r="IS14" s="14"/>
      <c r="IT14" s="14"/>
      <c r="IU14" s="14"/>
      <c r="IV14" s="14"/>
      <c r="IW14" s="14"/>
    </row>
    <row r="15" spans="1:257" s="2" customFormat="1" ht="51">
      <c r="B15" s="49">
        <v>12</v>
      </c>
      <c r="C15" s="41" t="s">
        <v>109</v>
      </c>
      <c r="D15" s="50">
        <v>44907</v>
      </c>
      <c r="E15" s="51" t="s">
        <v>65</v>
      </c>
      <c r="F15" s="15">
        <v>57148</v>
      </c>
      <c r="G15" s="15">
        <v>90355</v>
      </c>
      <c r="H15" s="15">
        <v>33131</v>
      </c>
      <c r="I15" s="16">
        <v>330</v>
      </c>
      <c r="J15" s="16"/>
      <c r="K15" s="4">
        <v>2</v>
      </c>
      <c r="L15" s="16">
        <v>5</v>
      </c>
      <c r="M15" s="4" t="s">
        <v>110</v>
      </c>
      <c r="N15" s="16" t="s">
        <v>111</v>
      </c>
      <c r="O15" s="16" t="s">
        <v>112</v>
      </c>
      <c r="P15" s="16"/>
      <c r="Q15" s="16" t="s">
        <v>113</v>
      </c>
      <c r="R15" s="16" t="s">
        <v>113</v>
      </c>
      <c r="S15" s="16" t="s">
        <v>113</v>
      </c>
      <c r="T15" s="16" t="s">
        <v>114</v>
      </c>
      <c r="U15" s="16"/>
      <c r="V15" s="17">
        <v>1</v>
      </c>
      <c r="W15" s="16"/>
      <c r="X15" s="16"/>
      <c r="Y15" s="16" t="s">
        <v>71</v>
      </c>
      <c r="Z15" s="18"/>
      <c r="AA15" s="19">
        <v>2</v>
      </c>
      <c r="AB15" s="20"/>
      <c r="AC15" s="19">
        <f>+AA15+1</f>
        <v>3</v>
      </c>
      <c r="AD15" s="20"/>
      <c r="AE15" s="19">
        <f>+AA15*2</f>
        <v>4</v>
      </c>
      <c r="AF15" s="16"/>
      <c r="AG15" s="16"/>
      <c r="AH15" s="16"/>
      <c r="AI15" s="16"/>
      <c r="AJ15" s="17">
        <f>103.66+33.46</f>
        <v>137.12</v>
      </c>
      <c r="AK15" s="21"/>
      <c r="AL15" s="22">
        <v>808</v>
      </c>
      <c r="AM15" s="22">
        <f>+(103.66+33.46*2)/AL15</f>
        <v>0.21111386138613861</v>
      </c>
      <c r="AN15" s="22">
        <f>+AJ15/AL15</f>
        <v>0.16970297029702971</v>
      </c>
      <c r="AO15" s="22"/>
      <c r="AP15" s="22">
        <f>+(11*26491+4*19871+13249*4)/20*AJ15</f>
        <v>2906128.1359999999</v>
      </c>
      <c r="AQ15" s="23">
        <v>14021.58</v>
      </c>
      <c r="AR15" s="22" t="s">
        <v>115</v>
      </c>
      <c r="AS15" s="23" t="s">
        <v>116</v>
      </c>
      <c r="AT15" s="44">
        <v>44945</v>
      </c>
      <c r="AU15" s="24"/>
      <c r="AV15" s="45">
        <v>44939</v>
      </c>
      <c r="AW15" s="13"/>
      <c r="AX15" s="13"/>
      <c r="AY15" s="13"/>
      <c r="AZ15" s="13"/>
      <c r="BA15" s="13"/>
      <c r="BB15" s="13"/>
      <c r="BC15" s="13"/>
      <c r="BD15" s="13"/>
      <c r="BE15" s="13"/>
      <c r="BF15" s="13"/>
      <c r="BG15" s="13"/>
      <c r="BH15" s="14"/>
      <c r="BI15" s="14"/>
      <c r="BJ15" s="14"/>
      <c r="BK15" s="14"/>
      <c r="BL15" s="14"/>
      <c r="BM15" s="14"/>
      <c r="BN15" s="14"/>
      <c r="BO15" s="14"/>
      <c r="BP15" s="14"/>
      <c r="BQ15" s="14"/>
      <c r="BR15" s="14"/>
      <c r="BS15" s="14"/>
      <c r="BT15" s="14"/>
      <c r="BU15" s="14"/>
      <c r="BV15" s="14"/>
      <c r="BW15" s="14"/>
      <c r="IQ15" s="14"/>
      <c r="IR15" s="14"/>
      <c r="IS15" s="14"/>
      <c r="IT15" s="14"/>
      <c r="IU15" s="14"/>
      <c r="IV15" s="14"/>
      <c r="IW15" s="14"/>
    </row>
    <row r="16" spans="1:257" s="2" customFormat="1" ht="51">
      <c r="B16" s="49">
        <v>13</v>
      </c>
      <c r="C16" s="41">
        <v>548986</v>
      </c>
      <c r="D16" s="42">
        <v>44922</v>
      </c>
      <c r="E16" s="43" t="s">
        <v>117</v>
      </c>
      <c r="F16" s="15">
        <v>341</v>
      </c>
      <c r="G16" s="15">
        <v>1574</v>
      </c>
      <c r="H16" s="15">
        <v>156</v>
      </c>
      <c r="I16" s="16"/>
      <c r="J16" s="16"/>
      <c r="K16" s="16">
        <v>50</v>
      </c>
      <c r="L16" s="16">
        <v>4</v>
      </c>
      <c r="M16" s="16" t="s">
        <v>40</v>
      </c>
      <c r="N16" s="16" t="s">
        <v>118</v>
      </c>
      <c r="O16" s="16" t="s">
        <v>119</v>
      </c>
      <c r="P16" s="16"/>
      <c r="Q16" s="16" t="s">
        <v>120</v>
      </c>
      <c r="R16" s="16"/>
      <c r="S16" s="16"/>
      <c r="T16" s="16"/>
      <c r="U16" s="16"/>
      <c r="V16" s="17"/>
      <c r="W16" s="16"/>
      <c r="X16" s="16"/>
      <c r="Y16" s="16" t="s">
        <v>62</v>
      </c>
      <c r="Z16" s="18"/>
      <c r="AA16" s="19"/>
      <c r="AB16" s="20"/>
      <c r="AC16" s="19"/>
      <c r="AD16" s="20"/>
      <c r="AE16" s="19"/>
      <c r="AF16" s="16"/>
      <c r="AG16" s="16"/>
      <c r="AH16" s="31">
        <v>151.5</v>
      </c>
      <c r="AI16" s="16">
        <v>12.64</v>
      </c>
      <c r="AJ16" s="17"/>
      <c r="AK16" s="21">
        <f>123+105</f>
        <v>228</v>
      </c>
      <c r="AL16" s="22">
        <v>256.43</v>
      </c>
      <c r="AM16" s="22">
        <f>+(123+150.5+12.64)/AL16</f>
        <v>1.1158600787739343</v>
      </c>
      <c r="AN16" s="22">
        <f>+(AH16+AI16+AK16)/AL16</f>
        <v>1.5292282494247942</v>
      </c>
      <c r="AO16" s="22"/>
      <c r="AP16" s="22">
        <v>60000</v>
      </c>
      <c r="AQ16" s="23">
        <v>72558.850000000006</v>
      </c>
      <c r="AR16" s="22" t="s">
        <v>57</v>
      </c>
      <c r="AS16" s="23" t="s">
        <v>121</v>
      </c>
      <c r="AT16" s="44">
        <v>44951</v>
      </c>
      <c r="AU16" s="24"/>
      <c r="AV16" s="45">
        <v>44925</v>
      </c>
      <c r="AW16" s="13"/>
      <c r="AX16" s="13"/>
      <c r="AY16" s="13"/>
      <c r="AZ16" s="13"/>
      <c r="BA16" s="13"/>
      <c r="BB16" s="13"/>
      <c r="BC16" s="13"/>
      <c r="BD16" s="13"/>
      <c r="BE16" s="13"/>
      <c r="BF16" s="13"/>
      <c r="BG16" s="13"/>
      <c r="BH16" s="14"/>
      <c r="BI16" s="14"/>
      <c r="BJ16" s="14"/>
      <c r="BK16" s="14"/>
      <c r="BL16" s="14"/>
      <c r="BM16" s="14"/>
      <c r="BN16" s="14"/>
      <c r="BO16" s="14"/>
      <c r="BP16" s="14"/>
      <c r="BQ16" s="14"/>
      <c r="BR16" s="14"/>
      <c r="BS16" s="14"/>
      <c r="BT16" s="14"/>
      <c r="BU16" s="14"/>
      <c r="BV16" s="14"/>
      <c r="BW16" s="14"/>
      <c r="IQ16" s="14"/>
      <c r="IR16" s="14"/>
      <c r="IS16" s="14"/>
      <c r="IT16" s="14"/>
      <c r="IU16" s="14"/>
      <c r="IV16" s="14"/>
      <c r="IW16" s="14"/>
    </row>
    <row r="17" spans="2:257" s="25" customFormat="1" ht="63.75">
      <c r="B17" s="49">
        <v>14</v>
      </c>
      <c r="C17" s="46">
        <v>538380</v>
      </c>
      <c r="D17" s="47">
        <v>44545</v>
      </c>
      <c r="E17" s="48" t="s">
        <v>39</v>
      </c>
      <c r="F17" s="30">
        <v>56015</v>
      </c>
      <c r="G17" s="30">
        <v>579</v>
      </c>
      <c r="H17" s="30">
        <v>4586</v>
      </c>
      <c r="I17" s="31"/>
      <c r="J17" s="31"/>
      <c r="K17" s="31">
        <v>188</v>
      </c>
      <c r="L17" s="31">
        <v>13</v>
      </c>
      <c r="M17" s="31" t="s">
        <v>40</v>
      </c>
      <c r="N17" s="31" t="s">
        <v>122</v>
      </c>
      <c r="O17" s="31" t="s">
        <v>123</v>
      </c>
      <c r="P17" s="31"/>
      <c r="Q17" s="31" t="s">
        <v>124</v>
      </c>
      <c r="R17" s="31"/>
      <c r="S17" s="31"/>
      <c r="T17" s="31"/>
      <c r="U17" s="31">
        <f>15+1</f>
        <v>16</v>
      </c>
      <c r="V17" s="31"/>
      <c r="W17" s="31"/>
      <c r="X17" s="31"/>
      <c r="Y17" s="31" t="s">
        <v>125</v>
      </c>
      <c r="Z17" s="32">
        <f>8*2+7*1</f>
        <v>23</v>
      </c>
      <c r="AA17" s="32"/>
      <c r="AB17" s="32">
        <f>15+Z17</f>
        <v>38</v>
      </c>
      <c r="AC17" s="32"/>
      <c r="AD17" s="32">
        <f>+Z17*2</f>
        <v>46</v>
      </c>
      <c r="AE17" s="32"/>
      <c r="AF17" s="31">
        <f>1283.86+266.53/2</f>
        <v>1417.125</v>
      </c>
      <c r="AG17" s="31"/>
      <c r="AH17" s="31">
        <f>1300.79+322.08/2-AF17</f>
        <v>44.704999999999927</v>
      </c>
      <c r="AI17" s="31"/>
      <c r="AJ17" s="31"/>
      <c r="AK17" s="33"/>
      <c r="AL17" s="33">
        <v>372.51</v>
      </c>
      <c r="AM17" s="33">
        <f>+(17.04+106.06+23.5+2.78+4.76+2.62+6.79+99.95+27.5)/AL17</f>
        <v>0.78118708222598054</v>
      </c>
      <c r="AN17" s="33">
        <f>+(34.18+54.45+17.04/2+106.06*3+17.04/2*2+23.5*3+2.62*3+6.79*3+99.95+27.6/2+106.14*2+1.96/2*2+1.35/2*2+102.5+3.09/2+20.93+6+5.99)/AL17</f>
        <v>2.6775254355587768</v>
      </c>
      <c r="AO17" s="33"/>
      <c r="AP17" s="33">
        <f>+(8*33123+26491*7+9*19871+13249*1)/25*AH17</f>
        <v>1148934.5937999981</v>
      </c>
      <c r="AQ17" s="34">
        <v>16945.95</v>
      </c>
      <c r="AR17" s="33" t="s">
        <v>57</v>
      </c>
      <c r="AS17" s="34" t="s">
        <v>126</v>
      </c>
      <c r="AT17" s="35">
        <v>44946</v>
      </c>
      <c r="AU17" s="31">
        <f>226.85/2+21.15+34.18+54.45+106.06+17.04/2+23.5+2.78+4.78+2.62+6.79+99.95+27.6/2+17.04/2*2+106.06*2+23.5*2+2.78/2*2+4.79*2+2.62/2*2+106.14*2+1.96/2*2+1.35/2*2+102.5+3.09/2+20.93+2.78+4.79+6+75.39+18.9</f>
        <v>1231.5700000000004</v>
      </c>
      <c r="AV17" s="37">
        <v>44922</v>
      </c>
      <c r="AW17" s="38"/>
      <c r="AX17" s="38"/>
      <c r="AY17" s="38"/>
      <c r="AZ17" s="38"/>
      <c r="BA17" s="38"/>
      <c r="BB17" s="38"/>
      <c r="BC17" s="38"/>
      <c r="BD17" s="38"/>
      <c r="BE17" s="38"/>
      <c r="BF17" s="38"/>
      <c r="BG17" s="38"/>
      <c r="BH17" s="39"/>
      <c r="BI17" s="39"/>
      <c r="BJ17" s="39"/>
      <c r="BK17" s="39"/>
      <c r="BL17" s="39"/>
      <c r="BM17" s="39"/>
      <c r="BN17" s="39"/>
      <c r="BO17" s="39"/>
      <c r="BP17" s="39"/>
      <c r="BQ17" s="39"/>
      <c r="BR17" s="39"/>
      <c r="BS17" s="39"/>
      <c r="BT17" s="39"/>
      <c r="BU17" s="39"/>
      <c r="BV17" s="39"/>
      <c r="BW17" s="39"/>
      <c r="IQ17" s="39"/>
      <c r="IR17" s="39"/>
      <c r="IS17" s="39"/>
      <c r="IT17" s="39"/>
      <c r="IU17" s="39"/>
      <c r="IV17" s="39"/>
      <c r="IW17" s="39"/>
    </row>
    <row r="18" spans="2:257" s="2" customFormat="1" ht="63.75">
      <c r="B18" s="53">
        <v>15</v>
      </c>
      <c r="C18" s="54">
        <v>549618</v>
      </c>
      <c r="D18" s="55" t="s">
        <v>127</v>
      </c>
      <c r="E18" s="48" t="s">
        <v>39</v>
      </c>
      <c r="F18" s="15">
        <v>49409</v>
      </c>
      <c r="G18" s="15"/>
      <c r="H18" s="15">
        <v>4746</v>
      </c>
      <c r="I18" s="16"/>
      <c r="J18" s="16"/>
      <c r="K18" s="16">
        <v>68</v>
      </c>
      <c r="L18" s="16">
        <v>11</v>
      </c>
      <c r="M18" s="16" t="s">
        <v>101</v>
      </c>
      <c r="N18" s="16" t="s">
        <v>128</v>
      </c>
      <c r="O18" s="16" t="s">
        <v>129</v>
      </c>
      <c r="P18" s="16"/>
      <c r="Q18" s="16" t="s">
        <v>130</v>
      </c>
      <c r="R18" s="16" t="s">
        <v>130</v>
      </c>
      <c r="S18" s="16" t="s">
        <v>130</v>
      </c>
      <c r="T18" s="16" t="s">
        <v>131</v>
      </c>
      <c r="U18" s="16"/>
      <c r="V18" s="17">
        <v>1</v>
      </c>
      <c r="W18" s="16"/>
      <c r="X18" s="16"/>
      <c r="Y18" s="16" t="s">
        <v>71</v>
      </c>
      <c r="Z18" s="18"/>
      <c r="AA18" s="19">
        <v>2</v>
      </c>
      <c r="AB18" s="20"/>
      <c r="AC18" s="19">
        <f>+AA18+1+1</f>
        <v>4</v>
      </c>
      <c r="AD18" s="20"/>
      <c r="AE18" s="19">
        <f>+AA18*2</f>
        <v>4</v>
      </c>
      <c r="AF18" s="56">
        <f>148.81+84.29/2</f>
        <v>190.95500000000001</v>
      </c>
      <c r="AG18" s="16"/>
      <c r="AH18" s="16">
        <f>151.91+39.42/2-AF18</f>
        <v>-19.335000000000008</v>
      </c>
      <c r="AI18" s="16"/>
      <c r="AJ18" s="17"/>
      <c r="AK18" s="21"/>
      <c r="AL18" s="22">
        <v>475.45</v>
      </c>
      <c r="AM18" s="22">
        <f>+(148.81+84.29)/AL18</f>
        <v>0.49027237354085607</v>
      </c>
      <c r="AN18" s="22">
        <f>+(AF18+AH18)/AL18</f>
        <v>0.36096329792827847</v>
      </c>
      <c r="AO18" s="22"/>
      <c r="AP18" s="22">
        <f>+(6*16157+6*12923+7*9693+6162)/20*AF18</f>
        <v>2372549.0407500002</v>
      </c>
      <c r="AQ18" s="23">
        <v>570</v>
      </c>
      <c r="AR18" s="22" t="s">
        <v>57</v>
      </c>
      <c r="AS18" s="23" t="s">
        <v>132</v>
      </c>
      <c r="AT18" s="44">
        <v>44951</v>
      </c>
      <c r="AU18" s="24"/>
      <c r="AV18" s="57">
        <v>44945</v>
      </c>
      <c r="AW18" s="13"/>
      <c r="AX18" s="13"/>
      <c r="AY18" s="13"/>
      <c r="AZ18" s="13"/>
      <c r="BA18" s="13"/>
      <c r="BB18" s="13"/>
      <c r="BC18" s="13"/>
      <c r="BD18" s="13"/>
      <c r="BE18" s="13"/>
      <c r="BF18" s="13"/>
      <c r="BG18" s="13"/>
      <c r="BH18" s="14"/>
      <c r="BI18" s="14"/>
      <c r="BJ18" s="14"/>
      <c r="BK18" s="14"/>
      <c r="BL18" s="14"/>
      <c r="BM18" s="14"/>
      <c r="BN18" s="14"/>
      <c r="BO18" s="14"/>
      <c r="BP18" s="14"/>
      <c r="BQ18" s="14"/>
      <c r="BR18" s="14"/>
      <c r="BS18" s="14"/>
      <c r="BT18" s="14"/>
      <c r="BU18" s="14"/>
      <c r="BV18" s="14"/>
      <c r="BW18" s="14"/>
      <c r="IQ18" s="14"/>
      <c r="IR18" s="14"/>
      <c r="IS18" s="14"/>
      <c r="IT18" s="14"/>
      <c r="IU18" s="14"/>
      <c r="IV18" s="14"/>
      <c r="IW18" s="14"/>
    </row>
    <row r="19" spans="2:257" s="2" customFormat="1" ht="51">
      <c r="B19" s="49">
        <v>16</v>
      </c>
      <c r="C19" s="41" t="s">
        <v>133</v>
      </c>
      <c r="D19" s="42">
        <v>44907</v>
      </c>
      <c r="E19" s="43" t="s">
        <v>46</v>
      </c>
      <c r="F19" s="15">
        <v>-28135</v>
      </c>
      <c r="G19" s="15">
        <v>122036</v>
      </c>
      <c r="H19" s="15">
        <v>6252</v>
      </c>
      <c r="I19" s="16"/>
      <c r="J19" s="16"/>
      <c r="K19" s="16">
        <v>209</v>
      </c>
      <c r="L19" s="16">
        <v>3</v>
      </c>
      <c r="M19" s="16" t="s">
        <v>96</v>
      </c>
      <c r="N19" s="16" t="s">
        <v>134</v>
      </c>
      <c r="O19" s="16" t="s">
        <v>135</v>
      </c>
      <c r="P19" s="16"/>
      <c r="Q19" s="16" t="s">
        <v>136</v>
      </c>
      <c r="R19" s="16"/>
      <c r="S19" s="16"/>
      <c r="T19" s="16"/>
      <c r="U19" s="16">
        <v>1</v>
      </c>
      <c r="V19" s="17"/>
      <c r="W19" s="16"/>
      <c r="X19" s="16"/>
      <c r="Y19" s="16" t="s">
        <v>62</v>
      </c>
      <c r="Z19" s="18"/>
      <c r="AA19" s="19"/>
      <c r="AB19" s="20"/>
      <c r="AC19" s="19"/>
      <c r="AD19" s="20"/>
      <c r="AE19" s="19"/>
      <c r="AF19" s="16"/>
      <c r="AG19" s="16">
        <f>95.04+50.46/2</f>
        <v>120.27000000000001</v>
      </c>
      <c r="AH19" s="16"/>
      <c r="AI19" s="16">
        <f>0.57+275.41/2+38.23</f>
        <v>176.505</v>
      </c>
      <c r="AJ19" s="17"/>
      <c r="AK19" s="21"/>
      <c r="AL19" s="22">
        <v>620.57000000000005</v>
      </c>
      <c r="AM19" s="22">
        <f>+(95.04+50.46+0.57+275.41+38.23)/AL19</f>
        <v>0.74078669610197079</v>
      </c>
      <c r="AN19" s="22">
        <f>+(AG19+AI19)/AL19</f>
        <v>0.47822969205730209</v>
      </c>
      <c r="AO19" s="22">
        <f>+(2+27+4)/(1+9+1)</f>
        <v>3</v>
      </c>
      <c r="AP19" s="22">
        <v>4083819.17</v>
      </c>
      <c r="AQ19" s="23">
        <v>60533.61</v>
      </c>
      <c r="AR19" s="22" t="s">
        <v>77</v>
      </c>
      <c r="AS19" s="23" t="s">
        <v>137</v>
      </c>
      <c r="AT19" s="44">
        <v>44956</v>
      </c>
      <c r="AU19" s="24"/>
      <c r="AV19" s="45">
        <v>44942</v>
      </c>
      <c r="AW19" s="13"/>
      <c r="AX19" s="13"/>
      <c r="AY19" s="13"/>
      <c r="AZ19" s="13"/>
      <c r="BA19" s="13"/>
      <c r="BB19" s="13"/>
      <c r="BC19" s="13"/>
      <c r="BD19" s="13"/>
      <c r="BE19" s="13"/>
      <c r="BF19" s="13"/>
      <c r="BG19" s="13"/>
      <c r="BH19" s="14"/>
      <c r="BI19" s="14"/>
      <c r="BJ19" s="14"/>
      <c r="BK19" s="14"/>
      <c r="BL19" s="14"/>
      <c r="BM19" s="14"/>
      <c r="BN19" s="14"/>
      <c r="BO19" s="14"/>
      <c r="BP19" s="14"/>
      <c r="BQ19" s="14"/>
      <c r="BR19" s="14"/>
      <c r="BS19" s="14"/>
      <c r="BT19" s="14"/>
      <c r="BU19" s="14"/>
      <c r="BV19" s="14"/>
      <c r="BW19" s="14"/>
      <c r="IQ19" s="14"/>
      <c r="IR19" s="14"/>
      <c r="IS19" s="14"/>
      <c r="IT19" s="14"/>
      <c r="IU19" s="14"/>
      <c r="IV19" s="14"/>
      <c r="IW19" s="14"/>
    </row>
    <row r="20" spans="2:257" s="2" customFormat="1" ht="51">
      <c r="B20" s="49">
        <v>17</v>
      </c>
      <c r="C20" s="58" t="s">
        <v>138</v>
      </c>
      <c r="D20" s="42">
        <v>44881</v>
      </c>
      <c r="E20" s="43" t="s">
        <v>65</v>
      </c>
      <c r="F20" s="15">
        <v>60350</v>
      </c>
      <c r="G20" s="15">
        <v>168449</v>
      </c>
      <c r="H20" s="15">
        <v>33981</v>
      </c>
      <c r="I20" s="16">
        <v>314</v>
      </c>
      <c r="J20" s="16"/>
      <c r="K20" s="16"/>
      <c r="L20" s="16">
        <v>9</v>
      </c>
      <c r="M20" s="16" t="s">
        <v>139</v>
      </c>
      <c r="N20" s="16" t="s">
        <v>140</v>
      </c>
      <c r="O20" s="16" t="s">
        <v>141</v>
      </c>
      <c r="P20" s="16"/>
      <c r="Q20" s="16" t="s">
        <v>136</v>
      </c>
      <c r="R20" s="16" t="s">
        <v>136</v>
      </c>
      <c r="S20" s="16" t="s">
        <v>136</v>
      </c>
      <c r="T20" s="16" t="s">
        <v>70</v>
      </c>
      <c r="U20" s="16"/>
      <c r="V20" s="17">
        <v>1</v>
      </c>
      <c r="W20" s="16"/>
      <c r="X20" s="16"/>
      <c r="Y20" s="16" t="s">
        <v>71</v>
      </c>
      <c r="Z20" s="18"/>
      <c r="AA20" s="19">
        <v>4</v>
      </c>
      <c r="AB20" s="20"/>
      <c r="AC20" s="19">
        <f>+AA20+1</f>
        <v>5</v>
      </c>
      <c r="AD20" s="20"/>
      <c r="AE20" s="19">
        <f>+AA20*2</f>
        <v>8</v>
      </c>
      <c r="AF20" s="16"/>
      <c r="AG20" s="16"/>
      <c r="AH20" s="16"/>
      <c r="AI20" s="16"/>
      <c r="AJ20" s="17">
        <f>146.22+37/2</f>
        <v>164.72</v>
      </c>
      <c r="AK20" s="21"/>
      <c r="AL20" s="22">
        <v>800</v>
      </c>
      <c r="AM20" s="22">
        <f>+(27+25.41+80.32+10.06)/AL20</f>
        <v>0.17848749999999999</v>
      </c>
      <c r="AN20" s="22">
        <f>+AJ20/AL20</f>
        <v>0.2059</v>
      </c>
      <c r="AO20" s="22"/>
      <c r="AP20" s="22">
        <f>+(33123+26491*6+5*19871+10*13249)/22*AJ20</f>
        <v>3173959.7309090905</v>
      </c>
      <c r="AQ20" s="23">
        <v>15475.94</v>
      </c>
      <c r="AR20" s="22" t="s">
        <v>77</v>
      </c>
      <c r="AS20" s="23" t="s">
        <v>142</v>
      </c>
      <c r="AT20" s="44">
        <v>44956</v>
      </c>
      <c r="AU20" s="24"/>
      <c r="AV20" s="45" t="s">
        <v>143</v>
      </c>
      <c r="AW20" s="13"/>
      <c r="AX20" s="13"/>
      <c r="AY20" s="13"/>
      <c r="AZ20" s="13"/>
      <c r="BA20" s="13"/>
      <c r="BB20" s="13"/>
      <c r="BC20" s="13"/>
      <c r="BD20" s="13"/>
      <c r="BE20" s="13"/>
      <c r="BF20" s="13"/>
      <c r="BG20" s="13"/>
      <c r="BH20" s="14"/>
      <c r="BI20" s="14"/>
      <c r="BJ20" s="14"/>
      <c r="BK20" s="14"/>
      <c r="BL20" s="14"/>
      <c r="BM20" s="14"/>
      <c r="BN20" s="14"/>
      <c r="BO20" s="14"/>
      <c r="BP20" s="14"/>
      <c r="BQ20" s="14"/>
      <c r="BR20" s="14"/>
      <c r="BS20" s="14"/>
      <c r="BT20" s="14"/>
      <c r="BU20" s="14"/>
      <c r="BV20" s="14"/>
      <c r="BW20" s="14"/>
      <c r="IQ20" s="14"/>
      <c r="IR20" s="14"/>
      <c r="IS20" s="14"/>
      <c r="IT20" s="14"/>
      <c r="IU20" s="14"/>
      <c r="IV20" s="14"/>
      <c r="IW20" s="14"/>
    </row>
    <row r="21" spans="2:257" s="2" customFormat="1" ht="38.25">
      <c r="B21" s="49">
        <v>18</v>
      </c>
      <c r="C21" s="41" t="s">
        <v>144</v>
      </c>
      <c r="D21" s="50">
        <v>44916</v>
      </c>
      <c r="E21" s="51" t="s">
        <v>65</v>
      </c>
      <c r="F21" s="15">
        <v>4697</v>
      </c>
      <c r="G21" s="15">
        <v>50808</v>
      </c>
      <c r="H21" s="15">
        <v>2786</v>
      </c>
      <c r="I21" s="16"/>
      <c r="J21" s="16"/>
      <c r="K21" s="4">
        <v>690</v>
      </c>
      <c r="L21" s="16">
        <v>5</v>
      </c>
      <c r="M21" s="4" t="s">
        <v>145</v>
      </c>
      <c r="N21" s="16" t="s">
        <v>146</v>
      </c>
      <c r="O21" s="16" t="s">
        <v>147</v>
      </c>
      <c r="P21" s="16"/>
      <c r="Q21" s="16" t="s">
        <v>113</v>
      </c>
      <c r="R21" s="16" t="s">
        <v>113</v>
      </c>
      <c r="S21" s="16" t="s">
        <v>113</v>
      </c>
      <c r="T21" s="16" t="s">
        <v>148</v>
      </c>
      <c r="U21" s="16"/>
      <c r="V21" s="17">
        <v>3</v>
      </c>
      <c r="W21" s="16"/>
      <c r="X21" s="16"/>
      <c r="Y21" s="16" t="s">
        <v>44</v>
      </c>
      <c r="Z21" s="18"/>
      <c r="AA21" s="19">
        <f>2+2+2</f>
        <v>6</v>
      </c>
      <c r="AB21" s="20"/>
      <c r="AC21" s="19">
        <f>+AA21+1+1+1</f>
        <v>9</v>
      </c>
      <c r="AD21" s="20"/>
      <c r="AE21" s="19">
        <f>+AA21*2</f>
        <v>12</v>
      </c>
      <c r="AF21" s="16"/>
      <c r="AG21" s="16"/>
      <c r="AH21" s="16"/>
      <c r="AI21" s="16"/>
      <c r="AJ21" s="17">
        <f>144.38+144.38</f>
        <v>288.76</v>
      </c>
      <c r="AK21" s="21"/>
      <c r="AL21" s="22">
        <v>527.5</v>
      </c>
      <c r="AM21" s="22">
        <f>+(144.38/AL21)</f>
        <v>0.27370616113744073</v>
      </c>
      <c r="AN21" s="22">
        <f>+AJ21/AL21</f>
        <v>0.54741232227488146</v>
      </c>
      <c r="AO21" s="22"/>
      <c r="AP21" s="22">
        <f>+(6*33123+26491*6+5*19871+13249*4)/21*AJ21</f>
        <v>7013224.1238095239</v>
      </c>
      <c r="AQ21" s="23">
        <v>25156.44</v>
      </c>
      <c r="AR21" s="22" t="s">
        <v>115</v>
      </c>
      <c r="AS21" s="23" t="s">
        <v>149</v>
      </c>
      <c r="AT21" s="44">
        <v>44958</v>
      </c>
      <c r="AU21" s="24"/>
      <c r="AV21" s="45"/>
      <c r="AW21" s="13"/>
      <c r="AX21" s="13"/>
      <c r="AY21" s="13"/>
      <c r="AZ21" s="13"/>
      <c r="BA21" s="13"/>
      <c r="BB21" s="13"/>
      <c r="BC21" s="13"/>
      <c r="BD21" s="13"/>
      <c r="BE21" s="13"/>
      <c r="BF21" s="13"/>
      <c r="BG21" s="13"/>
      <c r="BH21" s="14"/>
      <c r="BI21" s="14"/>
      <c r="BJ21" s="14"/>
      <c r="BK21" s="14"/>
      <c r="BL21" s="14"/>
      <c r="BM21" s="14"/>
      <c r="BN21" s="14"/>
      <c r="BO21" s="14"/>
      <c r="BP21" s="14"/>
      <c r="BQ21" s="14"/>
      <c r="BR21" s="14"/>
      <c r="BS21" s="14"/>
      <c r="BT21" s="14"/>
      <c r="BU21" s="14"/>
      <c r="BV21" s="14"/>
      <c r="BW21" s="14"/>
      <c r="IQ21" s="14"/>
      <c r="IR21" s="14"/>
      <c r="IS21" s="14"/>
      <c r="IT21" s="14"/>
      <c r="IU21" s="14"/>
      <c r="IV21" s="14"/>
      <c r="IW21" s="14"/>
    </row>
    <row r="22" spans="2:257" s="2" customFormat="1" ht="51">
      <c r="B22" s="49">
        <v>19</v>
      </c>
      <c r="C22" s="41" t="s">
        <v>150</v>
      </c>
      <c r="D22" s="50">
        <v>44902</v>
      </c>
      <c r="E22" s="51" t="s">
        <v>65</v>
      </c>
      <c r="F22" s="15">
        <v>34847</v>
      </c>
      <c r="G22" s="15"/>
      <c r="H22" s="15">
        <v>31378</v>
      </c>
      <c r="I22" s="16"/>
      <c r="J22" s="16"/>
      <c r="K22" s="4"/>
      <c r="L22" s="16">
        <v>35</v>
      </c>
      <c r="M22" s="4" t="s">
        <v>110</v>
      </c>
      <c r="N22" s="16" t="s">
        <v>89</v>
      </c>
      <c r="O22" s="16" t="s">
        <v>151</v>
      </c>
      <c r="P22" s="16"/>
      <c r="Q22" s="16" t="s">
        <v>152</v>
      </c>
      <c r="R22" s="16" t="s">
        <v>152</v>
      </c>
      <c r="S22" s="16" t="s">
        <v>152</v>
      </c>
      <c r="T22" s="16" t="s">
        <v>153</v>
      </c>
      <c r="U22" s="16"/>
      <c r="V22" s="17">
        <v>1</v>
      </c>
      <c r="W22" s="16"/>
      <c r="X22" s="16"/>
      <c r="Y22" s="16" t="s">
        <v>71</v>
      </c>
      <c r="Z22" s="18"/>
      <c r="AA22" s="19">
        <v>1</v>
      </c>
      <c r="AB22" s="20"/>
      <c r="AC22" s="19">
        <f>+AA22+1</f>
        <v>2</v>
      </c>
      <c r="AD22" s="20"/>
      <c r="AE22" s="19">
        <f>+AA22*2</f>
        <v>2</v>
      </c>
      <c r="AF22" s="16"/>
      <c r="AG22" s="16"/>
      <c r="AH22" s="16"/>
      <c r="AI22" s="16"/>
      <c r="AJ22" s="17">
        <f>77.37+2.4/2</f>
        <v>78.570000000000007</v>
      </c>
      <c r="AK22" s="21"/>
      <c r="AL22" s="22">
        <v>5027.55</v>
      </c>
      <c r="AM22" s="22">
        <f>+(77.37+2.4)/AL22</f>
        <v>1.5866575170808844E-2</v>
      </c>
      <c r="AN22" s="22">
        <f>+AJ22/AL22</f>
        <v>1.5627890324313037E-2</v>
      </c>
      <c r="AO22" s="22"/>
      <c r="AP22" s="22">
        <f>+(9*33123+26491*2+5*19871+13249*3)/19*AJ22</f>
        <v>2027068.7826315791</v>
      </c>
      <c r="AQ22" s="23">
        <v>29902.16</v>
      </c>
      <c r="AR22" s="22" t="s">
        <v>57</v>
      </c>
      <c r="AS22" s="23" t="s">
        <v>154</v>
      </c>
      <c r="AT22" s="44">
        <v>44958</v>
      </c>
      <c r="AU22" s="24"/>
      <c r="AV22" s="45" t="s">
        <v>155</v>
      </c>
      <c r="AW22" s="13"/>
      <c r="AX22" s="13"/>
      <c r="AY22" s="13"/>
      <c r="AZ22" s="13"/>
      <c r="BA22" s="13"/>
      <c r="BB22" s="13"/>
      <c r="BC22" s="13"/>
      <c r="BD22" s="13"/>
      <c r="BE22" s="13"/>
      <c r="BF22" s="13"/>
      <c r="BG22" s="13"/>
      <c r="BH22" s="14"/>
      <c r="BI22" s="14"/>
      <c r="BJ22" s="14"/>
      <c r="BK22" s="14"/>
      <c r="BL22" s="14"/>
      <c r="BM22" s="14"/>
      <c r="BN22" s="14"/>
      <c r="BO22" s="14"/>
      <c r="BP22" s="14"/>
      <c r="BQ22" s="14"/>
      <c r="BR22" s="14"/>
      <c r="BS22" s="14"/>
      <c r="BT22" s="14"/>
      <c r="BU22" s="14"/>
      <c r="BV22" s="14"/>
      <c r="BW22" s="14"/>
      <c r="IQ22" s="14"/>
      <c r="IR22" s="14"/>
      <c r="IS22" s="14"/>
      <c r="IT22" s="14"/>
      <c r="IU22" s="14"/>
      <c r="IV22" s="14"/>
      <c r="IW22" s="14"/>
    </row>
    <row r="23" spans="2:257" s="25" customFormat="1" ht="76.5">
      <c r="B23" s="49">
        <v>20</v>
      </c>
      <c r="C23" s="46">
        <v>544391</v>
      </c>
      <c r="D23" s="47">
        <v>44778</v>
      </c>
      <c r="E23" s="48" t="s">
        <v>65</v>
      </c>
      <c r="F23" s="30">
        <v>55574</v>
      </c>
      <c r="G23" s="30">
        <v>164513</v>
      </c>
      <c r="H23" s="30">
        <v>10084</v>
      </c>
      <c r="I23" s="31"/>
      <c r="J23" s="31"/>
      <c r="K23" s="31">
        <v>280</v>
      </c>
      <c r="L23" s="31">
        <v>11</v>
      </c>
      <c r="M23" s="31" t="s">
        <v>96</v>
      </c>
      <c r="N23" s="31" t="s">
        <v>156</v>
      </c>
      <c r="O23" s="31" t="s">
        <v>157</v>
      </c>
      <c r="P23" s="31" t="s">
        <v>158</v>
      </c>
      <c r="Q23" s="31" t="s">
        <v>124</v>
      </c>
      <c r="R23" s="31" t="s">
        <v>124</v>
      </c>
      <c r="S23" s="31" t="s">
        <v>124</v>
      </c>
      <c r="T23" s="31" t="s">
        <v>105</v>
      </c>
      <c r="U23" s="31"/>
      <c r="V23" s="31">
        <v>1</v>
      </c>
      <c r="W23" s="31"/>
      <c r="X23" s="31"/>
      <c r="Y23" s="31" t="s">
        <v>159</v>
      </c>
      <c r="Z23" s="32"/>
      <c r="AA23" s="32"/>
      <c r="AB23" s="32"/>
      <c r="AC23" s="32"/>
      <c r="AD23" s="32"/>
      <c r="AE23" s="32"/>
      <c r="AF23" s="31"/>
      <c r="AG23" s="31"/>
      <c r="AH23" s="31"/>
      <c r="AI23" s="31"/>
      <c r="AJ23" s="31"/>
      <c r="AK23" s="33">
        <f>106.2+0</f>
        <v>106.2</v>
      </c>
      <c r="AL23" s="33">
        <v>250</v>
      </c>
      <c r="AM23" s="33">
        <f>70/AL23</f>
        <v>0.28000000000000003</v>
      </c>
      <c r="AN23" s="33">
        <f>+AK23/AL23</f>
        <v>0.42480000000000001</v>
      </c>
      <c r="AO23" s="33"/>
      <c r="AP23" s="33">
        <f>26491*AK23</f>
        <v>2813344.2</v>
      </c>
      <c r="AQ23" s="34">
        <v>11271.19</v>
      </c>
      <c r="AR23" s="33" t="s">
        <v>57</v>
      </c>
      <c r="AS23" s="34" t="s">
        <v>160</v>
      </c>
      <c r="AT23" s="35">
        <v>44967</v>
      </c>
      <c r="AU23" s="36"/>
      <c r="AV23" s="37" t="s">
        <v>161</v>
      </c>
      <c r="AW23" s="38"/>
      <c r="AX23" s="38"/>
      <c r="AY23" s="38"/>
      <c r="AZ23" s="38"/>
      <c r="BA23" s="38"/>
      <c r="BB23" s="38"/>
      <c r="BC23" s="38"/>
      <c r="BD23" s="38"/>
      <c r="BE23" s="38"/>
      <c r="BF23" s="38"/>
      <c r="BG23" s="38"/>
      <c r="BH23" s="39"/>
      <c r="BI23" s="39"/>
      <c r="BJ23" s="39"/>
      <c r="BK23" s="39"/>
      <c r="BL23" s="39"/>
      <c r="BM23" s="39"/>
      <c r="BN23" s="39"/>
      <c r="BO23" s="39"/>
      <c r="BP23" s="39"/>
      <c r="BQ23" s="39"/>
      <c r="BR23" s="39"/>
      <c r="BS23" s="39"/>
      <c r="BT23" s="39"/>
      <c r="BU23" s="39"/>
      <c r="BV23" s="39"/>
      <c r="BW23" s="39"/>
      <c r="IQ23" s="39"/>
      <c r="IR23" s="39"/>
      <c r="IS23" s="39"/>
      <c r="IT23" s="39"/>
      <c r="IU23" s="39"/>
      <c r="IV23" s="39"/>
      <c r="IW23" s="39"/>
    </row>
    <row r="24" spans="2:257" s="2" customFormat="1" ht="63.75">
      <c r="B24" s="49">
        <v>21</v>
      </c>
      <c r="C24" s="41">
        <v>549964</v>
      </c>
      <c r="D24" s="42">
        <v>44944</v>
      </c>
      <c r="E24" s="43" t="s">
        <v>46</v>
      </c>
      <c r="F24" s="15">
        <v>40847</v>
      </c>
      <c r="G24" s="15"/>
      <c r="H24" s="15">
        <v>8460</v>
      </c>
      <c r="I24" s="16"/>
      <c r="J24" s="16"/>
      <c r="K24" s="16">
        <v>668</v>
      </c>
      <c r="L24" s="16">
        <v>21</v>
      </c>
      <c r="M24" s="16" t="s">
        <v>96</v>
      </c>
      <c r="N24" s="16" t="s">
        <v>162</v>
      </c>
      <c r="O24" s="16" t="s">
        <v>163</v>
      </c>
      <c r="P24" s="16"/>
      <c r="Q24" s="16" t="s">
        <v>164</v>
      </c>
      <c r="R24" s="16"/>
      <c r="S24" s="16"/>
      <c r="T24" s="16"/>
      <c r="U24" s="16">
        <v>2</v>
      </c>
      <c r="V24" s="17"/>
      <c r="W24" s="16"/>
      <c r="X24" s="16"/>
      <c r="Y24" s="16" t="s">
        <v>44</v>
      </c>
      <c r="Z24" s="18">
        <f>2+2</f>
        <v>4</v>
      </c>
      <c r="AA24" s="19"/>
      <c r="AB24" s="20">
        <f>+Z24+1+1</f>
        <v>6</v>
      </c>
      <c r="AC24" s="19"/>
      <c r="AD24" s="20">
        <f>+Z24*2</f>
        <v>8</v>
      </c>
      <c r="AE24" s="19"/>
      <c r="AF24" s="16"/>
      <c r="AG24" s="16"/>
      <c r="AH24" s="16">
        <f>71.88+14.71/2+78.38</f>
        <v>157.61500000000001</v>
      </c>
      <c r="AI24" s="16"/>
      <c r="AJ24" s="17"/>
      <c r="AK24" s="21"/>
      <c r="AL24" s="22">
        <v>241.5</v>
      </c>
      <c r="AM24" s="22">
        <f>+(71.88+14.71)/AL24</f>
        <v>0.35855072463768117</v>
      </c>
      <c r="AN24" s="22">
        <f>+AH24/AL24</f>
        <v>0.65265010351966879</v>
      </c>
      <c r="AO24" s="22"/>
      <c r="AP24" s="22">
        <f>+(2*33123+26491*10+19871*6+13249*2)/20*AH24</f>
        <v>3758172.06</v>
      </c>
      <c r="AQ24" s="23">
        <v>54313.57</v>
      </c>
      <c r="AR24" s="22" t="s">
        <v>165</v>
      </c>
      <c r="AS24" s="23" t="s">
        <v>166</v>
      </c>
      <c r="AT24" s="44">
        <v>44966</v>
      </c>
      <c r="AU24" s="24"/>
      <c r="AV24" s="45">
        <v>44959</v>
      </c>
      <c r="AW24" s="13"/>
      <c r="AX24" s="13"/>
      <c r="AY24" s="13"/>
      <c r="AZ24" s="13"/>
      <c r="BA24" s="13"/>
      <c r="BB24" s="13"/>
      <c r="BC24" s="13"/>
      <c r="BD24" s="13"/>
      <c r="BE24" s="13"/>
      <c r="BF24" s="13"/>
      <c r="BG24" s="13"/>
      <c r="BH24" s="14"/>
      <c r="BI24" s="14"/>
      <c r="BJ24" s="14"/>
      <c r="BK24" s="14"/>
      <c r="BL24" s="14"/>
      <c r="BM24" s="14"/>
      <c r="BN24" s="14"/>
      <c r="BO24" s="14"/>
      <c r="BP24" s="14"/>
      <c r="BQ24" s="14"/>
      <c r="BR24" s="14"/>
      <c r="BS24" s="14"/>
      <c r="BT24" s="14"/>
      <c r="BU24" s="14"/>
      <c r="BV24" s="14"/>
      <c r="BW24" s="14"/>
      <c r="IQ24" s="14"/>
      <c r="IR24" s="14"/>
      <c r="IS24" s="14"/>
      <c r="IT24" s="14"/>
      <c r="IU24" s="14"/>
      <c r="IV24" s="14"/>
      <c r="IW24" s="14"/>
    </row>
    <row r="25" spans="2:257" s="2" customFormat="1" ht="63.75">
      <c r="B25" s="49">
        <v>22</v>
      </c>
      <c r="C25" s="41" t="s">
        <v>167</v>
      </c>
      <c r="D25" s="42">
        <v>44937</v>
      </c>
      <c r="E25" s="43" t="s">
        <v>65</v>
      </c>
      <c r="F25" s="15">
        <v>10980</v>
      </c>
      <c r="G25" s="15">
        <v>102381</v>
      </c>
      <c r="H25" s="15">
        <v>4985</v>
      </c>
      <c r="I25" s="16"/>
      <c r="J25" s="16"/>
      <c r="K25" s="16">
        <v>118</v>
      </c>
      <c r="L25" s="16" t="s">
        <v>168</v>
      </c>
      <c r="M25" s="16" t="s">
        <v>96</v>
      </c>
      <c r="N25" s="16" t="s">
        <v>169</v>
      </c>
      <c r="O25" s="16" t="s">
        <v>170</v>
      </c>
      <c r="P25" s="16"/>
      <c r="Q25" s="16" t="s">
        <v>171</v>
      </c>
      <c r="R25" s="16" t="s">
        <v>171</v>
      </c>
      <c r="S25" s="16" t="s">
        <v>171</v>
      </c>
      <c r="T25" s="16" t="s">
        <v>172</v>
      </c>
      <c r="U25" s="16">
        <v>1</v>
      </c>
      <c r="V25" s="17">
        <v>1</v>
      </c>
      <c r="W25" s="16"/>
      <c r="X25" s="16"/>
      <c r="Y25" s="16" t="s">
        <v>106</v>
      </c>
      <c r="Z25" s="18">
        <v>3</v>
      </c>
      <c r="AA25" s="19"/>
      <c r="AB25" s="20">
        <f>+Z25+1+1</f>
        <v>5</v>
      </c>
      <c r="AC25" s="19"/>
      <c r="AD25" s="20">
        <f>+Z25*2</f>
        <v>6</v>
      </c>
      <c r="AE25" s="19"/>
      <c r="AF25" s="16">
        <f>138.87+60.81/2</f>
        <v>169.27500000000001</v>
      </c>
      <c r="AG25" s="16"/>
      <c r="AH25" s="16"/>
      <c r="AI25" s="16"/>
      <c r="AJ25" s="17">
        <v>49.1</v>
      </c>
      <c r="AK25" s="21"/>
      <c r="AL25" s="22">
        <f>313.925+116.06</f>
        <v>429.98500000000001</v>
      </c>
      <c r="AM25" s="22"/>
      <c r="AN25" s="22"/>
      <c r="AO25" s="22"/>
      <c r="AP25" s="22">
        <f>742603.13+483698.5</f>
        <v>1226301.6299999999</v>
      </c>
      <c r="AQ25" s="23">
        <v>29034.52</v>
      </c>
      <c r="AR25" s="22" t="s">
        <v>57</v>
      </c>
      <c r="AS25" s="23" t="s">
        <v>173</v>
      </c>
      <c r="AT25" s="44">
        <v>44966</v>
      </c>
      <c r="AU25" s="44">
        <v>45404</v>
      </c>
      <c r="AV25" s="23" t="s">
        <v>174</v>
      </c>
      <c r="AW25" s="13"/>
      <c r="AX25" s="13"/>
      <c r="AY25" s="13"/>
      <c r="AZ25" s="13"/>
      <c r="BA25" s="13"/>
      <c r="BB25" s="13"/>
      <c r="BC25" s="13"/>
      <c r="BD25" s="13"/>
      <c r="BE25" s="13"/>
      <c r="BF25" s="13"/>
      <c r="BG25" s="13"/>
      <c r="BH25" s="14"/>
      <c r="BI25" s="14"/>
      <c r="BJ25" s="14"/>
      <c r="BK25" s="14"/>
      <c r="BL25" s="14"/>
      <c r="BM25" s="14"/>
      <c r="BN25" s="14"/>
      <c r="BO25" s="14"/>
      <c r="BP25" s="14"/>
      <c r="BQ25" s="14"/>
      <c r="BR25" s="14"/>
      <c r="BS25" s="14"/>
      <c r="BT25" s="14"/>
      <c r="BU25" s="14"/>
      <c r="BV25" s="14"/>
      <c r="BW25" s="14"/>
      <c r="IQ25" s="14"/>
      <c r="IR25" s="14"/>
      <c r="IS25" s="14"/>
      <c r="IT25" s="14"/>
      <c r="IU25" s="14"/>
      <c r="IV25" s="14"/>
      <c r="IW25" s="14"/>
    </row>
    <row r="26" spans="2:257" s="2" customFormat="1" ht="51">
      <c r="B26" s="49">
        <v>23</v>
      </c>
      <c r="C26" s="41">
        <v>548424</v>
      </c>
      <c r="D26" s="50">
        <v>44900</v>
      </c>
      <c r="E26" s="51" t="s">
        <v>65</v>
      </c>
      <c r="F26" s="15">
        <v>60781</v>
      </c>
      <c r="G26" s="15">
        <v>168780</v>
      </c>
      <c r="H26" s="15">
        <v>34005</v>
      </c>
      <c r="I26" s="16">
        <v>3</v>
      </c>
      <c r="J26" s="16"/>
      <c r="K26" s="4">
        <v>2</v>
      </c>
      <c r="L26" s="16">
        <v>30</v>
      </c>
      <c r="M26" s="4" t="s">
        <v>175</v>
      </c>
      <c r="N26" s="16" t="s">
        <v>176</v>
      </c>
      <c r="O26" s="16" t="s">
        <v>177</v>
      </c>
      <c r="P26" s="16"/>
      <c r="Q26" s="16" t="s">
        <v>178</v>
      </c>
      <c r="R26" s="16" t="s">
        <v>178</v>
      </c>
      <c r="S26" s="16" t="s">
        <v>178</v>
      </c>
      <c r="T26" s="16" t="s">
        <v>179</v>
      </c>
      <c r="U26" s="16"/>
      <c r="V26" s="17">
        <v>1</v>
      </c>
      <c r="W26" s="16"/>
      <c r="X26" s="16"/>
      <c r="Y26" s="16" t="s">
        <v>71</v>
      </c>
      <c r="Z26" s="18"/>
      <c r="AA26" s="19">
        <v>3</v>
      </c>
      <c r="AB26" s="20"/>
      <c r="AC26" s="19">
        <f>+AA26+1</f>
        <v>4</v>
      </c>
      <c r="AD26" s="20"/>
      <c r="AE26" s="19">
        <f>+AA26*2</f>
        <v>6</v>
      </c>
      <c r="AF26" s="16"/>
      <c r="AG26" s="16"/>
      <c r="AH26" s="16"/>
      <c r="AI26" s="16"/>
      <c r="AJ26" s="17">
        <f>134.09+66.24/2</f>
        <v>167.21</v>
      </c>
      <c r="AK26" s="21"/>
      <c r="AL26" s="22">
        <v>801.76</v>
      </c>
      <c r="AM26" s="22">
        <f>+(134.09+66.24)/AL26</f>
        <v>0.24986280183596088</v>
      </c>
      <c r="AN26" s="22">
        <f>+AJ26/AL26</f>
        <v>0.2085536818998204</v>
      </c>
      <c r="AO26" s="22"/>
      <c r="AP26" s="22">
        <f>880000+((8*33123+12*26491+19871)/21*AJ26)</f>
        <v>5679301.2319047619</v>
      </c>
      <c r="AQ26" s="23">
        <v>62806.69</v>
      </c>
      <c r="AR26" s="22" t="s">
        <v>57</v>
      </c>
      <c r="AS26" s="23" t="s">
        <v>180</v>
      </c>
      <c r="AT26" s="44">
        <v>44971</v>
      </c>
      <c r="AU26" s="24"/>
      <c r="AV26" s="45" t="s">
        <v>181</v>
      </c>
      <c r="AW26" s="13"/>
      <c r="AX26" s="13"/>
      <c r="AY26" s="13"/>
      <c r="AZ26" s="13"/>
      <c r="BA26" s="13"/>
      <c r="BB26" s="13"/>
      <c r="BC26" s="13"/>
      <c r="BD26" s="13"/>
      <c r="BE26" s="13"/>
      <c r="BF26" s="13"/>
      <c r="BG26" s="13"/>
      <c r="BH26" s="14"/>
      <c r="BI26" s="14"/>
      <c r="BJ26" s="14"/>
      <c r="BK26" s="14"/>
      <c r="BL26" s="14"/>
      <c r="BM26" s="14"/>
      <c r="BN26" s="14"/>
      <c r="BO26" s="14"/>
      <c r="BP26" s="14"/>
      <c r="BQ26" s="14"/>
      <c r="BR26" s="14"/>
      <c r="BS26" s="14"/>
      <c r="BT26" s="14"/>
      <c r="BU26" s="14"/>
      <c r="BV26" s="14"/>
      <c r="BW26" s="14"/>
      <c r="IQ26" s="14"/>
      <c r="IR26" s="14"/>
      <c r="IS26" s="14"/>
      <c r="IT26" s="14"/>
      <c r="IU26" s="14"/>
      <c r="IV26" s="14"/>
      <c r="IW26" s="14"/>
    </row>
    <row r="27" spans="2:257" s="25" customFormat="1" ht="63.75">
      <c r="B27" s="59">
        <v>24</v>
      </c>
      <c r="C27" s="46">
        <v>550241</v>
      </c>
      <c r="D27" s="47">
        <v>44967</v>
      </c>
      <c r="E27" s="48" t="s">
        <v>46</v>
      </c>
      <c r="F27" s="30">
        <v>42136</v>
      </c>
      <c r="G27" s="30">
        <v>140413</v>
      </c>
      <c r="H27" s="30">
        <v>8587</v>
      </c>
      <c r="I27" s="31"/>
      <c r="J27" s="31"/>
      <c r="K27" s="31">
        <v>349</v>
      </c>
      <c r="L27" s="31">
        <v>11</v>
      </c>
      <c r="M27" s="31" t="s">
        <v>96</v>
      </c>
      <c r="N27" s="31" t="s">
        <v>182</v>
      </c>
      <c r="O27" s="31" t="s">
        <v>183</v>
      </c>
      <c r="P27" s="31"/>
      <c r="Q27" s="31" t="s">
        <v>184</v>
      </c>
      <c r="R27" s="31"/>
      <c r="S27" s="31"/>
      <c r="T27" s="31"/>
      <c r="U27" s="31">
        <v>1</v>
      </c>
      <c r="V27" s="31"/>
      <c r="W27" s="31"/>
      <c r="X27" s="31"/>
      <c r="Y27" s="31" t="s">
        <v>71</v>
      </c>
      <c r="Z27" s="32">
        <v>2</v>
      </c>
      <c r="AA27" s="32"/>
      <c r="AB27" s="32">
        <f>+Z27+1</f>
        <v>3</v>
      </c>
      <c r="AC27" s="32"/>
      <c r="AD27" s="32">
        <f>+Z27*2</f>
        <v>4</v>
      </c>
      <c r="AE27" s="32"/>
      <c r="AF27" s="31"/>
      <c r="AG27" s="31"/>
      <c r="AH27" s="31">
        <f>60.45+1/2</f>
        <v>60.95</v>
      </c>
      <c r="AI27" s="31"/>
      <c r="AJ27" s="31"/>
      <c r="AK27" s="33"/>
      <c r="AL27" s="33">
        <v>294</v>
      </c>
      <c r="AM27" s="33">
        <f>+(60.45/1)/AL27</f>
        <v>0.20561224489795921</v>
      </c>
      <c r="AN27" s="33">
        <f>+AH27/AL27</f>
        <v>0.20731292517006802</v>
      </c>
      <c r="AO27" s="33">
        <f>+(2+18)/(1+6)</f>
        <v>2.8571428571428572</v>
      </c>
      <c r="AP27" s="33">
        <f>+(11*26491+7*19871+13249*2)/20*AH27</f>
        <v>1392695.31</v>
      </c>
      <c r="AQ27" s="34">
        <v>23127.119999999999</v>
      </c>
      <c r="AR27" s="33" t="s">
        <v>57</v>
      </c>
      <c r="AS27" s="34" t="s">
        <v>185</v>
      </c>
      <c r="AT27" s="35">
        <v>44973</v>
      </c>
      <c r="AU27" s="36"/>
      <c r="AV27" s="60"/>
      <c r="AW27" s="38"/>
      <c r="AX27" s="38"/>
      <c r="AY27" s="38"/>
      <c r="AZ27" s="38"/>
      <c r="BA27" s="38"/>
      <c r="BB27" s="38"/>
      <c r="BC27" s="38"/>
      <c r="BD27" s="38"/>
      <c r="BE27" s="38"/>
      <c r="BF27" s="38"/>
      <c r="BG27" s="38"/>
      <c r="BH27" s="39"/>
      <c r="BI27" s="39"/>
      <c r="BJ27" s="39"/>
      <c r="BK27" s="39"/>
      <c r="BL27" s="39"/>
      <c r="BM27" s="39"/>
      <c r="BN27" s="39"/>
      <c r="BO27" s="39"/>
      <c r="BP27" s="39"/>
      <c r="BQ27" s="39"/>
      <c r="BR27" s="39"/>
      <c r="BS27" s="39"/>
      <c r="BT27" s="39"/>
      <c r="BU27" s="39"/>
      <c r="BV27" s="39"/>
      <c r="BW27" s="39"/>
      <c r="IQ27" s="39"/>
      <c r="IR27" s="39"/>
      <c r="IS27" s="39"/>
      <c r="IT27" s="39"/>
      <c r="IU27" s="39"/>
      <c r="IV27" s="39"/>
      <c r="IW27" s="39"/>
    </row>
    <row r="28" spans="2:257" s="25" customFormat="1" ht="38.25">
      <c r="B28" s="59">
        <v>25</v>
      </c>
      <c r="C28" s="54">
        <v>550243</v>
      </c>
      <c r="D28" s="61">
        <v>44967</v>
      </c>
      <c r="E28" s="48" t="s">
        <v>65</v>
      </c>
      <c r="F28" s="30">
        <v>23117</v>
      </c>
      <c r="G28" s="30">
        <v>115868</v>
      </c>
      <c r="H28" s="30">
        <v>30719</v>
      </c>
      <c r="I28" s="31">
        <v>1</v>
      </c>
      <c r="J28" s="31"/>
      <c r="K28" s="31"/>
      <c r="L28" s="31">
        <v>3</v>
      </c>
      <c r="M28" s="31"/>
      <c r="N28" s="31" t="s">
        <v>186</v>
      </c>
      <c r="O28" s="31"/>
      <c r="P28" s="31" t="s">
        <v>187</v>
      </c>
      <c r="Q28" s="31" t="s">
        <v>184</v>
      </c>
      <c r="R28" s="31"/>
      <c r="S28" s="31"/>
      <c r="T28" s="31" t="s">
        <v>153</v>
      </c>
      <c r="U28" s="31"/>
      <c r="V28" s="31"/>
      <c r="W28" s="31"/>
      <c r="X28" s="31"/>
      <c r="Y28" s="31" t="s">
        <v>188</v>
      </c>
      <c r="Z28" s="32"/>
      <c r="AA28" s="32"/>
      <c r="AB28" s="32"/>
      <c r="AC28" s="32"/>
      <c r="AD28" s="32"/>
      <c r="AE28" s="32"/>
      <c r="AF28" s="31"/>
      <c r="AG28" s="31"/>
      <c r="AH28" s="31"/>
      <c r="AI28" s="31"/>
      <c r="AJ28" s="31"/>
      <c r="AK28" s="33"/>
      <c r="AL28" s="33"/>
      <c r="AM28" s="33"/>
      <c r="AN28" s="33"/>
      <c r="AO28" s="33"/>
      <c r="AP28" s="33"/>
      <c r="AQ28" s="34">
        <v>6741</v>
      </c>
      <c r="AR28" s="33" t="s">
        <v>35</v>
      </c>
      <c r="AS28" s="34" t="s">
        <v>189</v>
      </c>
      <c r="AT28" s="35">
        <v>44973</v>
      </c>
      <c r="AU28" s="36"/>
      <c r="AV28" s="60"/>
      <c r="AW28" s="38"/>
      <c r="AX28" s="38"/>
      <c r="AY28" s="38"/>
      <c r="AZ28" s="38"/>
      <c r="BA28" s="38"/>
      <c r="BB28" s="38"/>
      <c r="BC28" s="38"/>
      <c r="BD28" s="38"/>
      <c r="BE28" s="38"/>
      <c r="BF28" s="38"/>
      <c r="BG28" s="38"/>
      <c r="BH28" s="39"/>
      <c r="BI28" s="39"/>
      <c r="BJ28" s="39"/>
      <c r="BK28" s="39"/>
      <c r="BL28" s="39"/>
      <c r="BM28" s="39"/>
      <c r="BN28" s="39"/>
      <c r="BO28" s="39"/>
      <c r="BP28" s="39"/>
      <c r="BQ28" s="39"/>
      <c r="BR28" s="39"/>
      <c r="BS28" s="39"/>
      <c r="BT28" s="39"/>
      <c r="BU28" s="39"/>
      <c r="BV28" s="39"/>
      <c r="BW28" s="39"/>
      <c r="IQ28" s="39"/>
      <c r="IR28" s="39"/>
      <c r="IS28" s="39"/>
      <c r="IT28" s="39"/>
      <c r="IU28" s="39"/>
      <c r="IV28" s="39"/>
      <c r="IW28" s="39"/>
    </row>
    <row r="29" spans="2:257" s="25" customFormat="1" ht="38.25">
      <c r="B29" s="59">
        <v>26</v>
      </c>
      <c r="C29" s="54">
        <v>550237</v>
      </c>
      <c r="D29" s="61">
        <v>44936</v>
      </c>
      <c r="E29" s="48" t="s">
        <v>65</v>
      </c>
      <c r="F29" s="30">
        <v>-49903</v>
      </c>
      <c r="G29" s="30">
        <v>138609</v>
      </c>
      <c r="H29" s="30">
        <v>20466</v>
      </c>
      <c r="I29" s="31"/>
      <c r="J29" s="31"/>
      <c r="K29" s="31">
        <v>290</v>
      </c>
      <c r="L29" s="31">
        <v>3</v>
      </c>
      <c r="M29" s="31" t="s">
        <v>190</v>
      </c>
      <c r="N29" s="31" t="s">
        <v>191</v>
      </c>
      <c r="O29" s="31" t="s">
        <v>192</v>
      </c>
      <c r="P29" s="31"/>
      <c r="Q29" s="31" t="s">
        <v>192</v>
      </c>
      <c r="R29" s="31" t="s">
        <v>192</v>
      </c>
      <c r="S29" s="31" t="s">
        <v>192</v>
      </c>
      <c r="T29" s="31" t="s">
        <v>193</v>
      </c>
      <c r="U29" s="31"/>
      <c r="V29" s="31">
        <v>1</v>
      </c>
      <c r="W29" s="31"/>
      <c r="X29" s="31"/>
      <c r="Y29" s="31" t="s">
        <v>194</v>
      </c>
      <c r="Z29" s="32"/>
      <c r="AA29" s="32"/>
      <c r="AB29" s="32"/>
      <c r="AC29" s="32"/>
      <c r="AD29" s="32"/>
      <c r="AE29" s="32"/>
      <c r="AF29" s="31"/>
      <c r="AG29" s="31"/>
      <c r="AH29" s="31"/>
      <c r="AI29" s="31"/>
      <c r="AJ29" s="31"/>
      <c r="AK29" s="33">
        <v>712.19</v>
      </c>
      <c r="AL29" s="33">
        <v>160.9</v>
      </c>
      <c r="AM29" s="33">
        <f>+AL29/AK29</f>
        <v>0.2259228576643873</v>
      </c>
      <c r="AN29" s="33">
        <f>+AL29/AK29</f>
        <v>0.2259228576643873</v>
      </c>
      <c r="AO29" s="33"/>
      <c r="AP29" s="33">
        <v>2050246.56</v>
      </c>
      <c r="AQ29" s="34">
        <v>8650.01</v>
      </c>
      <c r="AR29" s="33" t="s">
        <v>195</v>
      </c>
      <c r="AS29" s="34" t="s">
        <v>196</v>
      </c>
      <c r="AT29" s="35">
        <v>44979</v>
      </c>
      <c r="AU29" s="36"/>
      <c r="AV29" s="60" t="s">
        <v>197</v>
      </c>
      <c r="AW29" s="38"/>
      <c r="AX29" s="38"/>
      <c r="AY29" s="38"/>
      <c r="AZ29" s="38"/>
      <c r="BA29" s="38"/>
      <c r="BB29" s="38"/>
      <c r="BC29" s="38"/>
      <c r="BD29" s="38"/>
      <c r="BE29" s="38"/>
      <c r="BF29" s="38"/>
      <c r="BG29" s="38"/>
      <c r="BH29" s="39"/>
      <c r="BI29" s="39"/>
      <c r="BJ29" s="39"/>
      <c r="BK29" s="39"/>
      <c r="BL29" s="39"/>
      <c r="BM29" s="39"/>
      <c r="BN29" s="39"/>
      <c r="BO29" s="39"/>
      <c r="BP29" s="39"/>
      <c r="BQ29" s="39"/>
      <c r="BR29" s="39"/>
      <c r="BS29" s="39"/>
      <c r="BT29" s="39"/>
      <c r="BU29" s="39"/>
      <c r="BV29" s="39"/>
      <c r="BW29" s="39"/>
      <c r="IQ29" s="39"/>
      <c r="IR29" s="39"/>
      <c r="IS29" s="39"/>
      <c r="IT29" s="39"/>
      <c r="IU29" s="39"/>
      <c r="IV29" s="39"/>
      <c r="IW29" s="39"/>
    </row>
    <row r="30" spans="2:257" s="2" customFormat="1" ht="102">
      <c r="B30" s="49">
        <v>27</v>
      </c>
      <c r="C30" s="41" t="s">
        <v>198</v>
      </c>
      <c r="D30" s="42">
        <v>44945</v>
      </c>
      <c r="E30" s="43" t="s">
        <v>46</v>
      </c>
      <c r="F30" s="15">
        <v>37501</v>
      </c>
      <c r="G30" s="15">
        <v>172</v>
      </c>
      <c r="H30" s="15">
        <v>4339</v>
      </c>
      <c r="I30" s="16"/>
      <c r="J30" s="16"/>
      <c r="K30" s="16">
        <v>107</v>
      </c>
      <c r="L30" s="16">
        <v>14</v>
      </c>
      <c r="M30" s="16" t="s">
        <v>96</v>
      </c>
      <c r="N30" s="16" t="s">
        <v>199</v>
      </c>
      <c r="O30" s="16" t="s">
        <v>200</v>
      </c>
      <c r="P30" s="16"/>
      <c r="Q30" s="16" t="s">
        <v>136</v>
      </c>
      <c r="R30" s="16"/>
      <c r="S30" s="16"/>
      <c r="T30" s="16"/>
      <c r="U30" s="16">
        <v>3</v>
      </c>
      <c r="V30" s="17"/>
      <c r="W30" s="16"/>
      <c r="X30" s="16"/>
      <c r="Y30" s="16" t="s">
        <v>44</v>
      </c>
      <c r="Z30" s="18">
        <f>3+2+2</f>
        <v>7</v>
      </c>
      <c r="AA30" s="19"/>
      <c r="AB30" s="20">
        <f>+Z30+1+1+1</f>
        <v>10</v>
      </c>
      <c r="AC30" s="19"/>
      <c r="AD30" s="20">
        <f>+Z30*2</f>
        <v>14</v>
      </c>
      <c r="AE30" s="19"/>
      <c r="AF30" s="16"/>
      <c r="AG30" s="16"/>
      <c r="AH30" s="16">
        <f>218.65+48.32/2</f>
        <v>242.81</v>
      </c>
      <c r="AI30" s="16"/>
      <c r="AJ30" s="17"/>
      <c r="AK30" s="21"/>
      <c r="AL30" s="22">
        <v>787</v>
      </c>
      <c r="AM30" s="22">
        <f>(218.65+48.32)/AL30</f>
        <v>0.33922490470139777</v>
      </c>
      <c r="AN30" s="22">
        <f>+AH30/AL30</f>
        <v>0.30852604828462515</v>
      </c>
      <c r="AO30" s="22"/>
      <c r="AP30" s="22">
        <f>+((7*33123+3*26491+19871*5+6*13249)/21*41.82)+((2*26491+19871*6+12*13249)/20*45.52)+((2*33123+26491*3+9*19871+13249*6)/20*59.69)</f>
        <v>2935859.7214285713</v>
      </c>
      <c r="AQ30" s="23">
        <v>46952.77</v>
      </c>
      <c r="AR30" s="22" t="s">
        <v>77</v>
      </c>
      <c r="AS30" s="23" t="s">
        <v>201</v>
      </c>
      <c r="AT30" s="44">
        <v>44984</v>
      </c>
      <c r="AU30" s="24"/>
      <c r="AV30" s="45">
        <v>44974</v>
      </c>
      <c r="AW30" s="13"/>
      <c r="AX30" s="13"/>
      <c r="AY30" s="13"/>
      <c r="AZ30" s="13"/>
      <c r="BA30" s="13"/>
      <c r="BB30" s="13"/>
      <c r="BC30" s="13"/>
      <c r="BD30" s="13"/>
      <c r="BE30" s="13"/>
      <c r="BF30" s="13"/>
      <c r="BG30" s="13"/>
      <c r="BH30" s="14"/>
      <c r="BI30" s="14"/>
      <c r="BJ30" s="14"/>
      <c r="BK30" s="14"/>
      <c r="BL30" s="14"/>
      <c r="BM30" s="14"/>
      <c r="BN30" s="14"/>
      <c r="BO30" s="14"/>
      <c r="BP30" s="14"/>
      <c r="BQ30" s="14"/>
      <c r="BR30" s="14"/>
      <c r="BS30" s="14"/>
      <c r="BT30" s="14"/>
      <c r="BU30" s="14"/>
      <c r="BV30" s="14"/>
      <c r="BW30" s="14"/>
      <c r="IQ30" s="14"/>
      <c r="IR30" s="14"/>
      <c r="IS30" s="14"/>
      <c r="IT30" s="14"/>
      <c r="IU30" s="14"/>
      <c r="IV30" s="14"/>
      <c r="IW30" s="14"/>
    </row>
    <row r="31" spans="2:257" s="2" customFormat="1" ht="25.5">
      <c r="B31" s="49">
        <v>28</v>
      </c>
      <c r="C31" s="41" t="s">
        <v>202</v>
      </c>
      <c r="D31" s="42">
        <v>44942</v>
      </c>
      <c r="E31" s="43" t="s">
        <v>65</v>
      </c>
      <c r="F31" s="15">
        <v>39069</v>
      </c>
      <c r="G31" s="15">
        <v>137907</v>
      </c>
      <c r="H31" s="15">
        <v>20454</v>
      </c>
      <c r="I31" s="16">
        <v>26</v>
      </c>
      <c r="J31" s="16"/>
      <c r="K31" s="16">
        <v>336</v>
      </c>
      <c r="L31" s="16">
        <v>6</v>
      </c>
      <c r="M31" s="16" t="s">
        <v>96</v>
      </c>
      <c r="N31" s="16" t="s">
        <v>203</v>
      </c>
      <c r="O31" s="16" t="s">
        <v>204</v>
      </c>
      <c r="P31" s="16"/>
      <c r="Q31" s="16" t="s">
        <v>136</v>
      </c>
      <c r="R31" s="16" t="s">
        <v>136</v>
      </c>
      <c r="S31" s="16" t="s">
        <v>136</v>
      </c>
      <c r="T31" s="16" t="s">
        <v>70</v>
      </c>
      <c r="U31" s="16"/>
      <c r="V31" s="17">
        <v>1</v>
      </c>
      <c r="W31" s="16"/>
      <c r="X31" s="16"/>
      <c r="Y31" s="16" t="s">
        <v>71</v>
      </c>
      <c r="Z31" s="18"/>
      <c r="AA31" s="19">
        <v>3</v>
      </c>
      <c r="AB31" s="20"/>
      <c r="AC31" s="19">
        <f>+AA31+1</f>
        <v>4</v>
      </c>
      <c r="AD31" s="20"/>
      <c r="AE31" s="19">
        <f>+AA31*2</f>
        <v>6</v>
      </c>
      <c r="AF31" s="16"/>
      <c r="AG31" s="16"/>
      <c r="AH31" s="16"/>
      <c r="AI31" s="16"/>
      <c r="AJ31" s="17">
        <f>61.58+8.69/2</f>
        <v>65.924999999999997</v>
      </c>
      <c r="AK31" s="21"/>
      <c r="AL31" s="22">
        <v>528</v>
      </c>
      <c r="AM31" s="22">
        <f>+(61.58+8.69)/AL31</f>
        <v>0.13308712121212121</v>
      </c>
      <c r="AN31" s="22">
        <f>+AJ31/AL31</f>
        <v>0.12485795454545454</v>
      </c>
      <c r="AO31" s="22"/>
      <c r="AP31" s="22">
        <f>+(5*23491+19871*5+10*13249)/20*AJ31</f>
        <v>1151380.125</v>
      </c>
      <c r="AQ31" s="23">
        <v>6639.21</v>
      </c>
      <c r="AR31" s="22" t="s">
        <v>165</v>
      </c>
      <c r="AS31" s="23" t="s">
        <v>205</v>
      </c>
      <c r="AT31" s="44">
        <v>44984</v>
      </c>
      <c r="AU31" s="24"/>
      <c r="AV31" s="45">
        <v>44980</v>
      </c>
      <c r="AW31" s="13"/>
      <c r="AX31" s="13"/>
      <c r="AY31" s="13"/>
      <c r="AZ31" s="13"/>
      <c r="BA31" s="13"/>
      <c r="BB31" s="13"/>
      <c r="BC31" s="13"/>
      <c r="BD31" s="13"/>
      <c r="BE31" s="13"/>
      <c r="BF31" s="13"/>
      <c r="BG31" s="13"/>
      <c r="BH31" s="14"/>
      <c r="BI31" s="14"/>
      <c r="BJ31" s="14"/>
      <c r="BK31" s="14"/>
      <c r="BL31" s="14"/>
      <c r="BM31" s="14"/>
      <c r="BN31" s="14"/>
      <c r="BO31" s="14"/>
      <c r="BP31" s="14"/>
      <c r="BQ31" s="14"/>
      <c r="BR31" s="14"/>
      <c r="BS31" s="14"/>
      <c r="BT31" s="14"/>
      <c r="BU31" s="14"/>
      <c r="BV31" s="14"/>
      <c r="BW31" s="14"/>
      <c r="IQ31" s="14"/>
      <c r="IR31" s="14"/>
      <c r="IS31" s="14"/>
      <c r="IT31" s="14"/>
      <c r="IU31" s="14"/>
      <c r="IV31" s="14"/>
      <c r="IW31" s="14"/>
    </row>
    <row r="32" spans="2:257" s="2" customFormat="1" ht="51">
      <c r="B32" s="49">
        <v>29</v>
      </c>
      <c r="C32" s="41">
        <v>549904</v>
      </c>
      <c r="D32" s="42">
        <v>44957</v>
      </c>
      <c r="E32" s="43" t="s">
        <v>46</v>
      </c>
      <c r="F32" s="15">
        <v>50927</v>
      </c>
      <c r="G32" s="15">
        <v>158668</v>
      </c>
      <c r="H32" s="15">
        <v>32417</v>
      </c>
      <c r="I32" s="16">
        <v>2</v>
      </c>
      <c r="J32" s="16"/>
      <c r="K32" s="16"/>
      <c r="L32" s="16">
        <v>90</v>
      </c>
      <c r="M32" s="16" t="s">
        <v>206</v>
      </c>
      <c r="N32" s="16" t="s">
        <v>89</v>
      </c>
      <c r="O32" s="16" t="s">
        <v>207</v>
      </c>
      <c r="P32" s="16"/>
      <c r="Q32" s="16" t="s">
        <v>164</v>
      </c>
      <c r="R32" s="16"/>
      <c r="S32" s="16"/>
      <c r="T32" s="16"/>
      <c r="U32" s="16">
        <v>3</v>
      </c>
      <c r="V32" s="17"/>
      <c r="W32" s="16"/>
      <c r="X32" s="16"/>
      <c r="Y32" s="16" t="s">
        <v>44</v>
      </c>
      <c r="Z32" s="18">
        <v>3</v>
      </c>
      <c r="AA32" s="19"/>
      <c r="AB32" s="20">
        <f>+Z32</f>
        <v>3</v>
      </c>
      <c r="AC32" s="19"/>
      <c r="AD32" s="20">
        <f>+Z32*2</f>
        <v>6</v>
      </c>
      <c r="AE32" s="19"/>
      <c r="AF32" s="16">
        <f>88.67+1.2/2</f>
        <v>89.27</v>
      </c>
      <c r="AG32" s="16"/>
      <c r="AH32" s="16">
        <f>44.06/2</f>
        <v>22.03</v>
      </c>
      <c r="AI32" s="16"/>
      <c r="AJ32" s="17"/>
      <c r="AK32" s="21"/>
      <c r="AL32" s="22">
        <v>453.3</v>
      </c>
      <c r="AM32" s="22">
        <f>+(88.67+1.2+44.06)/AL32</f>
        <v>0.2954555482020737</v>
      </c>
      <c r="AN32" s="22">
        <f>+(AF32+AH32)/AL32</f>
        <v>0.24553275976174718</v>
      </c>
      <c r="AO32" s="22"/>
      <c r="AP32" s="22">
        <f>+(2*33123+26491*3+6*19871+9*13249)/20*AH32</f>
        <v>423180.87900000002</v>
      </c>
      <c r="AQ32" s="23">
        <v>48443</v>
      </c>
      <c r="AR32" s="22" t="s">
        <v>165</v>
      </c>
      <c r="AS32" s="23" t="s">
        <v>208</v>
      </c>
      <c r="AT32" s="44">
        <v>44984</v>
      </c>
      <c r="AU32" s="24"/>
      <c r="AV32" s="45">
        <v>44957</v>
      </c>
      <c r="AW32" s="13"/>
      <c r="AX32" s="13"/>
      <c r="AY32" s="13"/>
      <c r="AZ32" s="13"/>
      <c r="BA32" s="13"/>
      <c r="BB32" s="13"/>
      <c r="BC32" s="13"/>
      <c r="BD32" s="13"/>
      <c r="BE32" s="13"/>
      <c r="BF32" s="13"/>
      <c r="BG32" s="13"/>
      <c r="BH32" s="14"/>
      <c r="BI32" s="14"/>
      <c r="BJ32" s="14"/>
      <c r="BK32" s="14"/>
      <c r="BL32" s="14"/>
      <c r="BM32" s="14"/>
      <c r="BN32" s="14"/>
      <c r="BO32" s="14"/>
      <c r="BP32" s="14"/>
      <c r="BQ32" s="14"/>
      <c r="BR32" s="14"/>
      <c r="BS32" s="14"/>
      <c r="BT32" s="14"/>
      <c r="BU32" s="14"/>
      <c r="BV32" s="14"/>
      <c r="BW32" s="14"/>
      <c r="IQ32" s="14"/>
      <c r="IR32" s="14"/>
      <c r="IS32" s="14"/>
      <c r="IT32" s="14"/>
      <c r="IU32" s="14"/>
      <c r="IV32" s="14"/>
      <c r="IW32" s="14"/>
    </row>
    <row r="33" spans="2:257" s="2" customFormat="1" ht="51">
      <c r="B33" s="49">
        <v>30</v>
      </c>
      <c r="C33" s="58" t="s">
        <v>209</v>
      </c>
      <c r="D33" s="42">
        <v>44827</v>
      </c>
      <c r="E33" s="43" t="s">
        <v>46</v>
      </c>
      <c r="F33" s="15"/>
      <c r="G33" s="15"/>
      <c r="H33" s="15">
        <v>31288</v>
      </c>
      <c r="I33" s="16">
        <v>291</v>
      </c>
      <c r="J33" s="16"/>
      <c r="K33" s="16"/>
      <c r="L33" s="16">
        <v>7</v>
      </c>
      <c r="M33" s="16" t="s">
        <v>37</v>
      </c>
      <c r="N33" s="16" t="s">
        <v>210</v>
      </c>
      <c r="O33" s="16" t="s">
        <v>211</v>
      </c>
      <c r="P33" s="16"/>
      <c r="Q33" s="16" t="s">
        <v>76</v>
      </c>
      <c r="R33" s="16"/>
      <c r="S33" s="16"/>
      <c r="T33" s="16"/>
      <c r="U33" s="16">
        <v>4</v>
      </c>
      <c r="V33" s="17"/>
      <c r="W33" s="16"/>
      <c r="X33" s="16"/>
      <c r="Y33" s="16" t="s">
        <v>44</v>
      </c>
      <c r="Z33" s="18"/>
      <c r="AA33" s="19"/>
      <c r="AB33" s="20"/>
      <c r="AC33" s="19"/>
      <c r="AD33" s="20"/>
      <c r="AE33" s="19"/>
      <c r="AF33" s="16">
        <f>111+227.48/2</f>
        <v>224.74</v>
      </c>
      <c r="AG33" s="16"/>
      <c r="AH33" s="16">
        <f>90.57+10.54/2</f>
        <v>95.839999999999989</v>
      </c>
      <c r="AI33" s="16"/>
      <c r="AJ33" s="17"/>
      <c r="AK33" s="21"/>
      <c r="AL33" s="22">
        <v>10014.379999999999</v>
      </c>
      <c r="AM33" s="22">
        <v>0.49</v>
      </c>
      <c r="AN33" s="22">
        <f>+(AF33+AH33)/AL33</f>
        <v>3.2011966791753457E-2</v>
      </c>
      <c r="AO33" s="22"/>
      <c r="AP33" s="22">
        <f>32000+10000+((2*33123+26491*5+7*19871+8*13249)/22*(90.57+10.54/2)+((2*33123+26491*5+6*19871+9*13249)/22*148.74))</f>
        <v>4930963.7236363636</v>
      </c>
      <c r="AQ33" s="23">
        <v>31593.82</v>
      </c>
      <c r="AR33" s="22" t="s">
        <v>77</v>
      </c>
      <c r="AS33" s="23" t="s">
        <v>212</v>
      </c>
      <c r="AT33" s="44">
        <v>44985</v>
      </c>
      <c r="AU33" s="24"/>
      <c r="AV33" s="45">
        <v>44980</v>
      </c>
      <c r="AW33" s="13"/>
      <c r="AX33" s="13"/>
      <c r="AY33" s="13"/>
      <c r="AZ33" s="13"/>
      <c r="BA33" s="13"/>
      <c r="BB33" s="13"/>
      <c r="BC33" s="13"/>
      <c r="BD33" s="13"/>
      <c r="BE33" s="13"/>
      <c r="BF33" s="13"/>
      <c r="BG33" s="13"/>
      <c r="BH33" s="14"/>
      <c r="BI33" s="14"/>
      <c r="BJ33" s="14"/>
      <c r="BK33" s="14"/>
      <c r="BL33" s="14"/>
      <c r="BM33" s="14"/>
      <c r="BN33" s="14"/>
      <c r="BO33" s="14"/>
      <c r="BP33" s="14"/>
      <c r="BQ33" s="14"/>
      <c r="BR33" s="14"/>
      <c r="BS33" s="14"/>
      <c r="BT33" s="14"/>
      <c r="BU33" s="14"/>
      <c r="BV33" s="14"/>
      <c r="BW33" s="14"/>
      <c r="IQ33" s="14"/>
      <c r="IR33" s="14"/>
      <c r="IS33" s="14"/>
      <c r="IT33" s="14"/>
      <c r="IU33" s="14"/>
      <c r="IV33" s="14"/>
      <c r="IW33" s="14"/>
    </row>
    <row r="34" spans="2:257" s="2" customFormat="1" ht="25.5" customHeight="1">
      <c r="B34" s="49"/>
      <c r="C34" s="183">
        <v>547818</v>
      </c>
      <c r="D34" s="178">
        <v>44882</v>
      </c>
      <c r="E34" s="179" t="s">
        <v>65</v>
      </c>
      <c r="F34" s="15">
        <v>29489</v>
      </c>
      <c r="G34" s="15">
        <v>127960</v>
      </c>
      <c r="H34" s="15">
        <v>6394</v>
      </c>
      <c r="I34" s="16"/>
      <c r="J34" s="16"/>
      <c r="K34" s="180">
        <v>174</v>
      </c>
      <c r="L34" s="16">
        <v>5</v>
      </c>
      <c r="M34" s="180" t="s">
        <v>101</v>
      </c>
      <c r="N34" s="16" t="s">
        <v>213</v>
      </c>
      <c r="O34" s="16"/>
      <c r="P34" s="16" t="s">
        <v>214</v>
      </c>
      <c r="Q34" s="16" t="s">
        <v>215</v>
      </c>
      <c r="R34" s="16" t="s">
        <v>215</v>
      </c>
      <c r="S34" s="16" t="s">
        <v>215</v>
      </c>
      <c r="T34" s="16" t="s">
        <v>214</v>
      </c>
      <c r="U34" s="16"/>
      <c r="V34" s="17"/>
      <c r="W34" s="16">
        <v>21</v>
      </c>
      <c r="X34" s="16"/>
      <c r="Y34" s="16" t="s">
        <v>216</v>
      </c>
      <c r="Z34" s="18"/>
      <c r="AA34" s="19">
        <f>10*2+7</f>
        <v>27</v>
      </c>
      <c r="AB34" s="20"/>
      <c r="AC34" s="19">
        <f>+AA34+W34</f>
        <v>48</v>
      </c>
      <c r="AD34" s="20"/>
      <c r="AE34" s="19">
        <f>+AA34*2</f>
        <v>54</v>
      </c>
      <c r="AF34" s="16"/>
      <c r="AG34" s="16"/>
      <c r="AH34" s="16"/>
      <c r="AI34" s="16"/>
      <c r="AJ34" s="17">
        <f>1280.89+441.09/2</f>
        <v>1501.4350000000002</v>
      </c>
      <c r="AK34" s="21"/>
      <c r="AL34" s="22">
        <v>866</v>
      </c>
      <c r="AM34" s="22">
        <v>0.56000000000000005</v>
      </c>
      <c r="AN34" s="22">
        <v>1.5</v>
      </c>
      <c r="AO34" s="22"/>
      <c r="AP34" s="22"/>
      <c r="AQ34" s="23"/>
      <c r="AR34" s="22" t="s">
        <v>57</v>
      </c>
      <c r="AS34" s="23"/>
      <c r="AT34" s="44"/>
      <c r="AU34" s="24"/>
      <c r="AV34" s="45"/>
      <c r="AW34" s="13"/>
      <c r="AX34" s="13"/>
      <c r="AY34" s="13"/>
      <c r="AZ34" s="13"/>
      <c r="BA34" s="13"/>
      <c r="BB34" s="13"/>
      <c r="BC34" s="13"/>
      <c r="BD34" s="13"/>
      <c r="BE34" s="13"/>
      <c r="BF34" s="13"/>
      <c r="BG34" s="13"/>
      <c r="BH34" s="14"/>
      <c r="BI34" s="14"/>
      <c r="BJ34" s="14"/>
      <c r="BK34" s="14"/>
      <c r="BL34" s="14"/>
      <c r="BM34" s="14"/>
      <c r="BN34" s="14"/>
      <c r="BO34" s="14"/>
      <c r="BP34" s="14"/>
      <c r="BQ34" s="14"/>
      <c r="BR34" s="14"/>
      <c r="BS34" s="14"/>
      <c r="BT34" s="14"/>
      <c r="BU34" s="14"/>
      <c r="BV34" s="14"/>
      <c r="BW34" s="14"/>
      <c r="IQ34" s="14"/>
      <c r="IR34" s="14"/>
      <c r="IS34" s="14"/>
      <c r="IT34" s="14"/>
      <c r="IU34" s="14"/>
      <c r="IV34" s="14"/>
      <c r="IW34" s="14"/>
    </row>
    <row r="35" spans="2:257" s="2" customFormat="1" ht="38.25">
      <c r="B35" s="49">
        <v>31</v>
      </c>
      <c r="C35" s="41"/>
      <c r="D35" s="175"/>
      <c r="E35" s="51"/>
      <c r="F35" s="15">
        <v>4374</v>
      </c>
      <c r="G35" s="15">
        <v>10112</v>
      </c>
      <c r="H35" s="15">
        <v>2638</v>
      </c>
      <c r="I35" s="16"/>
      <c r="J35" s="16"/>
      <c r="K35" s="4"/>
      <c r="L35" s="16">
        <v>4</v>
      </c>
      <c r="M35" s="4"/>
      <c r="N35" s="16" t="s">
        <v>217</v>
      </c>
      <c r="O35" s="16"/>
      <c r="P35" s="16" t="s">
        <v>214</v>
      </c>
      <c r="Q35" s="16" t="s">
        <v>215</v>
      </c>
      <c r="R35" s="16" t="s">
        <v>215</v>
      </c>
      <c r="S35" s="16" t="s">
        <v>215</v>
      </c>
      <c r="T35" s="16" t="s">
        <v>214</v>
      </c>
      <c r="U35" s="16"/>
      <c r="V35" s="17">
        <v>7</v>
      </c>
      <c r="W35" s="16"/>
      <c r="X35" s="16"/>
      <c r="Y35" s="16" t="s">
        <v>216</v>
      </c>
      <c r="Z35" s="18"/>
      <c r="AA35" s="19">
        <f>3*2+2</f>
        <v>8</v>
      </c>
      <c r="AB35" s="20"/>
      <c r="AC35" s="19">
        <f>+AA35+7</f>
        <v>15</v>
      </c>
      <c r="AD35" s="20"/>
      <c r="AE35" s="19">
        <f>+AA35*2</f>
        <v>16</v>
      </c>
      <c r="AF35" s="16"/>
      <c r="AG35" s="16"/>
      <c r="AH35" s="16"/>
      <c r="AI35" s="16"/>
      <c r="AJ35" s="17">
        <f>604.09+174.5/2</f>
        <v>691.34</v>
      </c>
      <c r="AK35" s="21"/>
      <c r="AL35" s="22">
        <v>390.89</v>
      </c>
      <c r="AM35" s="22">
        <v>0.56000000000000005</v>
      </c>
      <c r="AN35" s="22">
        <v>1.5</v>
      </c>
      <c r="AO35" s="22"/>
      <c r="AP35" s="22">
        <v>33639.694000000003</v>
      </c>
      <c r="AQ35" s="23">
        <v>70901.350000000006</v>
      </c>
      <c r="AR35" s="22" t="s">
        <v>57</v>
      </c>
      <c r="AS35" s="23" t="s">
        <v>218</v>
      </c>
      <c r="AT35" s="44">
        <v>44994</v>
      </c>
      <c r="AU35" s="24"/>
      <c r="AV35" s="45">
        <v>44889</v>
      </c>
      <c r="AW35" s="13"/>
      <c r="AX35" s="13"/>
      <c r="AY35" s="13"/>
      <c r="AZ35" s="13"/>
      <c r="BA35" s="13"/>
      <c r="BB35" s="13"/>
      <c r="BC35" s="13"/>
      <c r="BD35" s="13"/>
      <c r="BE35" s="13"/>
      <c r="BF35" s="13"/>
      <c r="BG35" s="13"/>
      <c r="BH35" s="14"/>
      <c r="BI35" s="14"/>
      <c r="BJ35" s="14"/>
      <c r="BK35" s="14"/>
      <c r="BL35" s="14"/>
      <c r="BM35" s="14"/>
      <c r="BN35" s="14"/>
      <c r="BO35" s="14"/>
      <c r="BP35" s="14"/>
      <c r="BQ35" s="14"/>
      <c r="BR35" s="14"/>
      <c r="BS35" s="14"/>
      <c r="BT35" s="14"/>
      <c r="BU35" s="14"/>
      <c r="BV35" s="14"/>
      <c r="BW35" s="14"/>
      <c r="IQ35" s="14"/>
      <c r="IR35" s="14"/>
      <c r="IS35" s="14"/>
      <c r="IT35" s="14"/>
      <c r="IU35" s="14"/>
      <c r="IV35" s="14"/>
      <c r="IW35" s="14"/>
    </row>
    <row r="36" spans="2:257" s="2" customFormat="1" ht="63.75">
      <c r="B36" s="49">
        <v>32</v>
      </c>
      <c r="C36" s="41">
        <v>550510</v>
      </c>
      <c r="D36" s="42">
        <v>44970</v>
      </c>
      <c r="E36" s="43" t="s">
        <v>65</v>
      </c>
      <c r="F36" s="15">
        <v>54983</v>
      </c>
      <c r="G36" s="15">
        <v>164038</v>
      </c>
      <c r="H36" s="15">
        <v>10019</v>
      </c>
      <c r="I36" s="16"/>
      <c r="J36" s="16"/>
      <c r="K36" s="16">
        <v>169</v>
      </c>
      <c r="L36" s="16">
        <v>20</v>
      </c>
      <c r="M36" s="16" t="s">
        <v>40</v>
      </c>
      <c r="N36" s="16" t="s">
        <v>219</v>
      </c>
      <c r="O36" s="16" t="s">
        <v>220</v>
      </c>
      <c r="P36" s="16"/>
      <c r="Q36" s="16" t="s">
        <v>221</v>
      </c>
      <c r="R36" s="16" t="s">
        <v>221</v>
      </c>
      <c r="S36" s="16" t="s">
        <v>221</v>
      </c>
      <c r="T36" s="16" t="s">
        <v>70</v>
      </c>
      <c r="U36" s="16"/>
      <c r="V36" s="17">
        <v>1</v>
      </c>
      <c r="W36" s="16"/>
      <c r="X36" s="16"/>
      <c r="Y36" s="16" t="s">
        <v>71</v>
      </c>
      <c r="Z36" s="18"/>
      <c r="AA36" s="19">
        <v>1</v>
      </c>
      <c r="AB36" s="20"/>
      <c r="AC36" s="19">
        <f>+AA36+1</f>
        <v>2</v>
      </c>
      <c r="AD36" s="20"/>
      <c r="AE36" s="19">
        <f>+AA36*2</f>
        <v>2</v>
      </c>
      <c r="AF36" s="16"/>
      <c r="AG36" s="16"/>
      <c r="AH36" s="16"/>
      <c r="AI36" s="16"/>
      <c r="AJ36" s="17">
        <f>36+15.1/2+36</f>
        <v>79.55</v>
      </c>
      <c r="AK36" s="21"/>
      <c r="AL36" s="22">
        <v>186.89</v>
      </c>
      <c r="AM36" s="22">
        <f>+(36+15.1)/AL36</f>
        <v>0.27342286906736585</v>
      </c>
      <c r="AN36" s="22">
        <f>+AJ36/AL36</f>
        <v>0.42565145272620258</v>
      </c>
      <c r="AO36" s="22">
        <f>+(30)/(10)</f>
        <v>3</v>
      </c>
      <c r="AP36" s="22">
        <f>+(48337+7*38659+28998*7+6*19335)/21*AJ36</f>
        <v>2416600.2047619047</v>
      </c>
      <c r="AQ36" s="23">
        <v>7565</v>
      </c>
      <c r="AR36" s="22" t="s">
        <v>57</v>
      </c>
      <c r="AS36" s="23" t="s">
        <v>222</v>
      </c>
      <c r="AT36" s="44">
        <v>44995</v>
      </c>
      <c r="AU36" s="24"/>
      <c r="AV36" s="45" t="s">
        <v>223</v>
      </c>
      <c r="AW36" s="13"/>
      <c r="AX36" s="13"/>
      <c r="AY36" s="13"/>
      <c r="AZ36" s="13"/>
      <c r="BA36" s="13"/>
      <c r="BB36" s="13"/>
      <c r="BC36" s="13"/>
      <c r="BD36" s="13"/>
      <c r="BE36" s="13"/>
      <c r="BF36" s="13"/>
      <c r="BG36" s="13"/>
      <c r="BH36" s="14"/>
      <c r="BI36" s="14"/>
      <c r="BJ36" s="14"/>
      <c r="BK36" s="14"/>
      <c r="BL36" s="14"/>
      <c r="BM36" s="14"/>
      <c r="BN36" s="14"/>
      <c r="BO36" s="14"/>
      <c r="BP36" s="14"/>
      <c r="BQ36" s="14"/>
      <c r="BR36" s="14"/>
      <c r="BS36" s="14"/>
      <c r="BT36" s="14"/>
      <c r="BU36" s="14"/>
      <c r="BV36" s="14"/>
      <c r="BW36" s="14"/>
      <c r="IQ36" s="14"/>
      <c r="IR36" s="14"/>
      <c r="IS36" s="14"/>
      <c r="IT36" s="14"/>
      <c r="IU36" s="14"/>
      <c r="IV36" s="14"/>
      <c r="IW36" s="14"/>
    </row>
    <row r="37" spans="2:257" s="2" customFormat="1" ht="89.25">
      <c r="B37" s="49">
        <v>33</v>
      </c>
      <c r="C37" s="41">
        <v>550631</v>
      </c>
      <c r="D37" s="42">
        <v>44985</v>
      </c>
      <c r="E37" s="42" t="s">
        <v>39</v>
      </c>
      <c r="F37" s="15">
        <v>19136</v>
      </c>
      <c r="G37" s="15">
        <v>108925</v>
      </c>
      <c r="H37" s="15">
        <v>3579</v>
      </c>
      <c r="I37" s="16"/>
      <c r="J37" s="16"/>
      <c r="K37" s="16">
        <v>688</v>
      </c>
      <c r="L37" s="16">
        <v>11</v>
      </c>
      <c r="M37" s="16" t="s">
        <v>101</v>
      </c>
      <c r="N37" s="16" t="s">
        <v>224</v>
      </c>
      <c r="O37" s="16" t="s">
        <v>225</v>
      </c>
      <c r="P37" s="16"/>
      <c r="Q37" s="16" t="s">
        <v>226</v>
      </c>
      <c r="R37" s="16" t="s">
        <v>226</v>
      </c>
      <c r="S37" s="16" t="s">
        <v>226</v>
      </c>
      <c r="T37" s="16" t="s">
        <v>70</v>
      </c>
      <c r="U37" s="16"/>
      <c r="V37" s="17">
        <v>1</v>
      </c>
      <c r="W37" s="16"/>
      <c r="X37" s="16"/>
      <c r="Y37" s="16" t="s">
        <v>71</v>
      </c>
      <c r="Z37" s="18"/>
      <c r="AA37" s="19">
        <v>3</v>
      </c>
      <c r="AB37" s="20"/>
      <c r="AC37" s="19">
        <f>+AA37+1+1</f>
        <v>5</v>
      </c>
      <c r="AD37" s="20"/>
      <c r="AE37" s="19">
        <f>+AA37*2</f>
        <v>6</v>
      </c>
      <c r="AF37" s="16"/>
      <c r="AG37" s="16"/>
      <c r="AH37" s="16"/>
      <c r="AI37" s="16"/>
      <c r="AJ37" s="17">
        <f>1.8/2+3.66/2+98.91+13.74/2+2.5/2+3.16/2+103.17</f>
        <v>214.51</v>
      </c>
      <c r="AK37" s="21"/>
      <c r="AL37" s="22">
        <v>237.18</v>
      </c>
      <c r="AM37" s="62">
        <f>+(13.74+1.8+3.66+98.91+2.5)/AL37</f>
        <v>0.50851673834218736</v>
      </c>
      <c r="AN37" s="22">
        <f>+AJ37/AL37</f>
        <v>0.90441858504089712</v>
      </c>
      <c r="AO37" s="22">
        <f>+(2+12+6)/(2+6+2)</f>
        <v>2</v>
      </c>
      <c r="AP37" s="22">
        <f>123370.59+((9*18109+4*14484+3*10864+9*7243)/22*AJ37)</f>
        <v>3230801.4518181817</v>
      </c>
      <c r="AQ37" s="23">
        <v>927</v>
      </c>
      <c r="AR37" s="22" t="s">
        <v>57</v>
      </c>
      <c r="AS37" s="23" t="s">
        <v>227</v>
      </c>
      <c r="AT37" s="44">
        <v>44629</v>
      </c>
      <c r="AU37" s="24"/>
      <c r="AV37" s="23" t="s">
        <v>228</v>
      </c>
      <c r="AW37" s="13"/>
      <c r="AX37" s="13"/>
      <c r="AY37" s="13"/>
      <c r="AZ37" s="13"/>
      <c r="BA37" s="13"/>
      <c r="BB37" s="13"/>
      <c r="BC37" s="13"/>
      <c r="BD37" s="13"/>
      <c r="BE37" s="13"/>
      <c r="BF37" s="13"/>
      <c r="BG37" s="13"/>
      <c r="BH37" s="14"/>
      <c r="BI37" s="14"/>
      <c r="BJ37" s="14"/>
      <c r="BK37" s="14"/>
      <c r="BL37" s="14"/>
      <c r="BM37" s="14"/>
      <c r="BN37" s="14"/>
      <c r="BO37" s="14"/>
      <c r="BP37" s="14"/>
      <c r="BQ37" s="14"/>
      <c r="BR37" s="14"/>
      <c r="BS37" s="14"/>
      <c r="BT37" s="14"/>
      <c r="BU37" s="14"/>
      <c r="BV37" s="14"/>
      <c r="BW37" s="14"/>
      <c r="IQ37" s="14"/>
      <c r="IR37" s="14"/>
      <c r="IS37" s="14"/>
      <c r="IT37" s="14"/>
      <c r="IU37" s="14"/>
      <c r="IV37" s="14"/>
      <c r="IW37" s="14"/>
    </row>
    <row r="38" spans="2:257" s="2" customFormat="1" ht="38.25">
      <c r="B38" s="49">
        <v>34</v>
      </c>
      <c r="C38" s="41">
        <v>550835</v>
      </c>
      <c r="D38" s="42">
        <v>44991</v>
      </c>
      <c r="E38" s="43" t="s">
        <v>87</v>
      </c>
      <c r="F38" s="15">
        <v>6668</v>
      </c>
      <c r="G38" s="15">
        <v>2242</v>
      </c>
      <c r="H38" s="15">
        <v>2229</v>
      </c>
      <c r="I38" s="16"/>
      <c r="J38" s="16"/>
      <c r="K38" s="16">
        <v>26</v>
      </c>
      <c r="L38" s="16">
        <v>19</v>
      </c>
      <c r="M38" s="16" t="s">
        <v>88</v>
      </c>
      <c r="N38" s="16" t="s">
        <v>229</v>
      </c>
      <c r="O38" s="16" t="s">
        <v>230</v>
      </c>
      <c r="P38" s="16"/>
      <c r="Q38" s="16" t="s">
        <v>231</v>
      </c>
      <c r="R38" s="16" t="s">
        <v>232</v>
      </c>
      <c r="S38" s="16" t="s">
        <v>231</v>
      </c>
      <c r="T38" s="16" t="s">
        <v>233</v>
      </c>
      <c r="U38" s="16"/>
      <c r="V38" s="17"/>
      <c r="W38" s="16">
        <v>1</v>
      </c>
      <c r="X38" s="16"/>
      <c r="Y38" s="16" t="s">
        <v>234</v>
      </c>
      <c r="Z38" s="18"/>
      <c r="AA38" s="19"/>
      <c r="AB38" s="20"/>
      <c r="AC38" s="19"/>
      <c r="AD38" s="20"/>
      <c r="AE38" s="19"/>
      <c r="AF38" s="16">
        <f>171.23+50.99/2</f>
        <v>196.72499999999999</v>
      </c>
      <c r="AG38" s="16"/>
      <c r="AH38" s="16"/>
      <c r="AI38" s="16"/>
      <c r="AJ38" s="17">
        <v>91.67</v>
      </c>
      <c r="AK38" s="21"/>
      <c r="AL38" s="22">
        <v>519.79</v>
      </c>
      <c r="AM38" s="22">
        <f>+(171.23+91.67+50.89)/AL38</f>
        <v>0.60368610400353984</v>
      </c>
      <c r="AN38" s="22">
        <f>+(AF38+AJ38)/AL38</f>
        <v>0.55482983512572381</v>
      </c>
      <c r="AO38" s="22">
        <f>+(8+15+12)/(4+5+2)</f>
        <v>3.1818181818181817</v>
      </c>
      <c r="AP38" s="22">
        <f>+(3*48337+7*38659+28998*7+5*19335)/22*AJ38</f>
        <v>2980462.543181818</v>
      </c>
      <c r="AQ38" s="23">
        <v>927</v>
      </c>
      <c r="AR38" s="22" t="s">
        <v>235</v>
      </c>
      <c r="AS38" s="23" t="s">
        <v>236</v>
      </c>
      <c r="AT38" s="44">
        <v>44995</v>
      </c>
      <c r="AU38" s="24"/>
      <c r="AV38" s="45">
        <v>44992</v>
      </c>
      <c r="AW38" s="13"/>
      <c r="AX38" s="13"/>
      <c r="AY38" s="13"/>
      <c r="AZ38" s="13"/>
      <c r="BA38" s="13"/>
      <c r="BB38" s="13"/>
      <c r="BC38" s="13"/>
      <c r="BD38" s="13"/>
      <c r="BE38" s="13"/>
      <c r="BF38" s="13"/>
      <c r="BG38" s="13"/>
      <c r="BH38" s="14"/>
      <c r="BI38" s="14"/>
      <c r="BJ38" s="14"/>
      <c r="BK38" s="14"/>
      <c r="BL38" s="14"/>
      <c r="BM38" s="14"/>
      <c r="BN38" s="14"/>
      <c r="BO38" s="14"/>
      <c r="BP38" s="14"/>
      <c r="BQ38" s="14"/>
      <c r="BR38" s="14"/>
      <c r="BS38" s="14"/>
      <c r="BT38" s="14"/>
      <c r="BU38" s="14"/>
      <c r="BV38" s="14"/>
      <c r="BW38" s="14"/>
      <c r="IQ38" s="14"/>
      <c r="IR38" s="14"/>
      <c r="IS38" s="14"/>
      <c r="IT38" s="14"/>
      <c r="IU38" s="14"/>
      <c r="IV38" s="14"/>
      <c r="IW38" s="14"/>
    </row>
    <row r="39" spans="2:257" s="2" customFormat="1" ht="63.75">
      <c r="B39" s="49">
        <v>35</v>
      </c>
      <c r="C39" s="63" t="s">
        <v>237</v>
      </c>
      <c r="D39" s="42">
        <v>44946</v>
      </c>
      <c r="E39" s="43" t="s">
        <v>46</v>
      </c>
      <c r="F39" s="15">
        <v>46084</v>
      </c>
      <c r="G39" s="15">
        <v>149110</v>
      </c>
      <c r="H39" s="15">
        <v>9061</v>
      </c>
      <c r="I39" s="16"/>
      <c r="J39" s="16"/>
      <c r="K39" s="16">
        <v>503</v>
      </c>
      <c r="L39" s="16">
        <v>19</v>
      </c>
      <c r="M39" s="16" t="s">
        <v>238</v>
      </c>
      <c r="N39" s="16" t="s">
        <v>239</v>
      </c>
      <c r="O39" s="16" t="s">
        <v>240</v>
      </c>
      <c r="P39" s="16"/>
      <c r="Q39" s="16" t="s">
        <v>241</v>
      </c>
      <c r="R39" s="16"/>
      <c r="S39" s="16"/>
      <c r="T39" s="16"/>
      <c r="U39" s="16">
        <f>1+1</f>
        <v>2</v>
      </c>
      <c r="V39" s="17"/>
      <c r="W39" s="16"/>
      <c r="X39" s="16"/>
      <c r="Y39" s="16" t="s">
        <v>242</v>
      </c>
      <c r="Z39" s="18"/>
      <c r="AA39" s="19"/>
      <c r="AB39" s="20"/>
      <c r="AC39" s="19"/>
      <c r="AD39" s="20"/>
      <c r="AE39" s="19"/>
      <c r="AF39" s="16"/>
      <c r="AG39" s="16"/>
      <c r="AH39" s="16">
        <f>75.35+63.13/2+104.92+33.6/2</f>
        <v>228.63499999999999</v>
      </c>
      <c r="AI39" s="16"/>
      <c r="AJ39" s="17"/>
      <c r="AK39" s="21"/>
      <c r="AL39" s="22">
        <v>200.25</v>
      </c>
      <c r="AM39" s="22">
        <f>+(75.35+63.13)/AL39</f>
        <v>0.6915355805243445</v>
      </c>
      <c r="AN39" s="22">
        <f>+AH39/AL39</f>
        <v>1.1417478152309612</v>
      </c>
      <c r="AO39" s="22"/>
      <c r="AP39" s="22">
        <f>+(8*33423+5*26491+5*19871+3*13249)/21*AH39</f>
        <v>5867655.9778571427</v>
      </c>
      <c r="AQ39" s="23">
        <v>89235.520000000004</v>
      </c>
      <c r="AR39" s="22" t="s">
        <v>57</v>
      </c>
      <c r="AS39" s="23" t="s">
        <v>243</v>
      </c>
      <c r="AT39" s="44">
        <v>44998</v>
      </c>
      <c r="AU39" s="24"/>
      <c r="AV39" s="45">
        <v>44994</v>
      </c>
      <c r="AW39" s="13"/>
      <c r="AX39" s="13"/>
      <c r="AY39" s="13"/>
      <c r="AZ39" s="13"/>
      <c r="BA39" s="13"/>
      <c r="BB39" s="13"/>
      <c r="BC39" s="13"/>
      <c r="BD39" s="13"/>
      <c r="BE39" s="13"/>
      <c r="BF39" s="13"/>
      <c r="BG39" s="13"/>
      <c r="BH39" s="14"/>
      <c r="BI39" s="14"/>
      <c r="BJ39" s="14"/>
      <c r="BK39" s="14"/>
      <c r="BL39" s="14"/>
      <c r="BM39" s="14"/>
      <c r="BN39" s="14"/>
      <c r="BO39" s="14"/>
      <c r="BP39" s="14"/>
      <c r="BQ39" s="14"/>
      <c r="BR39" s="14"/>
      <c r="BS39" s="14"/>
      <c r="BT39" s="14"/>
      <c r="BU39" s="14"/>
      <c r="BV39" s="14"/>
      <c r="BW39" s="14"/>
      <c r="IQ39" s="14"/>
      <c r="IR39" s="14"/>
      <c r="IS39" s="14"/>
      <c r="IT39" s="14"/>
      <c r="IU39" s="14"/>
      <c r="IV39" s="14"/>
      <c r="IW39" s="14"/>
    </row>
    <row r="40" spans="2:257" s="2" customFormat="1" ht="63.75">
      <c r="B40" s="49">
        <v>36</v>
      </c>
      <c r="C40" s="58">
        <v>547148</v>
      </c>
      <c r="D40" s="42">
        <v>44862</v>
      </c>
      <c r="E40" s="43" t="s">
        <v>46</v>
      </c>
      <c r="F40" s="15">
        <v>34013</v>
      </c>
      <c r="G40" s="15">
        <v>133573</v>
      </c>
      <c r="H40" s="15">
        <v>7205</v>
      </c>
      <c r="I40" s="16"/>
      <c r="J40" s="16"/>
      <c r="K40" s="16">
        <v>685</v>
      </c>
      <c r="L40" s="16">
        <v>21</v>
      </c>
      <c r="M40" s="16" t="s">
        <v>145</v>
      </c>
      <c r="N40" s="16" t="s">
        <v>244</v>
      </c>
      <c r="O40" s="16" t="s">
        <v>245</v>
      </c>
      <c r="P40" s="16"/>
      <c r="Q40" s="16" t="s">
        <v>246</v>
      </c>
      <c r="R40" s="16"/>
      <c r="S40" s="16"/>
      <c r="T40" s="16"/>
      <c r="U40" s="16">
        <f>1+1</f>
        <v>2</v>
      </c>
      <c r="V40" s="17"/>
      <c r="W40" s="16"/>
      <c r="X40" s="16"/>
      <c r="Y40" s="16" t="s">
        <v>247</v>
      </c>
      <c r="Z40" s="18">
        <v>2</v>
      </c>
      <c r="AA40" s="19"/>
      <c r="AB40" s="20">
        <f>+Z40+1</f>
        <v>3</v>
      </c>
      <c r="AC40" s="19"/>
      <c r="AD40" s="20">
        <f>+Z40*2</f>
        <v>4</v>
      </c>
      <c r="AE40" s="19"/>
      <c r="AF40" s="16"/>
      <c r="AG40" s="16"/>
      <c r="AH40" s="16">
        <f>56.63+23.93/2</f>
        <v>68.594999999999999</v>
      </c>
      <c r="AI40" s="16">
        <v>21.13</v>
      </c>
      <c r="AJ40" s="17"/>
      <c r="AK40" s="21"/>
      <c r="AL40" s="22">
        <v>160</v>
      </c>
      <c r="AM40" s="22">
        <f>+(AI40+56.63+23.93)/AL40</f>
        <v>0.63556250000000003</v>
      </c>
      <c r="AN40" s="22">
        <f>+(AH40+AI40)/AL40</f>
        <v>0.56078125000000001</v>
      </c>
      <c r="AO40" s="22">
        <f>+(2+3+28+18)/(1+1+7+3)</f>
        <v>4.25</v>
      </c>
      <c r="AP40" s="22">
        <f>+((33123+3*26491+3*19871+10*13249)/20*AH40)+(AI40*26491)</f>
        <v>1604796.2252500001</v>
      </c>
      <c r="AQ40" s="23">
        <v>26182.54</v>
      </c>
      <c r="AR40" s="22" t="s">
        <v>57</v>
      </c>
      <c r="AS40" s="23" t="s">
        <v>248</v>
      </c>
      <c r="AT40" s="44">
        <v>44998</v>
      </c>
      <c r="AU40" s="24"/>
      <c r="AV40" s="45">
        <v>44866</v>
      </c>
      <c r="AW40" s="13"/>
      <c r="AX40" s="13"/>
      <c r="AY40" s="13"/>
      <c r="AZ40" s="13"/>
      <c r="BA40" s="13"/>
      <c r="BB40" s="13"/>
      <c r="BC40" s="13"/>
      <c r="BD40" s="13"/>
      <c r="BE40" s="13"/>
      <c r="BF40" s="13"/>
      <c r="BG40" s="13"/>
      <c r="BH40" s="14"/>
      <c r="BI40" s="14"/>
      <c r="BJ40" s="14"/>
      <c r="BK40" s="14"/>
      <c r="BL40" s="14"/>
      <c r="BM40" s="14"/>
      <c r="BN40" s="14"/>
      <c r="BO40" s="14"/>
      <c r="BP40" s="14"/>
      <c r="BQ40" s="14"/>
      <c r="BR40" s="14"/>
      <c r="BS40" s="14"/>
      <c r="BT40" s="14"/>
      <c r="BU40" s="14"/>
      <c r="BV40" s="14"/>
      <c r="BW40" s="14"/>
      <c r="IQ40" s="14"/>
      <c r="IR40" s="14"/>
      <c r="IS40" s="14"/>
      <c r="IT40" s="14"/>
      <c r="IU40" s="14"/>
      <c r="IV40" s="14"/>
      <c r="IW40" s="14"/>
    </row>
    <row r="41" spans="2:257" s="2" customFormat="1" ht="38.25">
      <c r="B41" s="49">
        <v>37</v>
      </c>
      <c r="C41" s="41">
        <v>548344</v>
      </c>
      <c r="D41" s="50">
        <v>44896</v>
      </c>
      <c r="E41" s="51" t="s">
        <v>65</v>
      </c>
      <c r="F41" s="15">
        <v>101573</v>
      </c>
      <c r="G41" s="15">
        <v>10450</v>
      </c>
      <c r="H41" s="15">
        <v>20056</v>
      </c>
      <c r="I41" s="16"/>
      <c r="J41" s="16"/>
      <c r="K41" s="4">
        <v>437</v>
      </c>
      <c r="L41" s="16">
        <v>1</v>
      </c>
      <c r="M41" s="4" t="s">
        <v>249</v>
      </c>
      <c r="N41" s="16" t="s">
        <v>250</v>
      </c>
      <c r="O41" s="16" t="s">
        <v>233</v>
      </c>
      <c r="P41" s="16" t="s">
        <v>233</v>
      </c>
      <c r="Q41" s="16" t="s">
        <v>231</v>
      </c>
      <c r="R41" s="16" t="s">
        <v>231</v>
      </c>
      <c r="S41" s="16" t="s">
        <v>231</v>
      </c>
      <c r="T41" s="16" t="s">
        <v>233</v>
      </c>
      <c r="U41" s="16"/>
      <c r="V41" s="17">
        <v>3</v>
      </c>
      <c r="W41" s="16"/>
      <c r="X41" s="16"/>
      <c r="Y41" s="16" t="s">
        <v>44</v>
      </c>
      <c r="Z41" s="18"/>
      <c r="AA41" s="19">
        <f>2+2+2</f>
        <v>6</v>
      </c>
      <c r="AB41" s="20"/>
      <c r="AC41" s="19">
        <f>+AA41+1+1+1</f>
        <v>9</v>
      </c>
      <c r="AD41" s="20"/>
      <c r="AE41" s="19">
        <f>+AA41*2</f>
        <v>12</v>
      </c>
      <c r="AF41" s="16"/>
      <c r="AG41" s="16"/>
      <c r="AH41" s="16"/>
      <c r="AI41" s="16"/>
      <c r="AJ41" s="17">
        <f>116.75+11.41/2+106.45+9.49/2</f>
        <v>233.65</v>
      </c>
      <c r="AK41" s="21"/>
      <c r="AL41" s="22">
        <v>360</v>
      </c>
      <c r="AM41" s="22">
        <f>+(4.18+15.93+38.93+1.3+15.69+3.33+15.69+77.82+1.3+1.3)/AL41</f>
        <v>0.48741666666666672</v>
      </c>
      <c r="AN41" s="22">
        <f>+(116.75+11.41/2+106.45+9.49/2)/AL41</f>
        <v>0.64902777777777776</v>
      </c>
      <c r="AO41" s="22">
        <f>+(2+24)/(1+8)</f>
        <v>2.8888888888888888</v>
      </c>
      <c r="AP41" s="22">
        <f>+(3*33123+4*26491+7*19871+5*13249)/20*AJ41</f>
        <v>4797710.6875</v>
      </c>
      <c r="AQ41" s="23">
        <v>26025.13</v>
      </c>
      <c r="AR41" s="22" t="s">
        <v>77</v>
      </c>
      <c r="AS41" s="23" t="s">
        <v>251</v>
      </c>
      <c r="AT41" s="44">
        <v>45000</v>
      </c>
      <c r="AU41" s="24"/>
      <c r="AV41" s="45">
        <v>44902</v>
      </c>
      <c r="AW41" s="13"/>
      <c r="AX41" s="13"/>
      <c r="AY41" s="13"/>
      <c r="AZ41" s="13"/>
      <c r="BA41" s="13"/>
      <c r="BB41" s="13"/>
      <c r="BC41" s="13"/>
      <c r="BD41" s="13"/>
      <c r="BE41" s="13"/>
      <c r="BF41" s="13"/>
      <c r="BG41" s="13"/>
      <c r="BH41" s="14"/>
      <c r="BI41" s="14"/>
      <c r="BJ41" s="14"/>
      <c r="BK41" s="14"/>
      <c r="BL41" s="14"/>
      <c r="BM41" s="14"/>
      <c r="BN41" s="14"/>
      <c r="BO41" s="14"/>
      <c r="BP41" s="14"/>
      <c r="BQ41" s="14"/>
      <c r="BR41" s="14"/>
      <c r="BS41" s="14"/>
      <c r="BT41" s="14"/>
      <c r="BU41" s="14"/>
      <c r="BV41" s="14"/>
      <c r="BW41" s="14"/>
      <c r="IQ41" s="14"/>
      <c r="IR41" s="14"/>
      <c r="IS41" s="14"/>
      <c r="IT41" s="14"/>
      <c r="IU41" s="14"/>
      <c r="IV41" s="14"/>
      <c r="IW41" s="14"/>
    </row>
    <row r="42" spans="2:257" s="2" customFormat="1" ht="38.25">
      <c r="B42" s="49">
        <v>38</v>
      </c>
      <c r="C42" s="41" t="s">
        <v>252</v>
      </c>
      <c r="D42" s="42">
        <v>44958</v>
      </c>
      <c r="E42" s="43" t="s">
        <v>46</v>
      </c>
      <c r="F42" s="15">
        <v>11192</v>
      </c>
      <c r="G42" s="15">
        <v>1200</v>
      </c>
      <c r="H42" s="15">
        <v>4836</v>
      </c>
      <c r="I42" s="16"/>
      <c r="J42" s="16"/>
      <c r="K42" s="16">
        <v>28</v>
      </c>
      <c r="L42" s="16">
        <v>14</v>
      </c>
      <c r="M42" s="16" t="s">
        <v>96</v>
      </c>
      <c r="N42" s="16" t="s">
        <v>253</v>
      </c>
      <c r="O42" s="16" t="s">
        <v>254</v>
      </c>
      <c r="P42" s="16"/>
      <c r="Q42" s="16" t="s">
        <v>226</v>
      </c>
      <c r="R42" s="16" t="s">
        <v>226</v>
      </c>
      <c r="S42" s="16"/>
      <c r="T42" s="16" t="s">
        <v>255</v>
      </c>
      <c r="U42" s="16"/>
      <c r="V42" s="17">
        <v>1</v>
      </c>
      <c r="W42" s="16"/>
      <c r="X42" s="16"/>
      <c r="Y42" s="16" t="s">
        <v>256</v>
      </c>
      <c r="Z42" s="18"/>
      <c r="AA42" s="19"/>
      <c r="AB42" s="20"/>
      <c r="AC42" s="19"/>
      <c r="AD42" s="20"/>
      <c r="AE42" s="19"/>
      <c r="AF42" s="16"/>
      <c r="AG42" s="16"/>
      <c r="AH42" s="16"/>
      <c r="AI42" s="16"/>
      <c r="AJ42" s="17">
        <f>109.65+24.96/2</f>
        <v>122.13000000000001</v>
      </c>
      <c r="AK42" s="21"/>
      <c r="AL42" s="22">
        <v>789</v>
      </c>
      <c r="AM42" s="22"/>
      <c r="AN42" s="22"/>
      <c r="AO42" s="22">
        <f>+(20+15)/(5+3)</f>
        <v>4.375</v>
      </c>
      <c r="AP42" s="22">
        <v>977234.68</v>
      </c>
      <c r="AQ42" s="23">
        <v>58096.73</v>
      </c>
      <c r="AR42" s="22" t="s">
        <v>57</v>
      </c>
      <c r="AS42" s="23" t="s">
        <v>257</v>
      </c>
      <c r="AT42" s="44">
        <v>44998</v>
      </c>
      <c r="AU42" s="24"/>
      <c r="AV42" s="45">
        <v>44963</v>
      </c>
      <c r="AW42" s="13"/>
      <c r="AX42" s="13"/>
      <c r="AY42" s="13"/>
      <c r="AZ42" s="13"/>
      <c r="BA42" s="13"/>
      <c r="BB42" s="13"/>
      <c r="BC42" s="13"/>
      <c r="BD42" s="13"/>
      <c r="BE42" s="13"/>
      <c r="BF42" s="13"/>
      <c r="BG42" s="13"/>
      <c r="BH42" s="14"/>
      <c r="BI42" s="14"/>
      <c r="BJ42" s="14"/>
      <c r="BK42" s="14"/>
      <c r="BL42" s="14"/>
      <c r="BM42" s="14"/>
      <c r="BN42" s="14"/>
      <c r="BO42" s="14"/>
      <c r="BP42" s="14"/>
      <c r="BQ42" s="14"/>
      <c r="BR42" s="14"/>
      <c r="BS42" s="14"/>
      <c r="BT42" s="14"/>
      <c r="BU42" s="14"/>
      <c r="BV42" s="14"/>
      <c r="BW42" s="14"/>
      <c r="IQ42" s="14"/>
      <c r="IR42" s="14"/>
      <c r="IS42" s="14"/>
      <c r="IT42" s="14"/>
      <c r="IU42" s="14"/>
      <c r="IV42" s="14"/>
      <c r="IW42" s="14"/>
    </row>
    <row r="43" spans="2:257" s="2" customFormat="1" ht="38.25">
      <c r="B43" s="49">
        <v>39</v>
      </c>
      <c r="C43" s="41" t="s">
        <v>258</v>
      </c>
      <c r="D43" s="50">
        <v>44895</v>
      </c>
      <c r="E43" s="51" t="s">
        <v>46</v>
      </c>
      <c r="F43" s="15">
        <v>54280</v>
      </c>
      <c r="G43" s="15">
        <v>163485</v>
      </c>
      <c r="H43" s="15">
        <v>33341</v>
      </c>
      <c r="I43" s="16">
        <v>223</v>
      </c>
      <c r="J43" s="16"/>
      <c r="K43" s="4">
        <v>6</v>
      </c>
      <c r="L43" s="16">
        <v>7</v>
      </c>
      <c r="M43" s="4" t="s">
        <v>249</v>
      </c>
      <c r="N43" s="16" t="s">
        <v>89</v>
      </c>
      <c r="O43" s="16" t="s">
        <v>259</v>
      </c>
      <c r="P43" s="16"/>
      <c r="Q43" s="16" t="s">
        <v>260</v>
      </c>
      <c r="R43" s="16"/>
      <c r="S43" s="16"/>
      <c r="T43" s="16" t="s">
        <v>70</v>
      </c>
      <c r="U43" s="16">
        <v>2</v>
      </c>
      <c r="V43" s="17"/>
      <c r="W43" s="16"/>
      <c r="X43" s="16"/>
      <c r="Y43" s="16" t="s">
        <v>71</v>
      </c>
      <c r="Z43" s="18">
        <f>3+1</f>
        <v>4</v>
      </c>
      <c r="AA43" s="19"/>
      <c r="AB43" s="20">
        <f>+Z43+1</f>
        <v>5</v>
      </c>
      <c r="AC43" s="19"/>
      <c r="AD43" s="20">
        <f>+Z43*2</f>
        <v>8</v>
      </c>
      <c r="AE43" s="19"/>
      <c r="AF43" s="16"/>
      <c r="AG43" s="16"/>
      <c r="AH43" s="16">
        <f>163.8+33.07/2</f>
        <v>180.33500000000001</v>
      </c>
      <c r="AI43" s="16"/>
      <c r="AJ43" s="17"/>
      <c r="AK43" s="21"/>
      <c r="AL43" s="22">
        <v>962.74</v>
      </c>
      <c r="AM43" s="22">
        <f>+(163.8+15.68)/AL43</f>
        <v>0.18642624176828637</v>
      </c>
      <c r="AN43" s="22">
        <f>+AH43/AL43</f>
        <v>0.1873143320107194</v>
      </c>
      <c r="AO43" s="22"/>
      <c r="AP43" s="22">
        <f>+(4*26491+8*19871+8*13249)/20*AH43</f>
        <v>3344528.9770000004</v>
      </c>
      <c r="AQ43" s="23">
        <v>88622.7</v>
      </c>
      <c r="AR43" s="22" t="s">
        <v>57</v>
      </c>
      <c r="AS43" s="23" t="s">
        <v>261</v>
      </c>
      <c r="AT43" s="44">
        <v>45000</v>
      </c>
      <c r="AU43" s="24"/>
      <c r="AV43" s="45">
        <v>44992</v>
      </c>
      <c r="AW43" s="13"/>
      <c r="AX43" s="13"/>
      <c r="AY43" s="13"/>
      <c r="AZ43" s="13"/>
      <c r="BA43" s="13"/>
      <c r="BB43" s="13"/>
      <c r="BC43" s="13"/>
      <c r="BD43" s="13"/>
      <c r="BE43" s="13"/>
      <c r="BF43" s="13"/>
      <c r="BG43" s="13"/>
      <c r="BH43" s="14"/>
      <c r="BI43" s="14"/>
      <c r="BJ43" s="14"/>
      <c r="BK43" s="14"/>
      <c r="BL43" s="14"/>
      <c r="BM43" s="14"/>
      <c r="BN43" s="14"/>
      <c r="BO43" s="14"/>
      <c r="BP43" s="14"/>
      <c r="BQ43" s="14"/>
      <c r="BR43" s="14"/>
      <c r="BS43" s="14"/>
      <c r="BT43" s="14"/>
      <c r="BU43" s="14"/>
      <c r="BV43" s="14"/>
      <c r="BW43" s="14"/>
      <c r="IQ43" s="14"/>
      <c r="IR43" s="14"/>
      <c r="IS43" s="14"/>
      <c r="IT43" s="14"/>
      <c r="IU43" s="14"/>
      <c r="IV43" s="14"/>
      <c r="IW43" s="14"/>
    </row>
    <row r="44" spans="2:257" s="2" customFormat="1" ht="51">
      <c r="B44" s="64">
        <v>40</v>
      </c>
      <c r="C44" s="41">
        <v>550967</v>
      </c>
      <c r="D44" s="50">
        <v>44994</v>
      </c>
      <c r="E44" s="51" t="s">
        <v>80</v>
      </c>
      <c r="F44" s="15">
        <v>5244</v>
      </c>
      <c r="G44" s="15">
        <v>50003</v>
      </c>
      <c r="H44" s="15">
        <v>2882</v>
      </c>
      <c r="I44" s="16"/>
      <c r="J44" s="16"/>
      <c r="K44" s="4">
        <v>731</v>
      </c>
      <c r="L44" s="16">
        <v>20</v>
      </c>
      <c r="M44" s="4" t="s">
        <v>96</v>
      </c>
      <c r="N44" s="16" t="s">
        <v>262</v>
      </c>
      <c r="O44" s="16" t="s">
        <v>263</v>
      </c>
      <c r="P44" s="16"/>
      <c r="Q44" s="16" t="s">
        <v>264</v>
      </c>
      <c r="R44" s="16" t="s">
        <v>264</v>
      </c>
      <c r="S44" s="16" t="s">
        <v>264</v>
      </c>
      <c r="T44" s="16" t="s">
        <v>265</v>
      </c>
      <c r="U44" s="16"/>
      <c r="V44" s="17">
        <v>1</v>
      </c>
      <c r="W44" s="16"/>
      <c r="X44" s="16"/>
      <c r="Y44" s="16" t="s">
        <v>266</v>
      </c>
      <c r="Z44" s="18"/>
      <c r="AA44" s="19"/>
      <c r="AB44" s="20"/>
      <c r="AC44" s="19"/>
      <c r="AD44" s="20"/>
      <c r="AE44" s="19"/>
      <c r="AF44" s="16"/>
      <c r="AG44" s="16"/>
      <c r="AH44" s="16"/>
      <c r="AI44" s="16"/>
      <c r="AJ44" s="17"/>
      <c r="AK44" s="21">
        <f>79.5+23.25/2+23.25/2</f>
        <v>102.75</v>
      </c>
      <c r="AL44" s="22">
        <v>341</v>
      </c>
      <c r="AM44" s="22">
        <f>+(79.5+23.25)/AL44</f>
        <v>0.30131964809384165</v>
      </c>
      <c r="AN44" s="22">
        <f>+AK44/AL44</f>
        <v>0.30131964809384165</v>
      </c>
      <c r="AO44" s="22"/>
      <c r="AP44" s="22">
        <v>300000</v>
      </c>
      <c r="AQ44" s="23">
        <v>23659</v>
      </c>
      <c r="AR44" s="22" t="s">
        <v>57</v>
      </c>
      <c r="AS44" s="23" t="s">
        <v>267</v>
      </c>
      <c r="AT44" s="44">
        <v>45002</v>
      </c>
      <c r="AU44" s="24"/>
      <c r="AV44" s="65"/>
      <c r="AW44" s="13"/>
      <c r="AX44" s="13"/>
      <c r="AY44" s="13"/>
      <c r="AZ44" s="13"/>
      <c r="BA44" s="13"/>
      <c r="BB44" s="13"/>
      <c r="BC44" s="13"/>
      <c r="BD44" s="13"/>
      <c r="BE44" s="13"/>
      <c r="BF44" s="13"/>
      <c r="BG44" s="13"/>
      <c r="BH44" s="14"/>
      <c r="BI44" s="14"/>
      <c r="BJ44" s="14"/>
      <c r="BK44" s="14"/>
      <c r="BL44" s="14"/>
      <c r="BM44" s="14"/>
      <c r="BN44" s="14"/>
      <c r="BO44" s="14"/>
      <c r="BP44" s="14"/>
      <c r="BQ44" s="14"/>
      <c r="BR44" s="14"/>
      <c r="BS44" s="14"/>
      <c r="BT44" s="14"/>
      <c r="BU44" s="14"/>
      <c r="BV44" s="14"/>
      <c r="BW44" s="14"/>
      <c r="IQ44" s="14"/>
      <c r="IR44" s="14"/>
      <c r="IS44" s="14"/>
      <c r="IT44" s="14"/>
      <c r="IU44" s="14"/>
      <c r="IV44" s="14"/>
      <c r="IW44" s="14"/>
    </row>
    <row r="45" spans="2:257" s="25" customFormat="1" ht="63.75">
      <c r="B45" s="66">
        <v>41</v>
      </c>
      <c r="C45" s="41">
        <v>550867</v>
      </c>
      <c r="D45" s="42">
        <v>44992</v>
      </c>
      <c r="E45" s="43" t="s">
        <v>46</v>
      </c>
      <c r="F45" s="15">
        <v>39365</v>
      </c>
      <c r="G45" s="15">
        <v>138106</v>
      </c>
      <c r="H45" s="15">
        <v>8233</v>
      </c>
      <c r="I45" s="16"/>
      <c r="J45" s="16"/>
      <c r="K45" s="16">
        <v>185</v>
      </c>
      <c r="L45" s="16">
        <v>6</v>
      </c>
      <c r="M45" s="16" t="s">
        <v>268</v>
      </c>
      <c r="N45" s="16" t="s">
        <v>269</v>
      </c>
      <c r="O45" s="31" t="s">
        <v>270</v>
      </c>
      <c r="P45" s="31"/>
      <c r="Q45" s="31" t="s">
        <v>271</v>
      </c>
      <c r="R45" s="31"/>
      <c r="S45" s="31"/>
      <c r="T45" s="31"/>
      <c r="U45" s="31">
        <v>1</v>
      </c>
      <c r="V45" s="31"/>
      <c r="W45" s="31"/>
      <c r="X45" s="31"/>
      <c r="Y45" s="31" t="s">
        <v>62</v>
      </c>
      <c r="Z45" s="32"/>
      <c r="AA45" s="32"/>
      <c r="AB45" s="32"/>
      <c r="AC45" s="32"/>
      <c r="AD45" s="32"/>
      <c r="AE45" s="32"/>
      <c r="AF45" s="31"/>
      <c r="AG45" s="31"/>
      <c r="AH45" s="31"/>
      <c r="AI45" s="31">
        <v>48.06</v>
      </c>
      <c r="AJ45" s="31"/>
      <c r="AK45" s="33"/>
      <c r="AL45" s="22">
        <v>451.16</v>
      </c>
      <c r="AM45" s="33">
        <f>+AI45/AL45</f>
        <v>0.10652540118804858</v>
      </c>
      <c r="AN45" s="33">
        <f>+AI45/AL45</f>
        <v>0.10652540118804858</v>
      </c>
      <c r="AO45" s="33"/>
      <c r="AP45" s="33">
        <f>+AI45*38659</f>
        <v>1857951.54</v>
      </c>
      <c r="AQ45" s="34">
        <v>16722.87</v>
      </c>
      <c r="AR45" s="33" t="s">
        <v>57</v>
      </c>
      <c r="AS45" s="34" t="s">
        <v>272</v>
      </c>
      <c r="AT45" s="35">
        <v>45000</v>
      </c>
      <c r="AU45" s="36"/>
      <c r="AV45" s="37">
        <v>44992</v>
      </c>
      <c r="AW45" s="38"/>
      <c r="AX45" s="38"/>
      <c r="AY45" s="38"/>
      <c r="AZ45" s="38"/>
      <c r="BA45" s="38"/>
      <c r="BB45" s="38"/>
      <c r="BC45" s="38"/>
      <c r="BD45" s="38"/>
      <c r="BE45" s="38"/>
      <c r="BF45" s="38"/>
      <c r="BG45" s="38"/>
      <c r="BH45" s="39"/>
      <c r="BI45" s="39"/>
      <c r="BJ45" s="39"/>
      <c r="BK45" s="39"/>
      <c r="BL45" s="39"/>
      <c r="BM45" s="39"/>
      <c r="BN45" s="39"/>
      <c r="BO45" s="39"/>
      <c r="BP45" s="39"/>
      <c r="BQ45" s="39"/>
      <c r="BR45" s="39"/>
      <c r="BS45" s="39"/>
      <c r="BT45" s="39"/>
      <c r="BU45" s="39"/>
      <c r="BV45" s="39"/>
      <c r="BW45" s="39"/>
      <c r="IQ45" s="39"/>
      <c r="IR45" s="39"/>
      <c r="IS45" s="39"/>
      <c r="IT45" s="39"/>
      <c r="IU45" s="39"/>
      <c r="IV45" s="39"/>
      <c r="IW45" s="39"/>
    </row>
    <row r="46" spans="2:257" s="25" customFormat="1" ht="38.25">
      <c r="B46" s="66">
        <v>42</v>
      </c>
      <c r="C46" s="46" t="s">
        <v>273</v>
      </c>
      <c r="D46" s="67"/>
      <c r="E46" s="48" t="s">
        <v>65</v>
      </c>
      <c r="F46" s="30"/>
      <c r="G46" s="30"/>
      <c r="H46" s="30">
        <v>32537</v>
      </c>
      <c r="I46" s="31"/>
      <c r="J46" s="31"/>
      <c r="K46" s="31"/>
      <c r="L46" s="31"/>
      <c r="M46" s="31" t="s">
        <v>37</v>
      </c>
      <c r="N46" s="31" t="s">
        <v>274</v>
      </c>
      <c r="O46" s="31" t="s">
        <v>275</v>
      </c>
      <c r="P46" s="31"/>
      <c r="Q46" s="31" t="s">
        <v>276</v>
      </c>
      <c r="R46" s="31" t="s">
        <v>276</v>
      </c>
      <c r="S46" s="31" t="s">
        <v>276</v>
      </c>
      <c r="T46" s="31" t="s">
        <v>70</v>
      </c>
      <c r="U46" s="31"/>
      <c r="V46" s="31">
        <v>1</v>
      </c>
      <c r="W46" s="31"/>
      <c r="X46" s="31"/>
      <c r="Y46" s="31" t="s">
        <v>71</v>
      </c>
      <c r="Z46" s="32"/>
      <c r="AA46" s="32"/>
      <c r="AB46" s="32"/>
      <c r="AC46" s="32"/>
      <c r="AD46" s="32"/>
      <c r="AE46" s="32"/>
      <c r="AF46" s="31"/>
      <c r="AG46" s="31"/>
      <c r="AH46" s="31"/>
      <c r="AI46" s="31"/>
      <c r="AJ46" s="31"/>
      <c r="AK46" s="33"/>
      <c r="AL46" s="33"/>
      <c r="AM46" s="33"/>
      <c r="AN46" s="33"/>
      <c r="AO46" s="33"/>
      <c r="AP46" s="33"/>
      <c r="AQ46" s="34">
        <v>31280</v>
      </c>
      <c r="AR46" s="33" t="s">
        <v>57</v>
      </c>
      <c r="AS46" s="34" t="s">
        <v>277</v>
      </c>
      <c r="AT46" s="35"/>
      <c r="AU46" s="36"/>
      <c r="AV46" s="37"/>
      <c r="AW46" s="38"/>
      <c r="AX46" s="38"/>
      <c r="AY46" s="38"/>
      <c r="AZ46" s="38"/>
      <c r="BA46" s="38"/>
      <c r="BB46" s="38"/>
      <c r="BC46" s="38"/>
      <c r="BD46" s="38"/>
      <c r="BE46" s="38"/>
      <c r="BF46" s="38"/>
      <c r="BG46" s="38"/>
      <c r="BH46" s="39"/>
      <c r="BI46" s="39"/>
      <c r="BJ46" s="39"/>
      <c r="BK46" s="39"/>
      <c r="BL46" s="39"/>
      <c r="BM46" s="39"/>
      <c r="BN46" s="39"/>
      <c r="BO46" s="39"/>
      <c r="BP46" s="39"/>
      <c r="BQ46" s="39"/>
      <c r="BR46" s="39"/>
      <c r="BS46" s="39"/>
      <c r="BT46" s="39"/>
      <c r="BU46" s="39"/>
      <c r="BV46" s="39"/>
      <c r="BW46" s="39"/>
      <c r="IQ46" s="39"/>
      <c r="IR46" s="39"/>
      <c r="IS46" s="39"/>
      <c r="IT46" s="39"/>
      <c r="IU46" s="39"/>
      <c r="IV46" s="39"/>
      <c r="IW46" s="39"/>
    </row>
    <row r="47" spans="2:257" s="25" customFormat="1" ht="38.25">
      <c r="B47" s="68">
        <v>43</v>
      </c>
      <c r="C47" s="69" t="s">
        <v>278</v>
      </c>
      <c r="D47" s="70">
        <v>44922</v>
      </c>
      <c r="E47" s="48" t="s">
        <v>65</v>
      </c>
      <c r="F47" s="30">
        <v>60897</v>
      </c>
      <c r="G47" s="30">
        <v>168857</v>
      </c>
      <c r="H47" s="30">
        <v>34023</v>
      </c>
      <c r="I47" s="31">
        <v>253</v>
      </c>
      <c r="J47" s="31"/>
      <c r="K47" s="31"/>
      <c r="L47" s="31">
        <v>4</v>
      </c>
      <c r="M47" s="31" t="s">
        <v>37</v>
      </c>
      <c r="N47" s="31" t="s">
        <v>279</v>
      </c>
      <c r="O47" s="31" t="s">
        <v>280</v>
      </c>
      <c r="P47" s="31"/>
      <c r="Q47" s="31" t="s">
        <v>281</v>
      </c>
      <c r="R47" s="31" t="s">
        <v>281</v>
      </c>
      <c r="S47" s="31" t="s">
        <v>281</v>
      </c>
      <c r="T47" s="31" t="s">
        <v>282</v>
      </c>
      <c r="U47" s="31"/>
      <c r="V47" s="31">
        <v>1</v>
      </c>
      <c r="W47" s="31"/>
      <c r="X47" s="31"/>
      <c r="Y47" s="31" t="s">
        <v>71</v>
      </c>
      <c r="Z47" s="32"/>
      <c r="AA47" s="32">
        <v>2</v>
      </c>
      <c r="AB47" s="32"/>
      <c r="AC47" s="32">
        <f>+AA47+1</f>
        <v>3</v>
      </c>
      <c r="AD47" s="32"/>
      <c r="AE47" s="32">
        <f>+AA47*2</f>
        <v>4</v>
      </c>
      <c r="AF47" s="31"/>
      <c r="AG47" s="31"/>
      <c r="AH47" s="31"/>
      <c r="AI47" s="31"/>
      <c r="AJ47" s="31">
        <f>59+5.6/2</f>
        <v>61.8</v>
      </c>
      <c r="AK47" s="33"/>
      <c r="AL47" s="33">
        <v>2400</v>
      </c>
      <c r="AM47" s="33">
        <f>+(59+5.6)/AL47</f>
        <v>2.6916666666666665E-2</v>
      </c>
      <c r="AN47" s="33">
        <f>+AJ47/AL47</f>
        <v>2.5749999999999999E-2</v>
      </c>
      <c r="AO47" s="33"/>
      <c r="AP47" s="22">
        <f>+(3*33123+4*26491+8*19871+4*13249)/20*AJ47</f>
        <v>1289447.7299999997</v>
      </c>
      <c r="AQ47" s="34">
        <v>22776.53</v>
      </c>
      <c r="AR47" s="33" t="s">
        <v>57</v>
      </c>
      <c r="AS47" s="34" t="s">
        <v>283</v>
      </c>
      <c r="AT47" s="35">
        <v>45012</v>
      </c>
      <c r="AU47" s="36"/>
      <c r="AV47" s="71">
        <v>45001</v>
      </c>
      <c r="AW47" s="38"/>
      <c r="AX47" s="38"/>
      <c r="AY47" s="38"/>
      <c r="AZ47" s="38"/>
      <c r="BA47" s="38"/>
      <c r="BB47" s="38"/>
      <c r="BC47" s="38"/>
      <c r="BD47" s="38"/>
      <c r="BE47" s="38"/>
      <c r="BF47" s="38"/>
      <c r="BG47" s="38"/>
      <c r="BH47" s="39"/>
      <c r="BI47" s="39"/>
      <c r="BJ47" s="39"/>
      <c r="BK47" s="39"/>
      <c r="BL47" s="39"/>
      <c r="BM47" s="39"/>
      <c r="BN47" s="39"/>
      <c r="BO47" s="39"/>
      <c r="BP47" s="39"/>
      <c r="BQ47" s="39"/>
      <c r="BR47" s="39"/>
      <c r="BS47" s="39"/>
      <c r="BT47" s="39"/>
      <c r="BU47" s="39"/>
      <c r="BV47" s="39"/>
      <c r="BW47" s="39"/>
      <c r="IQ47" s="39"/>
      <c r="IR47" s="39"/>
      <c r="IS47" s="39"/>
      <c r="IT47" s="39"/>
      <c r="IU47" s="39"/>
      <c r="IV47" s="39"/>
      <c r="IW47" s="39"/>
    </row>
    <row r="48" spans="2:257" s="25" customFormat="1" ht="63.75">
      <c r="B48" s="68">
        <v>44</v>
      </c>
      <c r="C48" s="69">
        <v>546001</v>
      </c>
      <c r="D48" s="70">
        <v>44839</v>
      </c>
      <c r="E48" s="48" t="s">
        <v>65</v>
      </c>
      <c r="F48" s="30">
        <v>51694</v>
      </c>
      <c r="G48" s="30">
        <v>142377</v>
      </c>
      <c r="H48" s="30">
        <v>32146</v>
      </c>
      <c r="I48" s="31">
        <v>3</v>
      </c>
      <c r="J48" s="31"/>
      <c r="K48" s="31"/>
      <c r="L48" s="31">
        <v>4</v>
      </c>
      <c r="M48" s="31" t="s">
        <v>96</v>
      </c>
      <c r="N48" s="31" t="s">
        <v>284</v>
      </c>
      <c r="O48" s="31" t="s">
        <v>285</v>
      </c>
      <c r="P48" s="31"/>
      <c r="Q48" s="31" t="s">
        <v>286</v>
      </c>
      <c r="R48" s="31" t="s">
        <v>286</v>
      </c>
      <c r="S48" s="31" t="s">
        <v>286</v>
      </c>
      <c r="T48" s="31" t="s">
        <v>70</v>
      </c>
      <c r="U48" s="31"/>
      <c r="V48" s="31">
        <v>1</v>
      </c>
      <c r="W48" s="31"/>
      <c r="X48" s="31"/>
      <c r="Y48" s="31" t="s">
        <v>71</v>
      </c>
      <c r="Z48" s="32"/>
      <c r="AA48" s="32">
        <v>3</v>
      </c>
      <c r="AB48" s="32"/>
      <c r="AC48" s="32">
        <f>+AA48+1</f>
        <v>4</v>
      </c>
      <c r="AD48" s="32"/>
      <c r="AE48" s="32">
        <f>+AA48*2</f>
        <v>6</v>
      </c>
      <c r="AF48" s="31"/>
      <c r="AG48" s="31"/>
      <c r="AH48" s="31"/>
      <c r="AI48" s="31"/>
      <c r="AJ48" s="31">
        <f>152+68/2</f>
        <v>186</v>
      </c>
      <c r="AK48" s="33"/>
      <c r="AL48" s="33">
        <v>884.37</v>
      </c>
      <c r="AM48" s="33">
        <f>+(152+68)/AL48</f>
        <v>0.24876465732668454</v>
      </c>
      <c r="AN48" s="33">
        <f>+AJ48/AL48</f>
        <v>0.21031921028528783</v>
      </c>
      <c r="AO48" s="33"/>
      <c r="AP48" s="33"/>
      <c r="AQ48" s="34">
        <v>19296.91</v>
      </c>
      <c r="AR48" s="33" t="s">
        <v>115</v>
      </c>
      <c r="AS48" s="34" t="s">
        <v>287</v>
      </c>
      <c r="AT48" s="35">
        <v>45013</v>
      </c>
      <c r="AU48" s="36"/>
      <c r="AV48" s="71" t="s">
        <v>288</v>
      </c>
      <c r="AW48" s="38"/>
      <c r="AX48" s="38"/>
      <c r="AY48" s="38"/>
      <c r="AZ48" s="38"/>
      <c r="BA48" s="38"/>
      <c r="BB48" s="38"/>
      <c r="BC48" s="38"/>
      <c r="BD48" s="38"/>
      <c r="BE48" s="38"/>
      <c r="BF48" s="38"/>
      <c r="BG48" s="38"/>
      <c r="BH48" s="39"/>
      <c r="BI48" s="39"/>
      <c r="BJ48" s="39"/>
      <c r="BK48" s="39"/>
      <c r="BL48" s="39"/>
      <c r="BM48" s="39"/>
      <c r="BN48" s="39"/>
      <c r="BO48" s="39"/>
      <c r="BP48" s="39"/>
      <c r="BQ48" s="39"/>
      <c r="BR48" s="39"/>
      <c r="BS48" s="39"/>
      <c r="BT48" s="39"/>
      <c r="BU48" s="39"/>
      <c r="BV48" s="39"/>
      <c r="BW48" s="39"/>
      <c r="IQ48" s="39"/>
      <c r="IR48" s="39"/>
      <c r="IS48" s="39"/>
      <c r="IT48" s="39"/>
      <c r="IU48" s="39"/>
      <c r="IV48" s="39"/>
      <c r="IW48" s="39"/>
    </row>
    <row r="49" spans="2:257" s="2" customFormat="1" ht="63.75">
      <c r="B49" s="68">
        <v>45</v>
      </c>
      <c r="C49" s="41">
        <v>549963</v>
      </c>
      <c r="D49" s="42">
        <v>44958</v>
      </c>
      <c r="E49" s="43" t="s">
        <v>46</v>
      </c>
      <c r="F49" s="15">
        <v>42491</v>
      </c>
      <c r="G49" s="15">
        <v>140642</v>
      </c>
      <c r="H49" s="15">
        <v>8692</v>
      </c>
      <c r="I49" s="16"/>
      <c r="J49" s="16"/>
      <c r="K49" s="16">
        <v>347</v>
      </c>
      <c r="L49" s="16">
        <v>19</v>
      </c>
      <c r="M49" s="16" t="s">
        <v>190</v>
      </c>
      <c r="N49" s="16" t="s">
        <v>289</v>
      </c>
      <c r="O49" s="72" t="s">
        <v>290</v>
      </c>
      <c r="P49" s="16"/>
      <c r="Q49" s="16" t="s">
        <v>226</v>
      </c>
      <c r="R49" s="16"/>
      <c r="S49" s="16"/>
      <c r="T49" s="16"/>
      <c r="U49" s="16">
        <v>1</v>
      </c>
      <c r="V49" s="17"/>
      <c r="W49" s="16"/>
      <c r="X49" s="16"/>
      <c r="Y49" s="16" t="s">
        <v>291</v>
      </c>
      <c r="Z49" s="18">
        <v>1</v>
      </c>
      <c r="AA49" s="19"/>
      <c r="AB49" s="20">
        <f>+Z49+1</f>
        <v>2</v>
      </c>
      <c r="AC49" s="19"/>
      <c r="AD49" s="20">
        <f>+Z49*2</f>
        <v>2</v>
      </c>
      <c r="AE49" s="19"/>
      <c r="AF49" s="16"/>
      <c r="AG49" s="16"/>
      <c r="AH49" s="16">
        <f>67.1+74.25/2+37.3</f>
        <v>141.52499999999998</v>
      </c>
      <c r="AI49" s="16"/>
      <c r="AJ49" s="17"/>
      <c r="AK49" s="21"/>
      <c r="AL49" s="22">
        <v>330</v>
      </c>
      <c r="AM49" s="22">
        <f>+(67.1+74.25)/AL49</f>
        <v>0.42833333333333334</v>
      </c>
      <c r="AN49" s="22">
        <f>+AH49/AL49</f>
        <v>0.42886363636363628</v>
      </c>
      <c r="AO49" s="22"/>
      <c r="AP49" s="22">
        <f>+(4*33123+10*26491+6*19871+3*13249)/23*AH49</f>
        <v>3423520.5163043472</v>
      </c>
      <c r="AQ49" s="23">
        <v>56919.58</v>
      </c>
      <c r="AR49" s="22" t="s">
        <v>57</v>
      </c>
      <c r="AS49" s="23" t="s">
        <v>292</v>
      </c>
      <c r="AT49" s="44">
        <v>45013</v>
      </c>
      <c r="AU49" s="24"/>
      <c r="AV49" s="23"/>
      <c r="AW49" s="13"/>
      <c r="AX49" s="13"/>
      <c r="AY49" s="13"/>
      <c r="AZ49" s="13"/>
      <c r="BA49" s="13"/>
      <c r="BB49" s="13"/>
      <c r="BC49" s="13"/>
      <c r="BD49" s="13"/>
      <c r="BE49" s="13"/>
      <c r="BF49" s="13"/>
      <c r="BG49" s="13"/>
      <c r="BH49" s="14"/>
      <c r="BI49" s="14"/>
      <c r="BJ49" s="14"/>
      <c r="BK49" s="14"/>
      <c r="BL49" s="14"/>
      <c r="BM49" s="14"/>
      <c r="BN49" s="14"/>
      <c r="BO49" s="14"/>
      <c r="BP49" s="14"/>
      <c r="BQ49" s="14"/>
      <c r="BR49" s="14"/>
      <c r="BS49" s="14"/>
      <c r="BT49" s="14"/>
      <c r="BU49" s="14"/>
      <c r="BV49" s="14"/>
      <c r="BW49" s="14"/>
      <c r="IQ49" s="14"/>
      <c r="IR49" s="14"/>
      <c r="IS49" s="14"/>
      <c r="IT49" s="14"/>
      <c r="IU49" s="14"/>
      <c r="IV49" s="14"/>
      <c r="IW49" s="14"/>
    </row>
    <row r="50" spans="2:257" s="2" customFormat="1" ht="51">
      <c r="B50" s="49">
        <v>46</v>
      </c>
      <c r="C50" s="41" t="s">
        <v>293</v>
      </c>
      <c r="D50" s="42">
        <v>44967</v>
      </c>
      <c r="E50" s="43" t="s">
        <v>46</v>
      </c>
      <c r="F50" s="15">
        <v>45608</v>
      </c>
      <c r="G50" s="15">
        <v>148841</v>
      </c>
      <c r="H50" s="15">
        <v>20850</v>
      </c>
      <c r="I50" s="16">
        <v>8</v>
      </c>
      <c r="J50" s="16"/>
      <c r="K50" s="16">
        <v>249</v>
      </c>
      <c r="L50" s="16">
        <v>12</v>
      </c>
      <c r="M50" s="16" t="s">
        <v>88</v>
      </c>
      <c r="N50" s="16" t="s">
        <v>294</v>
      </c>
      <c r="O50" s="72" t="s">
        <v>295</v>
      </c>
      <c r="P50" s="16"/>
      <c r="Q50" s="16" t="s">
        <v>296</v>
      </c>
      <c r="R50" s="16"/>
      <c r="S50" s="16"/>
      <c r="T50" s="16"/>
      <c r="U50" s="16">
        <v>1</v>
      </c>
      <c r="V50" s="17"/>
      <c r="W50" s="16"/>
      <c r="X50" s="16"/>
      <c r="Y50" s="16" t="s">
        <v>297</v>
      </c>
      <c r="Z50" s="18"/>
      <c r="AA50" s="19"/>
      <c r="AB50" s="20"/>
      <c r="AC50" s="19"/>
      <c r="AD50" s="20"/>
      <c r="AE50" s="19"/>
      <c r="AF50" s="16"/>
      <c r="AG50" s="16"/>
      <c r="AH50" s="16"/>
      <c r="AI50" s="16">
        <v>378.72</v>
      </c>
      <c r="AJ50" s="17"/>
      <c r="AK50" s="21"/>
      <c r="AL50" s="22">
        <v>508.98</v>
      </c>
      <c r="AM50" s="22">
        <f>+AI50/AL50</f>
        <v>0.74407638807025822</v>
      </c>
      <c r="AN50" s="22">
        <f>+AI50/AL50</f>
        <v>0.74407638807025822</v>
      </c>
      <c r="AO50" s="22"/>
      <c r="AP50" s="22">
        <v>8845000</v>
      </c>
      <c r="AQ50" s="23">
        <v>130682.5</v>
      </c>
      <c r="AR50" s="22" t="s">
        <v>57</v>
      </c>
      <c r="AS50" s="23" t="s">
        <v>298</v>
      </c>
      <c r="AT50" s="44">
        <v>45021</v>
      </c>
      <c r="AU50" s="24"/>
      <c r="AV50" s="45">
        <v>45008</v>
      </c>
      <c r="AW50" s="13"/>
      <c r="AX50" s="13"/>
      <c r="AY50" s="13"/>
      <c r="AZ50" s="13"/>
      <c r="BA50" s="13"/>
      <c r="BB50" s="13"/>
      <c r="BC50" s="13"/>
      <c r="BD50" s="13"/>
      <c r="BE50" s="13"/>
      <c r="BF50" s="13"/>
      <c r="BG50" s="13"/>
      <c r="BH50" s="14"/>
      <c r="BI50" s="14"/>
      <c r="BJ50" s="14"/>
      <c r="BK50" s="14"/>
      <c r="BL50" s="14"/>
      <c r="BM50" s="14"/>
      <c r="BN50" s="14"/>
      <c r="BO50" s="14"/>
      <c r="BP50" s="14"/>
      <c r="BQ50" s="14"/>
      <c r="BR50" s="14"/>
      <c r="BS50" s="14"/>
      <c r="BT50" s="14"/>
      <c r="BU50" s="14"/>
      <c r="BV50" s="14"/>
      <c r="BW50" s="14"/>
      <c r="IQ50" s="14"/>
      <c r="IR50" s="14"/>
      <c r="IS50" s="14"/>
      <c r="IT50" s="14"/>
      <c r="IU50" s="14"/>
      <c r="IV50" s="14"/>
      <c r="IW50" s="14"/>
    </row>
    <row r="51" spans="2:257" s="2" customFormat="1" ht="76.5">
      <c r="B51" s="49">
        <v>47</v>
      </c>
      <c r="C51" s="58">
        <v>547346</v>
      </c>
      <c r="D51" s="42">
        <v>44867</v>
      </c>
      <c r="E51" s="43" t="s">
        <v>65</v>
      </c>
      <c r="F51" s="15">
        <v>52073</v>
      </c>
      <c r="G51" s="15">
        <v>158946</v>
      </c>
      <c r="H51" s="15">
        <v>32048</v>
      </c>
      <c r="I51" s="16">
        <v>331</v>
      </c>
      <c r="J51" s="16"/>
      <c r="K51" s="16">
        <v>2</v>
      </c>
      <c r="L51" s="16">
        <v>5</v>
      </c>
      <c r="M51" s="16" t="s">
        <v>299</v>
      </c>
      <c r="N51" s="16" t="s">
        <v>300</v>
      </c>
      <c r="O51" s="72" t="s">
        <v>301</v>
      </c>
      <c r="P51" s="16"/>
      <c r="Q51" s="16" t="s">
        <v>124</v>
      </c>
      <c r="R51" s="16" t="s">
        <v>124</v>
      </c>
      <c r="S51" s="16" t="s">
        <v>124</v>
      </c>
      <c r="T51" s="16" t="s">
        <v>302</v>
      </c>
      <c r="U51" s="16"/>
      <c r="V51" s="17">
        <v>6</v>
      </c>
      <c r="W51" s="16"/>
      <c r="X51" s="16"/>
      <c r="Y51" s="16" t="s">
        <v>44</v>
      </c>
      <c r="Z51" s="18"/>
      <c r="AA51" s="19">
        <v>6</v>
      </c>
      <c r="AB51" s="20"/>
      <c r="AC51" s="19">
        <v>6</v>
      </c>
      <c r="AD51" s="20"/>
      <c r="AE51" s="19">
        <f>+AA51*2</f>
        <v>12</v>
      </c>
      <c r="AF51" s="16"/>
      <c r="AG51" s="16"/>
      <c r="AH51" s="16"/>
      <c r="AI51" s="16"/>
      <c r="AJ51" s="17">
        <v>266.25</v>
      </c>
      <c r="AK51" s="21"/>
      <c r="AL51" s="22">
        <v>861.72</v>
      </c>
      <c r="AM51" s="22">
        <f>+AJ51/AL51</f>
        <v>0.30897507310959477</v>
      </c>
      <c r="AN51" s="22">
        <f>+AJ51/AL51</f>
        <v>0.30897507310959477</v>
      </c>
      <c r="AO51" s="22"/>
      <c r="AP51" s="22">
        <f>+(2*48337+6*38659+12*28998+3*19335)/23*AJ51</f>
        <v>8503897.6630434785</v>
      </c>
      <c r="AQ51" s="23">
        <v>87595.35</v>
      </c>
      <c r="AR51" s="22" t="s">
        <v>57</v>
      </c>
      <c r="AS51" s="23" t="s">
        <v>303</v>
      </c>
      <c r="AT51" s="44">
        <v>45027</v>
      </c>
      <c r="AU51" s="24"/>
      <c r="AV51" s="45"/>
      <c r="AW51" s="13"/>
      <c r="AX51" s="13"/>
      <c r="AY51" s="13"/>
      <c r="AZ51" s="13"/>
      <c r="BA51" s="13"/>
      <c r="BB51" s="13"/>
      <c r="BC51" s="13"/>
      <c r="BD51" s="13"/>
      <c r="BE51" s="13"/>
      <c r="BF51" s="13"/>
      <c r="BG51" s="13"/>
      <c r="BH51" s="14"/>
      <c r="BI51" s="14"/>
      <c r="BJ51" s="14"/>
      <c r="BK51" s="14"/>
      <c r="BL51" s="14"/>
      <c r="BM51" s="14"/>
      <c r="BN51" s="14"/>
      <c r="BO51" s="14"/>
      <c r="BP51" s="14"/>
      <c r="BQ51" s="14"/>
      <c r="BR51" s="14"/>
      <c r="BS51" s="14"/>
      <c r="BT51" s="14"/>
      <c r="BU51" s="14"/>
      <c r="BV51" s="14"/>
      <c r="BW51" s="14"/>
      <c r="IQ51" s="14"/>
      <c r="IR51" s="14"/>
      <c r="IS51" s="14"/>
      <c r="IT51" s="14"/>
      <c r="IU51" s="14"/>
      <c r="IV51" s="14"/>
      <c r="IW51" s="14"/>
    </row>
    <row r="52" spans="2:257" s="2" customFormat="1" ht="51">
      <c r="B52" s="49">
        <v>48</v>
      </c>
      <c r="C52" s="41">
        <v>549704</v>
      </c>
      <c r="D52" s="42">
        <v>44918</v>
      </c>
      <c r="E52" s="43" t="s">
        <v>65</v>
      </c>
      <c r="F52" s="15">
        <v>44890</v>
      </c>
      <c r="G52" s="15">
        <v>142263</v>
      </c>
      <c r="H52" s="15">
        <v>32136</v>
      </c>
      <c r="I52" s="16"/>
      <c r="J52" s="16"/>
      <c r="K52" s="16"/>
      <c r="L52" s="16"/>
      <c r="M52" s="16" t="s">
        <v>206</v>
      </c>
      <c r="N52" s="16" t="s">
        <v>304</v>
      </c>
      <c r="O52" s="16" t="s">
        <v>305</v>
      </c>
      <c r="P52" s="16"/>
      <c r="Q52" s="16" t="s">
        <v>306</v>
      </c>
      <c r="R52" s="16"/>
      <c r="S52" s="16"/>
      <c r="T52" s="16"/>
      <c r="U52" s="16"/>
      <c r="V52" s="17">
        <v>1</v>
      </c>
      <c r="W52" s="16"/>
      <c r="X52" s="16"/>
      <c r="Y52" s="16" t="s">
        <v>307</v>
      </c>
      <c r="Z52" s="18"/>
      <c r="AA52" s="19"/>
      <c r="AB52" s="20"/>
      <c r="AC52" s="19"/>
      <c r="AD52" s="20"/>
      <c r="AE52" s="19"/>
      <c r="AF52" s="16"/>
      <c r="AG52" s="16"/>
      <c r="AH52" s="16"/>
      <c r="AI52" s="16"/>
      <c r="AJ52" s="17">
        <f>87.6+20.67/2</f>
        <v>97.935000000000002</v>
      </c>
      <c r="AK52" s="21"/>
      <c r="AL52" s="22">
        <v>685.09</v>
      </c>
      <c r="AM52" s="22">
        <f>+(87.6+20.67)/AL52</f>
        <v>0.1580376300923966</v>
      </c>
      <c r="AN52" s="22">
        <f>+AJ52/AL52</f>
        <v>0.1429520209023632</v>
      </c>
      <c r="AO52" s="22"/>
      <c r="AP52" s="22">
        <f>484800+(87.6+20.67/2)*38659</f>
        <v>4270869.165</v>
      </c>
      <c r="AQ52" s="23">
        <v>82456.55</v>
      </c>
      <c r="AR52" s="22" t="s">
        <v>57</v>
      </c>
      <c r="AS52" s="23" t="s">
        <v>308</v>
      </c>
      <c r="AT52" s="44">
        <v>45027</v>
      </c>
      <c r="AU52" s="24"/>
      <c r="AV52" s="23" t="s">
        <v>309</v>
      </c>
      <c r="AW52" s="13"/>
      <c r="AX52" s="13"/>
      <c r="AY52" s="13"/>
      <c r="AZ52" s="13"/>
      <c r="BA52" s="13"/>
      <c r="BB52" s="13"/>
      <c r="BC52" s="13"/>
      <c r="BD52" s="13"/>
      <c r="BE52" s="13"/>
      <c r="BF52" s="13"/>
      <c r="BG52" s="13"/>
      <c r="BH52" s="14"/>
      <c r="BI52" s="14"/>
      <c r="BJ52" s="14"/>
      <c r="BK52" s="14"/>
      <c r="BL52" s="14"/>
      <c r="BM52" s="14"/>
      <c r="BN52" s="14"/>
      <c r="BO52" s="14"/>
      <c r="BP52" s="14"/>
      <c r="BQ52" s="14"/>
      <c r="BR52" s="14"/>
      <c r="BS52" s="14"/>
      <c r="BT52" s="14"/>
      <c r="BU52" s="14"/>
      <c r="BV52" s="14"/>
      <c r="BW52" s="14"/>
      <c r="IQ52" s="14"/>
      <c r="IR52" s="14"/>
      <c r="IS52" s="14"/>
      <c r="IT52" s="14"/>
      <c r="IU52" s="14"/>
      <c r="IV52" s="14"/>
      <c r="IW52" s="14"/>
    </row>
    <row r="53" spans="2:257" s="2" customFormat="1" ht="89.25">
      <c r="B53" s="49">
        <v>49</v>
      </c>
      <c r="C53" s="58">
        <v>543251</v>
      </c>
      <c r="D53" s="42">
        <v>44727</v>
      </c>
      <c r="E53" s="43" t="s">
        <v>310</v>
      </c>
      <c r="F53" s="15">
        <v>49041</v>
      </c>
      <c r="G53" s="15">
        <v>159361</v>
      </c>
      <c r="H53" s="15">
        <v>32618</v>
      </c>
      <c r="I53" s="16">
        <v>354</v>
      </c>
      <c r="J53" s="16"/>
      <c r="K53" s="16"/>
      <c r="L53" s="16">
        <v>75</v>
      </c>
      <c r="M53" s="16" t="s">
        <v>299</v>
      </c>
      <c r="N53" s="16" t="s">
        <v>89</v>
      </c>
      <c r="O53" s="72" t="s">
        <v>301</v>
      </c>
      <c r="P53" s="16"/>
      <c r="Q53" s="16" t="s">
        <v>124</v>
      </c>
      <c r="R53" s="16"/>
      <c r="S53" s="16"/>
      <c r="T53" s="16"/>
      <c r="U53" s="16">
        <v>4</v>
      </c>
      <c r="V53" s="17"/>
      <c r="W53" s="16"/>
      <c r="X53" s="16"/>
      <c r="Y53" s="16" t="s">
        <v>44</v>
      </c>
      <c r="Z53" s="18">
        <f>2+2+2+2</f>
        <v>8</v>
      </c>
      <c r="AA53" s="19"/>
      <c r="AB53" s="20">
        <f>+Z53+1+1+1+1</f>
        <v>12</v>
      </c>
      <c r="AC53" s="19"/>
      <c r="AD53" s="20">
        <f t="shared" ref="AD53" si="0">+Z53*2</f>
        <v>16</v>
      </c>
      <c r="AE53" s="19"/>
      <c r="AF53" s="16">
        <f>237.08+9.6/2</f>
        <v>241.88000000000002</v>
      </c>
      <c r="AG53" s="16"/>
      <c r="AH53" s="16">
        <v>0</v>
      </c>
      <c r="AI53" s="16"/>
      <c r="AJ53" s="17"/>
      <c r="AK53" s="21"/>
      <c r="AL53" s="22">
        <v>800</v>
      </c>
      <c r="AM53" s="22">
        <f>+(237.08+9.6)/AL53</f>
        <v>0.30835000000000001</v>
      </c>
      <c r="AN53" s="22">
        <f>+AF53/AL53</f>
        <v>0.30235000000000001</v>
      </c>
      <c r="AO53" s="22"/>
      <c r="AP53" s="22">
        <f>+(4*48337+13*35639+4*28998)/21*AH53</f>
        <v>0</v>
      </c>
      <c r="AQ53" s="23">
        <v>2249</v>
      </c>
      <c r="AR53" s="22" t="s">
        <v>57</v>
      </c>
      <c r="AS53" s="23" t="s">
        <v>311</v>
      </c>
      <c r="AT53" s="44">
        <v>45027</v>
      </c>
      <c r="AU53" s="24"/>
      <c r="AV53" s="45" t="s">
        <v>312</v>
      </c>
      <c r="AW53" s="13"/>
      <c r="AX53" s="13"/>
      <c r="AY53" s="13"/>
      <c r="AZ53" s="13"/>
      <c r="BA53" s="13"/>
      <c r="BB53" s="13"/>
      <c r="BC53" s="13"/>
      <c r="BD53" s="13"/>
      <c r="BE53" s="13"/>
      <c r="BF53" s="13"/>
      <c r="BG53" s="13"/>
      <c r="BH53" s="14"/>
      <c r="BI53" s="14"/>
      <c r="BJ53" s="14"/>
      <c r="BK53" s="14"/>
      <c r="BL53" s="14"/>
      <c r="BM53" s="14"/>
      <c r="BN53" s="14"/>
      <c r="BO53" s="14"/>
      <c r="BP53" s="14"/>
      <c r="BQ53" s="14"/>
      <c r="BR53" s="14"/>
      <c r="BS53" s="14"/>
      <c r="BT53" s="14"/>
      <c r="BU53" s="14"/>
      <c r="BV53" s="14"/>
      <c r="BW53" s="14"/>
      <c r="IQ53" s="14"/>
      <c r="IR53" s="14"/>
      <c r="IS53" s="14"/>
      <c r="IT53" s="14"/>
      <c r="IU53" s="14"/>
      <c r="IV53" s="14"/>
      <c r="IW53" s="14"/>
    </row>
    <row r="54" spans="2:257" s="25" customFormat="1" ht="51">
      <c r="B54" s="49">
        <v>50</v>
      </c>
      <c r="C54" s="46">
        <v>541028</v>
      </c>
      <c r="D54" s="47">
        <v>44643</v>
      </c>
      <c r="E54" s="48" t="s">
        <v>117</v>
      </c>
      <c r="F54" s="30">
        <v>44002</v>
      </c>
      <c r="G54" s="30">
        <v>135993</v>
      </c>
      <c r="H54" s="30">
        <v>20290</v>
      </c>
      <c r="I54" s="31">
        <v>34</v>
      </c>
      <c r="J54" s="31"/>
      <c r="K54" s="31">
        <v>352</v>
      </c>
      <c r="L54" s="31">
        <v>10</v>
      </c>
      <c r="M54" s="16" t="s">
        <v>88</v>
      </c>
      <c r="N54" s="31" t="s">
        <v>313</v>
      </c>
      <c r="O54" s="31" t="s">
        <v>314</v>
      </c>
      <c r="P54" s="31"/>
      <c r="Q54" s="16" t="s">
        <v>105</v>
      </c>
      <c r="R54" s="16" t="s">
        <v>105</v>
      </c>
      <c r="S54" s="16" t="s">
        <v>105</v>
      </c>
      <c r="T54" s="31" t="s">
        <v>315</v>
      </c>
      <c r="U54" s="31"/>
      <c r="V54" s="31"/>
      <c r="W54" s="31"/>
      <c r="X54" s="31">
        <v>1</v>
      </c>
      <c r="Y54" s="31" t="s">
        <v>71</v>
      </c>
      <c r="Z54" s="32">
        <v>2</v>
      </c>
      <c r="AA54" s="32"/>
      <c r="AB54" s="32">
        <f>+Z54+1</f>
        <v>3</v>
      </c>
      <c r="AC54" s="32"/>
      <c r="AD54" s="32">
        <f>+Z54*2</f>
        <v>4</v>
      </c>
      <c r="AE54" s="32"/>
      <c r="AF54" s="31">
        <f>69.7+19.14/2</f>
        <v>79.27000000000001</v>
      </c>
      <c r="AG54" s="31"/>
      <c r="AH54" s="31"/>
      <c r="AI54" s="31"/>
      <c r="AJ54" s="31">
        <f>20+3.12/2</f>
        <v>21.56</v>
      </c>
      <c r="AK54" s="33"/>
      <c r="AL54" s="33">
        <v>360</v>
      </c>
      <c r="AM54" s="33">
        <f>+(69.7+19.14+20+3.12)/AL54</f>
        <v>0.311</v>
      </c>
      <c r="AN54" s="33">
        <f>+(AF54+AJ54)/AL54</f>
        <v>0.28008333333333335</v>
      </c>
      <c r="AO54" s="33"/>
      <c r="AP54" s="33">
        <f>+(8*48337+6*38659+3*28998+2*19335)/19*AJ54</f>
        <v>844600.51789473684</v>
      </c>
      <c r="AQ54" s="34">
        <v>6606.55</v>
      </c>
      <c r="AR54" s="33" t="s">
        <v>115</v>
      </c>
      <c r="AS54" s="34" t="s">
        <v>316</v>
      </c>
      <c r="AT54" s="35">
        <v>45027</v>
      </c>
      <c r="AU54" s="36"/>
      <c r="AV54" s="37" t="s">
        <v>317</v>
      </c>
      <c r="AW54" s="38"/>
      <c r="AX54" s="38"/>
      <c r="AY54" s="38"/>
      <c r="AZ54" s="38"/>
      <c r="BA54" s="38"/>
      <c r="BB54" s="38"/>
      <c r="BC54" s="38"/>
      <c r="BD54" s="38"/>
      <c r="BE54" s="38"/>
      <c r="BF54" s="38"/>
      <c r="BG54" s="38"/>
      <c r="BH54" s="39"/>
      <c r="BI54" s="39"/>
      <c r="BJ54" s="39"/>
      <c r="BK54" s="39"/>
      <c r="BL54" s="39"/>
      <c r="BM54" s="39"/>
      <c r="BN54" s="39"/>
      <c r="BO54" s="39"/>
      <c r="BP54" s="39"/>
      <c r="BQ54" s="39"/>
      <c r="BR54" s="39"/>
      <c r="BS54" s="39"/>
      <c r="BT54" s="39"/>
      <c r="BU54" s="39"/>
      <c r="BV54" s="39"/>
      <c r="BW54" s="39"/>
      <c r="IQ54" s="39"/>
      <c r="IR54" s="39"/>
      <c r="IS54" s="39"/>
      <c r="IT54" s="39"/>
      <c r="IU54" s="39"/>
      <c r="IV54" s="39"/>
      <c r="IW54" s="39"/>
    </row>
    <row r="55" spans="2:257" s="2" customFormat="1" ht="63.75">
      <c r="B55" s="49">
        <v>51</v>
      </c>
      <c r="C55" s="41" t="s">
        <v>318</v>
      </c>
      <c r="D55" s="42">
        <v>44943</v>
      </c>
      <c r="E55" s="43" t="s">
        <v>46</v>
      </c>
      <c r="F55" s="15">
        <v>49186</v>
      </c>
      <c r="G55" s="15">
        <v>159464</v>
      </c>
      <c r="H55" s="15">
        <v>21120</v>
      </c>
      <c r="I55" s="16"/>
      <c r="J55" s="16"/>
      <c r="K55" s="16">
        <v>464</v>
      </c>
      <c r="L55" s="16">
        <v>7</v>
      </c>
      <c r="M55" s="16" t="s">
        <v>96</v>
      </c>
      <c r="N55" s="16" t="s">
        <v>319</v>
      </c>
      <c r="O55" s="72" t="s">
        <v>320</v>
      </c>
      <c r="P55" s="16"/>
      <c r="Q55" s="16" t="s">
        <v>152</v>
      </c>
      <c r="R55" s="16"/>
      <c r="S55" s="16"/>
      <c r="T55" s="16"/>
      <c r="U55" s="16">
        <v>1</v>
      </c>
      <c r="V55" s="17"/>
      <c r="W55" s="16"/>
      <c r="X55" s="16"/>
      <c r="Y55" s="16" t="s">
        <v>71</v>
      </c>
      <c r="Z55" s="18">
        <v>1</v>
      </c>
      <c r="AA55" s="19"/>
      <c r="AB55" s="20">
        <f>+Z55+1</f>
        <v>2</v>
      </c>
      <c r="AC55" s="19"/>
      <c r="AD55" s="20">
        <f>+Z55*2</f>
        <v>2</v>
      </c>
      <c r="AE55" s="19"/>
      <c r="AF55" s="16"/>
      <c r="AG55" s="16"/>
      <c r="AH55" s="16">
        <f>28+28</f>
        <v>56</v>
      </c>
      <c r="AI55" s="16"/>
      <c r="AJ55" s="17"/>
      <c r="AK55" s="21"/>
      <c r="AL55" s="22">
        <v>309.05</v>
      </c>
      <c r="AM55" s="22">
        <f>28/AL55</f>
        <v>9.0600226500566247E-2</v>
      </c>
      <c r="AN55" s="22">
        <f>+AH55/AL55</f>
        <v>0.18120045300113249</v>
      </c>
      <c r="AO55" s="22"/>
      <c r="AP55" s="22">
        <f>+(48337+8*38659+6*28998+19335*6)/21*AH55</f>
        <v>1726952</v>
      </c>
      <c r="AQ55" s="23">
        <v>19651.46</v>
      </c>
      <c r="AR55" s="22" t="s">
        <v>57</v>
      </c>
      <c r="AS55" s="23" t="s">
        <v>321</v>
      </c>
      <c r="AT55" s="44">
        <v>45027</v>
      </c>
      <c r="AU55" s="24"/>
      <c r="AV55" s="45">
        <v>45016</v>
      </c>
      <c r="AW55" s="13"/>
      <c r="AX55" s="13"/>
      <c r="AY55" s="13"/>
      <c r="AZ55" s="13"/>
      <c r="BA55" s="13"/>
      <c r="BB55" s="13"/>
      <c r="BC55" s="13"/>
      <c r="BD55" s="13"/>
      <c r="BE55" s="13"/>
      <c r="BF55" s="13"/>
      <c r="BG55" s="13"/>
      <c r="BH55" s="14"/>
      <c r="BI55" s="14"/>
      <c r="BJ55" s="14"/>
      <c r="BK55" s="14"/>
      <c r="BL55" s="14"/>
      <c r="BM55" s="14"/>
      <c r="BN55" s="14"/>
      <c r="BO55" s="14"/>
      <c r="BP55" s="14"/>
      <c r="BQ55" s="14"/>
      <c r="BR55" s="14"/>
      <c r="BS55" s="14"/>
      <c r="BT55" s="14"/>
      <c r="BU55" s="14"/>
      <c r="BV55" s="14"/>
      <c r="BW55" s="14"/>
      <c r="IQ55" s="14"/>
      <c r="IR55" s="14"/>
      <c r="IS55" s="14"/>
      <c r="IT55" s="14"/>
      <c r="IU55" s="14"/>
      <c r="IV55" s="14"/>
      <c r="IW55" s="14"/>
    </row>
    <row r="56" spans="2:257" s="2" customFormat="1" ht="38.25">
      <c r="B56" s="49">
        <v>52</v>
      </c>
      <c r="C56" s="41">
        <v>551845</v>
      </c>
      <c r="D56" s="42">
        <v>44957</v>
      </c>
      <c r="E56" s="43" t="s">
        <v>65</v>
      </c>
      <c r="F56" s="15">
        <v>48818</v>
      </c>
      <c r="G56" s="15">
        <v>159194</v>
      </c>
      <c r="H56" s="15">
        <v>32602</v>
      </c>
      <c r="I56" s="16">
        <v>308</v>
      </c>
      <c r="J56" s="16"/>
      <c r="K56" s="16"/>
      <c r="L56" s="16">
        <v>11</v>
      </c>
      <c r="M56" s="16" t="s">
        <v>206</v>
      </c>
      <c r="N56" s="16" t="s">
        <v>322</v>
      </c>
      <c r="O56" s="72" t="s">
        <v>323</v>
      </c>
      <c r="P56" s="16"/>
      <c r="Q56" s="16" t="s">
        <v>50</v>
      </c>
      <c r="R56" s="16" t="s">
        <v>50</v>
      </c>
      <c r="S56" s="16" t="s">
        <v>50</v>
      </c>
      <c r="T56" s="16" t="s">
        <v>193</v>
      </c>
      <c r="U56" s="16"/>
      <c r="V56" s="17">
        <v>1</v>
      </c>
      <c r="W56" s="16"/>
      <c r="X56" s="16"/>
      <c r="Y56" s="16" t="s">
        <v>324</v>
      </c>
      <c r="Z56" s="18"/>
      <c r="AA56" s="19"/>
      <c r="AB56" s="20"/>
      <c r="AC56" s="19"/>
      <c r="AD56" s="20"/>
      <c r="AE56" s="19"/>
      <c r="AF56" s="16"/>
      <c r="AG56" s="16"/>
      <c r="AH56" s="16"/>
      <c r="AI56" s="16"/>
      <c r="AJ56" s="17">
        <v>4.24</v>
      </c>
      <c r="AK56" s="21"/>
      <c r="AL56" s="22">
        <v>6825</v>
      </c>
      <c r="AM56" s="22">
        <f>+AJ56/AL56</f>
        <v>6.2124542124542123E-4</v>
      </c>
      <c r="AN56" s="22">
        <f>+AM56</f>
        <v>6.2124542124542123E-4</v>
      </c>
      <c r="AO56" s="22"/>
      <c r="AP56" s="22">
        <v>1532806.39</v>
      </c>
      <c r="AQ56" s="23">
        <v>1879</v>
      </c>
      <c r="AR56" s="22" t="s">
        <v>77</v>
      </c>
      <c r="AS56" s="23" t="s">
        <v>325</v>
      </c>
      <c r="AT56" s="44">
        <v>45030</v>
      </c>
      <c r="AU56" s="24"/>
      <c r="AV56" s="45">
        <v>45026</v>
      </c>
      <c r="AW56" s="13"/>
      <c r="AX56" s="13"/>
      <c r="AY56" s="13"/>
      <c r="AZ56" s="13"/>
      <c r="BA56" s="13"/>
      <c r="BB56" s="13"/>
      <c r="BC56" s="13"/>
      <c r="BD56" s="13"/>
      <c r="BE56" s="13"/>
      <c r="BF56" s="13"/>
      <c r="BG56" s="13"/>
      <c r="BH56" s="14"/>
      <c r="BI56" s="14"/>
      <c r="BJ56" s="14"/>
      <c r="BK56" s="14"/>
      <c r="BL56" s="14"/>
      <c r="BM56" s="14"/>
      <c r="BN56" s="14"/>
      <c r="BO56" s="14"/>
      <c r="BP56" s="14"/>
      <c r="BQ56" s="14"/>
      <c r="BR56" s="14"/>
      <c r="BS56" s="14"/>
      <c r="BT56" s="14"/>
      <c r="BU56" s="14"/>
      <c r="BV56" s="14"/>
      <c r="BW56" s="14"/>
      <c r="IQ56" s="14"/>
      <c r="IR56" s="14"/>
      <c r="IS56" s="14"/>
      <c r="IT56" s="14"/>
      <c r="IU56" s="14"/>
      <c r="IV56" s="14"/>
      <c r="IW56" s="14"/>
    </row>
    <row r="57" spans="2:257" s="2" customFormat="1" ht="76.5">
      <c r="B57" s="49">
        <v>53</v>
      </c>
      <c r="C57" s="58" t="s">
        <v>326</v>
      </c>
      <c r="D57" s="42">
        <v>44755</v>
      </c>
      <c r="E57" s="43" t="s">
        <v>65</v>
      </c>
      <c r="F57" s="15">
        <v>48679</v>
      </c>
      <c r="G57" s="15">
        <v>159083</v>
      </c>
      <c r="H57" s="15">
        <v>21092</v>
      </c>
      <c r="I57" s="16">
        <v>49</v>
      </c>
      <c r="J57" s="16"/>
      <c r="K57" s="16">
        <v>410</v>
      </c>
      <c r="L57" s="16">
        <v>12</v>
      </c>
      <c r="M57" s="16" t="s">
        <v>96</v>
      </c>
      <c r="N57" s="16" t="s">
        <v>327</v>
      </c>
      <c r="O57" s="72" t="s">
        <v>328</v>
      </c>
      <c r="P57" s="16"/>
      <c r="Q57" s="16" t="s">
        <v>329</v>
      </c>
      <c r="R57" s="16" t="s">
        <v>329</v>
      </c>
      <c r="S57" s="16" t="s">
        <v>329</v>
      </c>
      <c r="T57" s="16" t="s">
        <v>70</v>
      </c>
      <c r="U57" s="16">
        <v>1</v>
      </c>
      <c r="V57" s="17">
        <v>1</v>
      </c>
      <c r="W57" s="16"/>
      <c r="X57" s="16"/>
      <c r="Y57" s="16" t="s">
        <v>71</v>
      </c>
      <c r="Z57" s="18">
        <v>1</v>
      </c>
      <c r="AA57" s="19">
        <v>3</v>
      </c>
      <c r="AB57" s="20">
        <f>+Z57+1</f>
        <v>2</v>
      </c>
      <c r="AC57" s="19">
        <f>+AA57+1</f>
        <v>4</v>
      </c>
      <c r="AD57" s="20">
        <f>+Z57*2</f>
        <v>2</v>
      </c>
      <c r="AE57" s="19">
        <f>+AA57*2</f>
        <v>6</v>
      </c>
      <c r="AF57" s="16"/>
      <c r="AG57" s="16"/>
      <c r="AH57" s="16">
        <f>76.96+3.14/2+14.26+0</f>
        <v>92.789999999999992</v>
      </c>
      <c r="AI57" s="16"/>
      <c r="AJ57" s="17">
        <f>62.58+28.58/2+62.58+0</f>
        <v>139.44999999999999</v>
      </c>
      <c r="AK57" s="21"/>
      <c r="AL57" s="22">
        <v>450</v>
      </c>
      <c r="AM57" s="22">
        <f>+(76.96+3.14+62.58+28.58)/AL57</f>
        <v>0.38057777777777774</v>
      </c>
      <c r="AN57" s="22">
        <f>+(AH57+AJ57)/AL57</f>
        <v>0.51608888888888882</v>
      </c>
      <c r="AO57" s="22"/>
      <c r="AP57" s="22">
        <f>+(1*48337+4*38659+8*28998+8*19335)/21*(AJ57+AH57)</f>
        <v>6520823.6609523809</v>
      </c>
      <c r="AQ57" s="23">
        <v>61672.6</v>
      </c>
      <c r="AR57" s="22" t="s">
        <v>77</v>
      </c>
      <c r="AS57" s="23" t="s">
        <v>330</v>
      </c>
      <c r="AT57" s="44">
        <v>45034</v>
      </c>
      <c r="AU57" s="24"/>
      <c r="AV57" s="45" t="s">
        <v>331</v>
      </c>
      <c r="AW57" s="13"/>
      <c r="AX57" s="13"/>
      <c r="AY57" s="13"/>
      <c r="AZ57" s="13"/>
      <c r="BA57" s="13"/>
      <c r="BB57" s="13"/>
      <c r="BC57" s="13"/>
      <c r="BD57" s="13"/>
      <c r="BE57" s="13"/>
      <c r="BF57" s="13"/>
      <c r="BG57" s="13"/>
      <c r="BH57" s="14"/>
      <c r="BI57" s="14"/>
      <c r="BJ57" s="14"/>
      <c r="BK57" s="14"/>
      <c r="BL57" s="14"/>
      <c r="BM57" s="14"/>
      <c r="BN57" s="14"/>
      <c r="BO57" s="14"/>
      <c r="BP57" s="14"/>
      <c r="BQ57" s="14"/>
      <c r="BR57" s="14"/>
      <c r="BS57" s="14"/>
      <c r="BT57" s="14"/>
      <c r="BU57" s="14"/>
      <c r="BV57" s="14"/>
      <c r="BW57" s="14"/>
      <c r="IQ57" s="14"/>
      <c r="IR57" s="14"/>
      <c r="IS57" s="14"/>
      <c r="IT57" s="14"/>
      <c r="IU57" s="14"/>
      <c r="IV57" s="14"/>
      <c r="IW57" s="14"/>
    </row>
    <row r="58" spans="2:257" s="2" customFormat="1" ht="63.75">
      <c r="B58" s="49">
        <v>54</v>
      </c>
      <c r="C58" s="41">
        <v>551064</v>
      </c>
      <c r="D58" s="42">
        <v>44998</v>
      </c>
      <c r="E58" s="43" t="s">
        <v>46</v>
      </c>
      <c r="F58" s="15">
        <v>50227</v>
      </c>
      <c r="G58" s="15">
        <v>1428</v>
      </c>
      <c r="H58" s="15">
        <v>803</v>
      </c>
      <c r="I58" s="16"/>
      <c r="J58" s="16"/>
      <c r="K58" s="16">
        <v>185</v>
      </c>
      <c r="L58" s="16">
        <v>4</v>
      </c>
      <c r="M58" s="16" t="s">
        <v>268</v>
      </c>
      <c r="N58" s="16" t="s">
        <v>332</v>
      </c>
      <c r="O58" s="72" t="s">
        <v>333</v>
      </c>
      <c r="P58" s="16" t="s">
        <v>334</v>
      </c>
      <c r="Q58" s="16" t="s">
        <v>120</v>
      </c>
      <c r="R58" s="16"/>
      <c r="S58" s="16"/>
      <c r="T58" s="16"/>
      <c r="U58" s="16">
        <v>1</v>
      </c>
      <c r="V58" s="17"/>
      <c r="W58" s="16"/>
      <c r="X58" s="16"/>
      <c r="Y58" s="16" t="s">
        <v>62</v>
      </c>
      <c r="Z58" s="18"/>
      <c r="AA58" s="19"/>
      <c r="AB58" s="20"/>
      <c r="AC58" s="19"/>
      <c r="AD58" s="20"/>
      <c r="AE58" s="19"/>
      <c r="AF58" s="16"/>
      <c r="AG58" s="16"/>
      <c r="AH58" s="16">
        <f>310.6+64</f>
        <v>374.6</v>
      </c>
      <c r="AI58" s="16"/>
      <c r="AJ58" s="17"/>
      <c r="AK58" s="21"/>
      <c r="AL58" s="22">
        <v>359.29</v>
      </c>
      <c r="AM58" s="22">
        <f>+(310.6/AL58)</f>
        <v>0.86448272982827246</v>
      </c>
      <c r="AN58" s="22">
        <f>+AH58/AL58</f>
        <v>1.042611817751677</v>
      </c>
      <c r="AO58" s="22"/>
      <c r="AP58" s="22">
        <f>+AH58*38639</f>
        <v>14474169.4</v>
      </c>
      <c r="AQ58" s="23">
        <v>216884.76</v>
      </c>
      <c r="AR58" s="22" t="s">
        <v>57</v>
      </c>
      <c r="AS58" s="23" t="s">
        <v>335</v>
      </c>
      <c r="AT58" s="44">
        <v>45035</v>
      </c>
      <c r="AU58" s="24"/>
      <c r="AV58" s="45">
        <v>45000</v>
      </c>
      <c r="AW58" s="13"/>
      <c r="AX58" s="13"/>
      <c r="AY58" s="13"/>
      <c r="AZ58" s="13"/>
      <c r="BA58" s="13"/>
      <c r="BB58" s="13"/>
      <c r="BC58" s="13"/>
      <c r="BD58" s="13"/>
      <c r="BE58" s="13"/>
      <c r="BF58" s="13"/>
      <c r="BG58" s="13"/>
      <c r="BH58" s="14"/>
      <c r="BI58" s="14"/>
      <c r="BJ58" s="14"/>
      <c r="BK58" s="14"/>
      <c r="BL58" s="14"/>
      <c r="BM58" s="14"/>
      <c r="BN58" s="14"/>
      <c r="BO58" s="14"/>
      <c r="BP58" s="14"/>
      <c r="BQ58" s="14"/>
      <c r="BR58" s="14"/>
      <c r="BS58" s="14"/>
      <c r="BT58" s="14"/>
      <c r="BU58" s="14"/>
      <c r="BV58" s="14"/>
      <c r="BW58" s="14"/>
      <c r="IQ58" s="14"/>
      <c r="IR58" s="14"/>
      <c r="IS58" s="14"/>
      <c r="IT58" s="14"/>
      <c r="IU58" s="14"/>
      <c r="IV58" s="14"/>
      <c r="IW58" s="14"/>
    </row>
    <row r="59" spans="2:257" s="2" customFormat="1" ht="51">
      <c r="B59" s="49">
        <v>55</v>
      </c>
      <c r="C59" s="41">
        <v>551803</v>
      </c>
      <c r="D59" s="42">
        <v>45020</v>
      </c>
      <c r="E59" s="43" t="s">
        <v>310</v>
      </c>
      <c r="F59" s="15">
        <v>5543</v>
      </c>
      <c r="G59" s="15">
        <v>2031</v>
      </c>
      <c r="H59" s="15">
        <v>2271</v>
      </c>
      <c r="I59" s="16"/>
      <c r="J59" s="16"/>
      <c r="K59" s="16">
        <v>71</v>
      </c>
      <c r="L59" s="16">
        <v>12</v>
      </c>
      <c r="M59" s="16" t="s">
        <v>96</v>
      </c>
      <c r="N59" s="16" t="s">
        <v>336</v>
      </c>
      <c r="O59" s="72" t="s">
        <v>337</v>
      </c>
      <c r="P59" s="16"/>
      <c r="Q59" s="16" t="s">
        <v>306</v>
      </c>
      <c r="R59" s="16" t="s">
        <v>306</v>
      </c>
      <c r="S59" s="16" t="s">
        <v>306</v>
      </c>
      <c r="T59" s="16" t="s">
        <v>338</v>
      </c>
      <c r="U59" s="16"/>
      <c r="V59" s="17">
        <v>1</v>
      </c>
      <c r="W59" s="16"/>
      <c r="X59" s="16"/>
      <c r="Y59" s="16" t="s">
        <v>71</v>
      </c>
      <c r="Z59" s="18"/>
      <c r="AA59" s="19">
        <v>2</v>
      </c>
      <c r="AB59" s="20"/>
      <c r="AC59" s="19">
        <f>+AA59+1</f>
        <v>3</v>
      </c>
      <c r="AD59" s="20"/>
      <c r="AE59" s="19">
        <f>+AA59*2</f>
        <v>4</v>
      </c>
      <c r="AF59" s="16">
        <f>112.96+7.91+6.68</f>
        <v>127.54999999999998</v>
      </c>
      <c r="AG59" s="16"/>
      <c r="AH59" s="16"/>
      <c r="AI59" s="16"/>
      <c r="AJ59" s="17"/>
      <c r="AK59" s="21"/>
      <c r="AL59" s="22">
        <v>296.19</v>
      </c>
      <c r="AM59" s="22">
        <f>+(112.95+7.91*2+6.68*2)/AL59</f>
        <v>0.4798609000979101</v>
      </c>
      <c r="AN59" s="22">
        <f>+AF59/AL59</f>
        <v>0.4306357405719301</v>
      </c>
      <c r="AO59" s="22"/>
      <c r="AP59" s="22"/>
      <c r="AQ59" s="23">
        <v>543</v>
      </c>
      <c r="AR59" s="22" t="s">
        <v>57</v>
      </c>
      <c r="AS59" s="23" t="s">
        <v>339</v>
      </c>
      <c r="AT59" s="44">
        <v>45035</v>
      </c>
      <c r="AU59" s="44">
        <v>45035</v>
      </c>
      <c r="AV59" s="45">
        <v>45026</v>
      </c>
      <c r="AW59" s="13"/>
      <c r="AX59" s="13"/>
      <c r="AY59" s="13"/>
      <c r="AZ59" s="13"/>
      <c r="BA59" s="13"/>
      <c r="BB59" s="13"/>
      <c r="BC59" s="13"/>
      <c r="BD59" s="13"/>
      <c r="BE59" s="13"/>
      <c r="BF59" s="13"/>
      <c r="BG59" s="13"/>
      <c r="BH59" s="14"/>
      <c r="BI59" s="14"/>
      <c r="BJ59" s="14"/>
      <c r="BK59" s="14"/>
      <c r="BL59" s="14"/>
      <c r="BM59" s="14"/>
      <c r="BN59" s="14"/>
      <c r="BO59" s="14"/>
      <c r="BP59" s="14"/>
      <c r="BQ59" s="14"/>
      <c r="BR59" s="14"/>
      <c r="BS59" s="14"/>
      <c r="BT59" s="14"/>
      <c r="BU59" s="14"/>
      <c r="BV59" s="14"/>
      <c r="BW59" s="14"/>
      <c r="IQ59" s="14"/>
      <c r="IR59" s="14"/>
      <c r="IS59" s="14"/>
      <c r="IT59" s="14"/>
      <c r="IU59" s="14"/>
      <c r="IV59" s="14"/>
      <c r="IW59" s="14"/>
    </row>
    <row r="60" spans="2:257" s="2" customFormat="1" ht="63.75">
      <c r="B60" s="49">
        <v>56</v>
      </c>
      <c r="C60" s="41">
        <v>551826</v>
      </c>
      <c r="D60" s="42">
        <v>45021</v>
      </c>
      <c r="E60" s="43" t="s">
        <v>46</v>
      </c>
      <c r="F60" s="15">
        <v>42130</v>
      </c>
      <c r="G60" s="15">
        <v>138079</v>
      </c>
      <c r="H60" s="15">
        <v>31534</v>
      </c>
      <c r="I60" s="16"/>
      <c r="J60" s="16"/>
      <c r="K60" s="16">
        <v>4</v>
      </c>
      <c r="L60" s="16">
        <v>3</v>
      </c>
      <c r="M60" s="16" t="s">
        <v>206</v>
      </c>
      <c r="N60" s="16" t="s">
        <v>340</v>
      </c>
      <c r="O60" s="72" t="s">
        <v>341</v>
      </c>
      <c r="P60" s="16"/>
      <c r="Q60" s="16" t="s">
        <v>342</v>
      </c>
      <c r="R60" s="16"/>
      <c r="S60" s="16"/>
      <c r="T60" s="16"/>
      <c r="U60" s="16">
        <v>1</v>
      </c>
      <c r="V60" s="17"/>
      <c r="W60" s="16"/>
      <c r="X60" s="16"/>
      <c r="Y60" s="16" t="s">
        <v>71</v>
      </c>
      <c r="Z60" s="18">
        <v>3</v>
      </c>
      <c r="AA60" s="19"/>
      <c r="AB60" s="20">
        <f>+Z60+1</f>
        <v>4</v>
      </c>
      <c r="AC60" s="19"/>
      <c r="AD60" s="20">
        <f>+Z60*2</f>
        <v>6</v>
      </c>
      <c r="AE60" s="19"/>
      <c r="AF60" s="16"/>
      <c r="AG60" s="16"/>
      <c r="AH60" s="16">
        <f>+(74.95+4.6/2+13.19+67.15/2)</f>
        <v>124.015</v>
      </c>
      <c r="AI60" s="16"/>
      <c r="AJ60" s="17"/>
      <c r="AK60" s="21"/>
      <c r="AL60" s="22">
        <v>450</v>
      </c>
      <c r="AM60" s="22">
        <f>+(74.95+4.6+13.19+67.15)/AL60</f>
        <v>0.35531111111111108</v>
      </c>
      <c r="AN60" s="22">
        <f>+AH60/AL60</f>
        <v>0.27558888888888888</v>
      </c>
      <c r="AO60" s="22"/>
      <c r="AP60" s="22">
        <f>+(22500*AH60)</f>
        <v>2790337.5</v>
      </c>
      <c r="AQ60" s="23">
        <v>23938.51</v>
      </c>
      <c r="AR60" s="22" t="s">
        <v>77</v>
      </c>
      <c r="AS60" s="23" t="s">
        <v>343</v>
      </c>
      <c r="AT60" s="44">
        <v>45035</v>
      </c>
      <c r="AU60" s="24"/>
      <c r="AV60" s="45">
        <v>45026</v>
      </c>
      <c r="AW60" s="13"/>
      <c r="AX60" s="13"/>
      <c r="AY60" s="13"/>
      <c r="AZ60" s="13"/>
      <c r="BA60" s="13"/>
      <c r="BB60" s="13"/>
      <c r="BC60" s="13"/>
      <c r="BD60" s="13"/>
      <c r="BE60" s="13"/>
      <c r="BF60" s="13"/>
      <c r="BG60" s="13"/>
      <c r="BH60" s="14"/>
      <c r="BI60" s="14"/>
      <c r="BJ60" s="14"/>
      <c r="BK60" s="14"/>
      <c r="BL60" s="14"/>
      <c r="BM60" s="14"/>
      <c r="BN60" s="14"/>
      <c r="BO60" s="14"/>
      <c r="BP60" s="14"/>
      <c r="BQ60" s="14"/>
      <c r="BR60" s="14"/>
      <c r="BS60" s="14"/>
      <c r="BT60" s="14"/>
      <c r="BU60" s="14"/>
      <c r="BV60" s="14"/>
      <c r="BW60" s="14"/>
      <c r="IQ60" s="14"/>
      <c r="IR60" s="14"/>
      <c r="IS60" s="14"/>
      <c r="IT60" s="14"/>
      <c r="IU60" s="14"/>
      <c r="IV60" s="14"/>
      <c r="IW60" s="14"/>
    </row>
    <row r="61" spans="2:257" s="2" customFormat="1" ht="38.25">
      <c r="B61" s="49">
        <v>57</v>
      </c>
      <c r="C61" s="41" t="s">
        <v>344</v>
      </c>
      <c r="D61" s="50">
        <v>44921</v>
      </c>
      <c r="E61" s="51" t="s">
        <v>65</v>
      </c>
      <c r="F61" s="15">
        <v>38674</v>
      </c>
      <c r="G61" s="15"/>
      <c r="H61" s="15">
        <v>8056</v>
      </c>
      <c r="I61" s="16"/>
      <c r="J61" s="16"/>
      <c r="K61" s="4">
        <v>97</v>
      </c>
      <c r="L61" s="16">
        <v>14</v>
      </c>
      <c r="M61" s="4" t="s">
        <v>96</v>
      </c>
      <c r="N61" s="16" t="s">
        <v>345</v>
      </c>
      <c r="O61" s="72" t="s">
        <v>346</v>
      </c>
      <c r="P61" s="16"/>
      <c r="Q61" s="16" t="s">
        <v>347</v>
      </c>
      <c r="R61" s="16" t="s">
        <v>347</v>
      </c>
      <c r="S61" s="16" t="s">
        <v>347</v>
      </c>
      <c r="T61" s="16" t="s">
        <v>348</v>
      </c>
      <c r="U61" s="16"/>
      <c r="V61" s="17"/>
      <c r="W61" s="16"/>
      <c r="X61" s="16"/>
      <c r="Y61" s="16" t="s">
        <v>71</v>
      </c>
      <c r="Z61" s="18"/>
      <c r="AA61" s="19"/>
      <c r="AB61" s="20"/>
      <c r="AC61" s="19"/>
      <c r="AD61" s="20"/>
      <c r="AE61" s="19"/>
      <c r="AF61" s="16"/>
      <c r="AG61" s="16">
        <f>101.06+83.34</f>
        <v>184.4</v>
      </c>
      <c r="AH61" s="16"/>
      <c r="AI61" s="16"/>
      <c r="AJ61" s="17"/>
      <c r="AK61" s="21">
        <f>38.78+11.1/2+31.86+3.18/2</f>
        <v>77.78</v>
      </c>
      <c r="AL61" s="22">
        <v>335.33</v>
      </c>
      <c r="AM61" s="22">
        <f>+(101.06+38.78+11.1)/AL61</f>
        <v>0.45012375868547405</v>
      </c>
      <c r="AN61" s="22">
        <f>+(AG61+AK61)/AL61</f>
        <v>0.7818566784958102</v>
      </c>
      <c r="AO61" s="22"/>
      <c r="AP61" s="22">
        <f>38639*AK61</f>
        <v>3005341.42</v>
      </c>
      <c r="AQ61" s="23">
        <v>16107.06</v>
      </c>
      <c r="AR61" s="22" t="s">
        <v>57</v>
      </c>
      <c r="AS61" s="23" t="s">
        <v>349</v>
      </c>
      <c r="AT61" s="44">
        <v>45041</v>
      </c>
      <c r="AU61" s="24"/>
      <c r="AV61" s="45">
        <v>45034</v>
      </c>
      <c r="AW61" s="13"/>
      <c r="AX61" s="13"/>
      <c r="AY61" s="13"/>
      <c r="AZ61" s="13"/>
      <c r="BA61" s="13"/>
      <c r="BB61" s="13"/>
      <c r="BC61" s="13"/>
      <c r="BD61" s="13"/>
      <c r="BE61" s="13"/>
      <c r="BF61" s="13"/>
      <c r="BG61" s="13"/>
      <c r="BH61" s="14"/>
      <c r="BI61" s="14"/>
      <c r="BJ61" s="14"/>
      <c r="BK61" s="14"/>
      <c r="BL61" s="14"/>
      <c r="BM61" s="14"/>
      <c r="BN61" s="14"/>
      <c r="BO61" s="14"/>
      <c r="BP61" s="14"/>
      <c r="BQ61" s="14"/>
      <c r="BR61" s="14"/>
      <c r="BS61" s="14"/>
      <c r="BT61" s="14"/>
      <c r="BU61" s="14"/>
      <c r="BV61" s="14"/>
      <c r="BW61" s="14"/>
      <c r="IQ61" s="14"/>
      <c r="IR61" s="14"/>
      <c r="IS61" s="14"/>
      <c r="IT61" s="14"/>
      <c r="IU61" s="14"/>
      <c r="IV61" s="14"/>
      <c r="IW61" s="14"/>
    </row>
    <row r="62" spans="2:257" s="2" customFormat="1" ht="25.5">
      <c r="B62" s="49">
        <v>58</v>
      </c>
      <c r="C62" s="41">
        <v>551441</v>
      </c>
      <c r="D62" s="42">
        <v>45006</v>
      </c>
      <c r="E62" s="43" t="s">
        <v>65</v>
      </c>
      <c r="F62" s="15">
        <v>10900</v>
      </c>
      <c r="G62" s="15">
        <v>102284</v>
      </c>
      <c r="H62" s="15">
        <v>1156</v>
      </c>
      <c r="I62" s="16"/>
      <c r="J62" s="16"/>
      <c r="K62" s="16">
        <v>118</v>
      </c>
      <c r="L62" s="16">
        <v>11</v>
      </c>
      <c r="M62" s="16" t="s">
        <v>88</v>
      </c>
      <c r="N62" s="16" t="s">
        <v>350</v>
      </c>
      <c r="O62" s="72" t="s">
        <v>351</v>
      </c>
      <c r="P62" s="16"/>
      <c r="Q62" s="16" t="s">
        <v>352</v>
      </c>
      <c r="R62" s="16" t="s">
        <v>352</v>
      </c>
      <c r="S62" s="16" t="s">
        <v>352</v>
      </c>
      <c r="T62" s="16" t="s">
        <v>353</v>
      </c>
      <c r="U62" s="16"/>
      <c r="V62" s="17"/>
      <c r="W62" s="16"/>
      <c r="X62" s="16">
        <v>1</v>
      </c>
      <c r="Y62" s="16" t="s">
        <v>71</v>
      </c>
      <c r="Z62" s="18"/>
      <c r="AA62" s="19"/>
      <c r="AB62" s="20"/>
      <c r="AC62" s="19"/>
      <c r="AD62" s="20"/>
      <c r="AE62" s="19"/>
      <c r="AF62" s="16">
        <f>123.56+11.73/2</f>
        <v>129.42500000000001</v>
      </c>
      <c r="AG62" s="16"/>
      <c r="AH62" s="16">
        <f>17.96+27.76/2</f>
        <v>31.840000000000003</v>
      </c>
      <c r="AI62" s="16"/>
      <c r="AJ62" s="17">
        <v>24</v>
      </c>
      <c r="AK62" s="21"/>
      <c r="AL62" s="22">
        <v>349.2</v>
      </c>
      <c r="AM62" s="22">
        <f>+(123.56+11.73+17.96+27.76+24)/AL62</f>
        <v>0.58708476517754871</v>
      </c>
      <c r="AN62" s="22">
        <f>+(AF62+AH62+AJ62)/AL62</f>
        <v>0.53054123711340218</v>
      </c>
      <c r="AO62" s="22">
        <f>+(8+12+4)/(4+4+1)</f>
        <v>2.6666666666666665</v>
      </c>
      <c r="AP62" s="22">
        <f>+(9*48337+9*38659+2*28998+1*19335)/21*(AJ62+AG62)</f>
        <v>983194.28571428568</v>
      </c>
      <c r="AQ62" s="23">
        <v>22917.5</v>
      </c>
      <c r="AR62" s="22" t="s">
        <v>115</v>
      </c>
      <c r="AS62" s="23" t="s">
        <v>354</v>
      </c>
      <c r="AT62" s="44">
        <v>45043</v>
      </c>
      <c r="AU62" s="24"/>
      <c r="AV62" s="23"/>
      <c r="AW62" s="13"/>
      <c r="AX62" s="13"/>
      <c r="AY62" s="13"/>
      <c r="AZ62" s="13"/>
      <c r="BA62" s="13"/>
      <c r="BB62" s="13"/>
      <c r="BC62" s="13"/>
      <c r="BD62" s="13"/>
      <c r="BE62" s="13"/>
      <c r="BF62" s="13"/>
      <c r="BG62" s="13"/>
      <c r="BH62" s="14"/>
      <c r="BI62" s="14"/>
      <c r="BJ62" s="14"/>
      <c r="BK62" s="14"/>
      <c r="BL62" s="14"/>
      <c r="BM62" s="14"/>
      <c r="BN62" s="14"/>
      <c r="BO62" s="14"/>
      <c r="BP62" s="14"/>
      <c r="BQ62" s="14"/>
      <c r="BR62" s="14"/>
      <c r="BS62" s="14"/>
      <c r="BT62" s="14"/>
      <c r="BU62" s="14"/>
      <c r="BV62" s="14"/>
      <c r="BW62" s="14"/>
      <c r="IQ62" s="14"/>
      <c r="IR62" s="14"/>
      <c r="IS62" s="14"/>
      <c r="IT62" s="14"/>
      <c r="IU62" s="14"/>
      <c r="IV62" s="14"/>
      <c r="IW62" s="14"/>
    </row>
    <row r="63" spans="2:257" s="2" customFormat="1" ht="63.75">
      <c r="B63" s="49">
        <v>59</v>
      </c>
      <c r="C63" s="41">
        <v>552179</v>
      </c>
      <c r="D63" s="42">
        <v>45036</v>
      </c>
      <c r="E63" s="43" t="s">
        <v>46</v>
      </c>
      <c r="F63" s="15">
        <v>31779</v>
      </c>
      <c r="G63" s="15">
        <v>130723</v>
      </c>
      <c r="H63" s="15"/>
      <c r="I63" s="16"/>
      <c r="J63" s="16">
        <v>44</v>
      </c>
      <c r="K63" s="16">
        <v>371</v>
      </c>
      <c r="L63" s="16">
        <v>10</v>
      </c>
      <c r="M63" s="16" t="s">
        <v>88</v>
      </c>
      <c r="N63" s="16" t="s">
        <v>355</v>
      </c>
      <c r="O63" s="72" t="s">
        <v>356</v>
      </c>
      <c r="P63" s="16"/>
      <c r="Q63" s="16" t="s">
        <v>357</v>
      </c>
      <c r="R63" s="16"/>
      <c r="S63" s="16"/>
      <c r="T63" s="16"/>
      <c r="U63" s="16">
        <v>1</v>
      </c>
      <c r="V63" s="17"/>
      <c r="W63" s="16"/>
      <c r="X63" s="16"/>
      <c r="Y63" s="16" t="s">
        <v>71</v>
      </c>
      <c r="Z63" s="18">
        <v>2</v>
      </c>
      <c r="AA63" s="19"/>
      <c r="AB63" s="20">
        <f>+Z63+1</f>
        <v>3</v>
      </c>
      <c r="AC63" s="19"/>
      <c r="AD63" s="20">
        <f>+Z63*2</f>
        <v>4</v>
      </c>
      <c r="AE63" s="19"/>
      <c r="AF63" s="16">
        <v>85.88</v>
      </c>
      <c r="AG63" s="16"/>
      <c r="AH63" s="16">
        <f>38.25/2+13.32</f>
        <v>32.445</v>
      </c>
      <c r="AI63" s="16"/>
      <c r="AJ63" s="17"/>
      <c r="AK63" s="21"/>
      <c r="AL63" s="22">
        <v>227.01</v>
      </c>
      <c r="AM63" s="22">
        <f>+(85.88+38.25+13.32)/AL63</f>
        <v>0.60547993480463413</v>
      </c>
      <c r="AN63" s="22">
        <f>+(AF63+AH63)/AL63</f>
        <v>0.52123254482181403</v>
      </c>
      <c r="AO63" s="22"/>
      <c r="AP63" s="22">
        <f>+(5*38659+12*28989+3*19335)/20*AH63</f>
        <v>972000.28800000006</v>
      </c>
      <c r="AQ63" s="23">
        <v>15040.26</v>
      </c>
      <c r="AR63" s="22" t="s">
        <v>57</v>
      </c>
      <c r="AS63" s="23" t="s">
        <v>358</v>
      </c>
      <c r="AT63" s="44">
        <v>45044</v>
      </c>
      <c r="AU63" s="24"/>
      <c r="AV63" s="45">
        <v>45040</v>
      </c>
      <c r="AW63" s="13"/>
      <c r="AX63" s="13"/>
      <c r="AY63" s="13"/>
      <c r="AZ63" s="13"/>
      <c r="BA63" s="13"/>
      <c r="BB63" s="13"/>
      <c r="BC63" s="13"/>
      <c r="BD63" s="13"/>
      <c r="BE63" s="13"/>
      <c r="BF63" s="13"/>
      <c r="BG63" s="13"/>
      <c r="BH63" s="14"/>
      <c r="BI63" s="14"/>
      <c r="BJ63" s="14"/>
      <c r="BK63" s="14"/>
      <c r="BL63" s="14"/>
      <c r="BM63" s="14"/>
      <c r="BN63" s="14"/>
      <c r="BO63" s="14"/>
      <c r="BP63" s="14"/>
      <c r="BQ63" s="14"/>
      <c r="BR63" s="14"/>
      <c r="BS63" s="14"/>
      <c r="BT63" s="14"/>
      <c r="BU63" s="14"/>
      <c r="BV63" s="14"/>
      <c r="BW63" s="14"/>
      <c r="IQ63" s="14"/>
      <c r="IR63" s="14"/>
      <c r="IS63" s="14"/>
      <c r="IT63" s="14"/>
      <c r="IU63" s="14"/>
      <c r="IV63" s="14"/>
      <c r="IW63" s="14"/>
    </row>
    <row r="64" spans="2:257" s="2" customFormat="1" ht="63.75">
      <c r="B64" s="49">
        <v>60</v>
      </c>
      <c r="C64" s="41" t="s">
        <v>359</v>
      </c>
      <c r="D64" s="42">
        <v>44876</v>
      </c>
      <c r="E64" s="43" t="s">
        <v>117</v>
      </c>
      <c r="F64" s="15">
        <v>14000</v>
      </c>
      <c r="G64" s="15">
        <v>105131</v>
      </c>
      <c r="H64" s="15">
        <v>3221</v>
      </c>
      <c r="I64" s="16"/>
      <c r="J64" s="16"/>
      <c r="K64" s="16">
        <v>59</v>
      </c>
      <c r="L64" s="16">
        <v>17</v>
      </c>
      <c r="M64" s="16" t="s">
        <v>88</v>
      </c>
      <c r="N64" s="16" t="s">
        <v>360</v>
      </c>
      <c r="O64" s="72" t="s">
        <v>361</v>
      </c>
      <c r="P64" s="16"/>
      <c r="Q64" s="16" t="s">
        <v>357</v>
      </c>
      <c r="R64" s="16" t="s">
        <v>357</v>
      </c>
      <c r="S64" s="16" t="s">
        <v>357</v>
      </c>
      <c r="T64" s="16" t="s">
        <v>70</v>
      </c>
      <c r="U64" s="16"/>
      <c r="V64" s="17"/>
      <c r="W64" s="16">
        <v>1</v>
      </c>
      <c r="X64" s="16"/>
      <c r="Y64" s="16" t="s">
        <v>71</v>
      </c>
      <c r="Z64" s="18">
        <v>1</v>
      </c>
      <c r="AA64" s="19">
        <v>3</v>
      </c>
      <c r="AB64" s="20">
        <f>+Z64+1</f>
        <v>2</v>
      </c>
      <c r="AC64" s="19"/>
      <c r="AD64" s="20">
        <f>+Z64*2</f>
        <v>2</v>
      </c>
      <c r="AE64" s="19">
        <f>+AA64*2</f>
        <v>6</v>
      </c>
      <c r="AF64" s="16">
        <v>65.400000000000006</v>
      </c>
      <c r="AG64" s="16"/>
      <c r="AH64" s="16">
        <f>22.13/2</f>
        <v>11.065</v>
      </c>
      <c r="AI64" s="16"/>
      <c r="AJ64" s="17">
        <v>87.09</v>
      </c>
      <c r="AK64" s="21"/>
      <c r="AL64" s="22">
        <v>259.27999999999997</v>
      </c>
      <c r="AM64" s="22">
        <f>+(65.4+22.13)/AL64</f>
        <v>0.33758870718913919</v>
      </c>
      <c r="AN64" s="22">
        <f>+(AF64+AH64+AJ64)/AL64</f>
        <v>0.63080453563714911</v>
      </c>
      <c r="AO64" s="22"/>
      <c r="AP64" s="22">
        <f>35500+55000+7500+((3*48337+6*38659+12*28998+2*18335)/23*AJ64)</f>
        <v>2981856.6082608695</v>
      </c>
      <c r="AQ64" s="23">
        <v>11688.16</v>
      </c>
      <c r="AR64" s="22" t="s">
        <v>57</v>
      </c>
      <c r="AS64" s="23" t="s">
        <v>362</v>
      </c>
      <c r="AT64" s="44">
        <v>45044</v>
      </c>
      <c r="AU64" s="24"/>
      <c r="AV64" s="45">
        <v>45040</v>
      </c>
      <c r="AW64" s="13"/>
      <c r="AX64" s="13"/>
      <c r="AY64" s="13"/>
      <c r="AZ64" s="13"/>
      <c r="BA64" s="13"/>
      <c r="BB64" s="13"/>
      <c r="BC64" s="13"/>
      <c r="BD64" s="13"/>
      <c r="BE64" s="13"/>
      <c r="BF64" s="13"/>
      <c r="BG64" s="13"/>
      <c r="BH64" s="14"/>
      <c r="BI64" s="14"/>
      <c r="BJ64" s="14"/>
      <c r="BK64" s="14"/>
      <c r="BL64" s="14"/>
      <c r="BM64" s="14"/>
      <c r="BN64" s="14"/>
      <c r="BO64" s="14"/>
      <c r="BP64" s="14"/>
      <c r="BQ64" s="14"/>
      <c r="BR64" s="14"/>
      <c r="BS64" s="14"/>
      <c r="BT64" s="14"/>
      <c r="BU64" s="14"/>
      <c r="BV64" s="14"/>
      <c r="BW64" s="14"/>
      <c r="IQ64" s="14"/>
      <c r="IR64" s="14"/>
      <c r="IS64" s="14"/>
      <c r="IT64" s="14"/>
      <c r="IU64" s="14"/>
      <c r="IV64" s="14"/>
      <c r="IW64" s="14"/>
    </row>
    <row r="65" spans="2:257" s="2" customFormat="1" ht="63.75">
      <c r="B65" s="49">
        <v>61</v>
      </c>
      <c r="C65" s="41" t="s">
        <v>363</v>
      </c>
      <c r="D65" s="42">
        <v>44930</v>
      </c>
      <c r="E65" s="43" t="s">
        <v>117</v>
      </c>
      <c r="F65" s="15">
        <v>12621</v>
      </c>
      <c r="G65" s="15">
        <v>104014</v>
      </c>
      <c r="H65" s="15">
        <v>323</v>
      </c>
      <c r="I65" s="16"/>
      <c r="J65" s="16"/>
      <c r="K65" s="16">
        <v>172</v>
      </c>
      <c r="L65" s="16">
        <v>18</v>
      </c>
      <c r="M65" s="16" t="s">
        <v>268</v>
      </c>
      <c r="N65" s="16" t="s">
        <v>364</v>
      </c>
      <c r="O65" s="72" t="s">
        <v>365</v>
      </c>
      <c r="P65" s="16"/>
      <c r="Q65" s="16" t="s">
        <v>366</v>
      </c>
      <c r="R65" s="16" t="s">
        <v>367</v>
      </c>
      <c r="S65" s="16" t="s">
        <v>366</v>
      </c>
      <c r="T65" s="16" t="s">
        <v>70</v>
      </c>
      <c r="U65" s="16"/>
      <c r="V65" s="17"/>
      <c r="W65" s="16">
        <v>1</v>
      </c>
      <c r="X65" s="16"/>
      <c r="Y65" s="16" t="s">
        <v>44</v>
      </c>
      <c r="Z65" s="18"/>
      <c r="AA65" s="19"/>
      <c r="AB65" s="20"/>
      <c r="AC65" s="19"/>
      <c r="AD65" s="20"/>
      <c r="AE65" s="19"/>
      <c r="AF65" s="16">
        <f>592.05+56.16/2-AG65</f>
        <v>417.28</v>
      </c>
      <c r="AG65" s="16">
        <f>+(202.85)</f>
        <v>202.85</v>
      </c>
      <c r="AH65" s="16">
        <f>5.8/2</f>
        <v>2.9</v>
      </c>
      <c r="AI65" s="16"/>
      <c r="AJ65" s="17">
        <f>364.14+186.78/2</f>
        <v>457.53</v>
      </c>
      <c r="AK65" s="21"/>
      <c r="AL65" s="22">
        <v>620.5</v>
      </c>
      <c r="AM65" s="22">
        <v>0.69</v>
      </c>
      <c r="AN65" s="22">
        <f>+(AF65+AG65+AH65+AJ65)/AL65</f>
        <v>1.7414343271555197</v>
      </c>
      <c r="AO65" s="22"/>
      <c r="AP65" s="22">
        <f>+((4*48337+4*38659+28998*7+7*19335)/22*AJ65)+65000+80000</f>
        <v>14418168.270454545</v>
      </c>
      <c r="AQ65" s="23">
        <v>60466.71</v>
      </c>
      <c r="AR65" s="22" t="s">
        <v>57</v>
      </c>
      <c r="AS65" s="23" t="s">
        <v>368</v>
      </c>
      <c r="AT65" s="44">
        <v>45044</v>
      </c>
      <c r="AU65" s="24"/>
      <c r="AV65" s="23"/>
      <c r="AW65" s="13"/>
      <c r="AX65" s="13"/>
      <c r="AY65" s="13"/>
      <c r="AZ65" s="13"/>
      <c r="BA65" s="13"/>
      <c r="BB65" s="13"/>
      <c r="BC65" s="13"/>
      <c r="BD65" s="13"/>
      <c r="BE65" s="13"/>
      <c r="BF65" s="13"/>
      <c r="BG65" s="13"/>
      <c r="BH65" s="14"/>
      <c r="BI65" s="14"/>
      <c r="BJ65" s="14"/>
      <c r="BK65" s="14"/>
      <c r="BL65" s="14"/>
      <c r="BM65" s="14"/>
      <c r="BN65" s="14"/>
      <c r="BO65" s="14"/>
      <c r="BP65" s="14"/>
      <c r="BQ65" s="14"/>
      <c r="BR65" s="14"/>
      <c r="BS65" s="14"/>
      <c r="BT65" s="14"/>
      <c r="BU65" s="14"/>
      <c r="BV65" s="14"/>
      <c r="BW65" s="14"/>
      <c r="IQ65" s="14"/>
      <c r="IR65" s="14"/>
      <c r="IS65" s="14"/>
      <c r="IT65" s="14"/>
      <c r="IU65" s="14"/>
      <c r="IV65" s="14"/>
      <c r="IW65" s="14"/>
    </row>
    <row r="66" spans="2:257" s="2" customFormat="1" ht="76.5">
      <c r="B66" s="49">
        <v>62</v>
      </c>
      <c r="C66" s="41" t="s">
        <v>369</v>
      </c>
      <c r="D66" s="42">
        <v>44971</v>
      </c>
      <c r="E66" s="43" t="s">
        <v>46</v>
      </c>
      <c r="F66" s="15">
        <v>40559</v>
      </c>
      <c r="G66" s="15">
        <v>137078</v>
      </c>
      <c r="H66" s="15">
        <v>20336</v>
      </c>
      <c r="I66" s="16"/>
      <c r="J66" s="16"/>
      <c r="K66" s="16">
        <v>337</v>
      </c>
      <c r="L66" s="16">
        <v>10</v>
      </c>
      <c r="M66" s="16" t="s">
        <v>88</v>
      </c>
      <c r="N66" s="16" t="s">
        <v>370</v>
      </c>
      <c r="O66" s="72" t="s">
        <v>371</v>
      </c>
      <c r="P66" s="16"/>
      <c r="Q66" s="16" t="s">
        <v>372</v>
      </c>
      <c r="R66" s="16"/>
      <c r="S66" s="16"/>
      <c r="T66" s="16"/>
      <c r="U66" s="16">
        <v>2</v>
      </c>
      <c r="V66" s="17"/>
      <c r="W66" s="16"/>
      <c r="X66" s="16"/>
      <c r="Y66" s="16" t="s">
        <v>44</v>
      </c>
      <c r="Z66" s="18">
        <f>2+2</f>
        <v>4</v>
      </c>
      <c r="AA66" s="19"/>
      <c r="AB66" s="20">
        <f>+Z66+1+1</f>
        <v>6</v>
      </c>
      <c r="AC66" s="19"/>
      <c r="AD66" s="20">
        <f>+Z66*2</f>
        <v>8</v>
      </c>
      <c r="AE66" s="19"/>
      <c r="AF66" s="16"/>
      <c r="AG66" s="16"/>
      <c r="AH66" s="16">
        <f>49.64+5.11/2+49.64+5.11/2</f>
        <v>104.39000000000001</v>
      </c>
      <c r="AI66" s="16"/>
      <c r="AJ66" s="17"/>
      <c r="AK66" s="21"/>
      <c r="AL66" s="22">
        <v>300.74</v>
      </c>
      <c r="AM66" s="22"/>
      <c r="AN66" s="22">
        <f>+AH66/AL66</f>
        <v>0.34711046086320413</v>
      </c>
      <c r="AO66" s="22"/>
      <c r="AP66" s="22">
        <f>+(48337+38639*6+4*28998+9*19335)/20*AH66</f>
        <v>2976044.0710000005</v>
      </c>
      <c r="AQ66" s="23">
        <v>48078.69</v>
      </c>
      <c r="AR66" s="22" t="s">
        <v>57</v>
      </c>
      <c r="AS66" s="23" t="s">
        <v>373</v>
      </c>
      <c r="AT66" s="44">
        <v>45051</v>
      </c>
      <c r="AU66" s="24"/>
      <c r="AV66" s="23"/>
      <c r="AW66" s="13"/>
      <c r="AX66" s="13"/>
      <c r="AY66" s="13"/>
      <c r="AZ66" s="13"/>
      <c r="BA66" s="13"/>
      <c r="BB66" s="13"/>
      <c r="BC66" s="13"/>
      <c r="BD66" s="13"/>
      <c r="BE66" s="13"/>
      <c r="BF66" s="13"/>
      <c r="BG66" s="13"/>
      <c r="BH66" s="14"/>
      <c r="BI66" s="14"/>
      <c r="BJ66" s="14"/>
      <c r="BK66" s="14"/>
      <c r="BL66" s="14"/>
      <c r="BM66" s="14"/>
      <c r="BN66" s="14"/>
      <c r="BO66" s="14"/>
      <c r="BP66" s="14"/>
      <c r="BQ66" s="14"/>
      <c r="BR66" s="14"/>
      <c r="BS66" s="14"/>
      <c r="BT66" s="14"/>
      <c r="BU66" s="14"/>
      <c r="BV66" s="14"/>
      <c r="BW66" s="14"/>
      <c r="IQ66" s="14"/>
      <c r="IR66" s="14"/>
      <c r="IS66" s="14"/>
      <c r="IT66" s="14"/>
      <c r="IU66" s="14"/>
      <c r="IV66" s="14"/>
      <c r="IW66" s="14"/>
    </row>
    <row r="67" spans="2:257" s="2" customFormat="1" ht="63.75">
      <c r="B67" s="49">
        <v>63</v>
      </c>
      <c r="C67" s="41" t="s">
        <v>374</v>
      </c>
      <c r="D67" s="50">
        <v>44895</v>
      </c>
      <c r="E67" s="51" t="s">
        <v>46</v>
      </c>
      <c r="F67" s="15">
        <v>-6069</v>
      </c>
      <c r="G67" s="15">
        <v>135029</v>
      </c>
      <c r="H67" s="15">
        <v>8515</v>
      </c>
      <c r="I67" s="16"/>
      <c r="J67" s="16"/>
      <c r="K67" s="4">
        <v>429</v>
      </c>
      <c r="L67" s="16">
        <v>13</v>
      </c>
      <c r="M67" s="4" t="s">
        <v>66</v>
      </c>
      <c r="N67" s="16" t="s">
        <v>375</v>
      </c>
      <c r="O67" s="72" t="s">
        <v>376</v>
      </c>
      <c r="P67" s="16"/>
      <c r="Q67" s="16" t="s">
        <v>377</v>
      </c>
      <c r="R67" s="16" t="s">
        <v>377</v>
      </c>
      <c r="S67" s="16" t="s">
        <v>377</v>
      </c>
      <c r="T67" s="16" t="s">
        <v>70</v>
      </c>
      <c r="U67" s="16"/>
      <c r="V67" s="17">
        <v>1</v>
      </c>
      <c r="W67" s="16"/>
      <c r="X67" s="16"/>
      <c r="Y67" s="16" t="s">
        <v>71</v>
      </c>
      <c r="Z67" s="18"/>
      <c r="AA67" s="19">
        <v>3</v>
      </c>
      <c r="AB67" s="20"/>
      <c r="AC67" s="19"/>
      <c r="AD67" s="20"/>
      <c r="AE67" s="19"/>
      <c r="AF67" s="16"/>
      <c r="AG67" s="16"/>
      <c r="AH67" s="16"/>
      <c r="AI67" s="16"/>
      <c r="AJ67" s="17">
        <f>88.6+33.7/2+66.4</f>
        <v>171.85</v>
      </c>
      <c r="AK67" s="21"/>
      <c r="AL67" s="22">
        <v>266.8</v>
      </c>
      <c r="AM67" s="22">
        <f>+(88.6+33.7)/AL67</f>
        <v>0.45839580209895048</v>
      </c>
      <c r="AN67" s="22">
        <f>+AJ67/AL67</f>
        <v>0.64411544227886053</v>
      </c>
      <c r="AO67" s="22"/>
      <c r="AP67" s="22">
        <f>+(6*48337+9*38659+28998*4+5*19335)/24*AJ67</f>
        <v>6090793.625</v>
      </c>
      <c r="AQ67" s="23">
        <v>69294.92</v>
      </c>
      <c r="AR67" s="22" t="s">
        <v>57</v>
      </c>
      <c r="AS67" s="23" t="s">
        <v>378</v>
      </c>
      <c r="AT67" s="44">
        <v>45051</v>
      </c>
      <c r="AU67" s="24"/>
      <c r="AV67" s="45"/>
      <c r="AW67" s="13"/>
      <c r="AX67" s="13"/>
      <c r="AY67" s="13"/>
      <c r="AZ67" s="13"/>
      <c r="BA67" s="13"/>
      <c r="BB67" s="13"/>
      <c r="BC67" s="13"/>
      <c r="BD67" s="13"/>
      <c r="BE67" s="13"/>
      <c r="BF67" s="13"/>
      <c r="BG67" s="13"/>
      <c r="BH67" s="14"/>
      <c r="BI67" s="14"/>
      <c r="BJ67" s="14"/>
      <c r="BK67" s="14"/>
      <c r="BL67" s="14"/>
      <c r="BM67" s="14"/>
      <c r="BN67" s="14"/>
      <c r="BO67" s="14"/>
      <c r="BP67" s="14"/>
      <c r="BQ67" s="14"/>
      <c r="BR67" s="14"/>
      <c r="BS67" s="14"/>
      <c r="BT67" s="14"/>
      <c r="BU67" s="14"/>
      <c r="BV67" s="14"/>
      <c r="BW67" s="14"/>
      <c r="IQ67" s="14"/>
      <c r="IR67" s="14"/>
      <c r="IS67" s="14"/>
      <c r="IT67" s="14"/>
      <c r="IU67" s="14"/>
      <c r="IV67" s="14"/>
      <c r="IW67" s="14"/>
    </row>
    <row r="68" spans="2:257" s="25" customFormat="1" ht="51">
      <c r="B68" s="73">
        <v>64</v>
      </c>
      <c r="C68" s="46">
        <v>552544</v>
      </c>
      <c r="D68" s="47">
        <v>45051</v>
      </c>
      <c r="E68" s="48" t="s">
        <v>46</v>
      </c>
      <c r="F68" s="30">
        <v>11806</v>
      </c>
      <c r="G68" s="30">
        <v>103224</v>
      </c>
      <c r="H68" s="30">
        <v>349</v>
      </c>
      <c r="I68" s="31"/>
      <c r="J68" s="31"/>
      <c r="K68" s="31">
        <v>211</v>
      </c>
      <c r="L68" s="31">
        <v>3</v>
      </c>
      <c r="M68" s="31" t="s">
        <v>40</v>
      </c>
      <c r="N68" s="31" t="s">
        <v>379</v>
      </c>
      <c r="O68" s="31" t="s">
        <v>380</v>
      </c>
      <c r="P68" s="31"/>
      <c r="Q68" s="31" t="s">
        <v>221</v>
      </c>
      <c r="R68" s="31"/>
      <c r="S68" s="31"/>
      <c r="T68" s="31"/>
      <c r="U68" s="31">
        <v>1</v>
      </c>
      <c r="V68" s="31"/>
      <c r="W68" s="31"/>
      <c r="X68" s="31"/>
      <c r="Y68" s="31" t="s">
        <v>71</v>
      </c>
      <c r="Z68" s="32">
        <v>2</v>
      </c>
      <c r="AA68" s="32"/>
      <c r="AB68" s="32">
        <f>+Z68+3</f>
        <v>5</v>
      </c>
      <c r="AC68" s="32"/>
      <c r="AD68" s="32">
        <f>+Z68*2</f>
        <v>4</v>
      </c>
      <c r="AE68" s="32"/>
      <c r="AF68" s="31"/>
      <c r="AG68" s="31"/>
      <c r="AH68" s="31">
        <f>114.88+22.7/2+21.38</f>
        <v>147.60999999999999</v>
      </c>
      <c r="AI68" s="31"/>
      <c r="AJ68" s="31"/>
      <c r="AK68" s="33"/>
      <c r="AL68" s="33">
        <v>294.12</v>
      </c>
      <c r="AM68" s="33">
        <f>+(114.88+22.7)/AL68</f>
        <v>0.46776825785393711</v>
      </c>
      <c r="AN68" s="33">
        <f>+(114.88+32.7/2)/AL68</f>
        <v>0.44617843057255535</v>
      </c>
      <c r="AO68" s="33">
        <f>+(15+20)/(5+5)</f>
        <v>3.5</v>
      </c>
      <c r="AP68" s="33">
        <f>+(1*48337+38639*8+28998*7+4*19333)/20*AH68</f>
        <v>4707039.3434999995</v>
      </c>
      <c r="AQ68" s="34">
        <v>70718.89</v>
      </c>
      <c r="AR68" s="33" t="s">
        <v>57</v>
      </c>
      <c r="AS68" s="34" t="s">
        <v>381</v>
      </c>
      <c r="AT68" s="35">
        <v>45058</v>
      </c>
      <c r="AU68" s="36"/>
      <c r="AV68" s="37"/>
      <c r="AW68" s="38"/>
      <c r="AX68" s="38"/>
      <c r="AY68" s="38"/>
      <c r="AZ68" s="38"/>
      <c r="BA68" s="38"/>
      <c r="BB68" s="38"/>
      <c r="BC68" s="38"/>
      <c r="BD68" s="38"/>
      <c r="BE68" s="38"/>
      <c r="BF68" s="38"/>
      <c r="BG68" s="38"/>
      <c r="BH68" s="39"/>
      <c r="BI68" s="39"/>
      <c r="BJ68" s="39"/>
      <c r="BK68" s="39"/>
      <c r="BL68" s="39"/>
      <c r="BM68" s="39"/>
      <c r="BN68" s="39"/>
      <c r="BO68" s="39"/>
      <c r="BP68" s="39"/>
      <c r="BQ68" s="39"/>
      <c r="BR68" s="39"/>
      <c r="BS68" s="39"/>
      <c r="BT68" s="39"/>
      <c r="BU68" s="39"/>
      <c r="BV68" s="39"/>
      <c r="BW68" s="39"/>
      <c r="IQ68" s="39"/>
      <c r="IR68" s="39"/>
      <c r="IS68" s="39"/>
      <c r="IT68" s="39"/>
      <c r="IU68" s="39"/>
      <c r="IV68" s="39"/>
      <c r="IW68" s="39"/>
    </row>
    <row r="69" spans="2:257" s="2" customFormat="1" ht="51">
      <c r="B69" s="49">
        <v>65</v>
      </c>
      <c r="C69" s="41">
        <v>551186</v>
      </c>
      <c r="D69" s="42">
        <v>45000</v>
      </c>
      <c r="E69" s="43" t="s">
        <v>65</v>
      </c>
      <c r="F69" s="15">
        <v>57721</v>
      </c>
      <c r="G69" s="15">
        <v>149787</v>
      </c>
      <c r="H69" s="15">
        <v>32387</v>
      </c>
      <c r="I69" s="16">
        <v>355</v>
      </c>
      <c r="J69" s="16"/>
      <c r="K69" s="16">
        <v>14</v>
      </c>
      <c r="L69" s="16">
        <v>7</v>
      </c>
      <c r="M69" s="16" t="s">
        <v>206</v>
      </c>
      <c r="N69" s="16" t="s">
        <v>382</v>
      </c>
      <c r="O69" s="72" t="s">
        <v>383</v>
      </c>
      <c r="P69" s="16"/>
      <c r="Q69" s="16" t="s">
        <v>352</v>
      </c>
      <c r="R69" s="16" t="s">
        <v>352</v>
      </c>
      <c r="S69" s="16" t="s">
        <v>352</v>
      </c>
      <c r="T69" s="16" t="s">
        <v>353</v>
      </c>
      <c r="U69" s="16"/>
      <c r="V69" s="17">
        <v>1</v>
      </c>
      <c r="W69" s="16"/>
      <c r="X69" s="16"/>
      <c r="Y69" s="16" t="s">
        <v>71</v>
      </c>
      <c r="Z69" s="18"/>
      <c r="AA69" s="19">
        <v>2</v>
      </c>
      <c r="AB69" s="20"/>
      <c r="AC69" s="19">
        <f>+AA69+1</f>
        <v>3</v>
      </c>
      <c r="AD69" s="20"/>
      <c r="AE69" s="19">
        <f>+AA69*2</f>
        <v>4</v>
      </c>
      <c r="AF69" s="16"/>
      <c r="AG69" s="16"/>
      <c r="AH69" s="16"/>
      <c r="AI69" s="16"/>
      <c r="AJ69" s="17">
        <f>90.11+52.89/2</f>
        <v>116.55500000000001</v>
      </c>
      <c r="AK69" s="21"/>
      <c r="AL69" s="22">
        <v>855.74</v>
      </c>
      <c r="AM69" s="22">
        <f>+(90.11+52.89)/AL69</f>
        <v>0.16710683151424499</v>
      </c>
      <c r="AN69" s="22">
        <f>+AJ69/AL69</f>
        <v>0.13620375347652325</v>
      </c>
      <c r="AO69" s="22">
        <f>+(8+12+4)/(4+4+1)</f>
        <v>2.6666666666666665</v>
      </c>
      <c r="AP69" s="22">
        <f>+(10*48337+38639*6+28998*3+59335)/20*AJ69</f>
        <v>5020798.9407500001</v>
      </c>
      <c r="AQ69" s="23">
        <v>19106</v>
      </c>
      <c r="AR69" s="22" t="s">
        <v>115</v>
      </c>
      <c r="AS69" s="23" t="s">
        <v>384</v>
      </c>
      <c r="AT69" s="44">
        <v>45061</v>
      </c>
      <c r="AU69" s="24"/>
      <c r="AV69" s="23" t="s">
        <v>385</v>
      </c>
      <c r="AW69" s="13"/>
      <c r="AX69" s="13"/>
      <c r="AY69" s="13"/>
      <c r="AZ69" s="13"/>
      <c r="BA69" s="13"/>
      <c r="BB69" s="13"/>
      <c r="BC69" s="13"/>
      <c r="BD69" s="13"/>
      <c r="BE69" s="13"/>
      <c r="BF69" s="13"/>
      <c r="BG69" s="13"/>
      <c r="BH69" s="14"/>
      <c r="BI69" s="14"/>
      <c r="BJ69" s="14"/>
      <c r="BK69" s="14"/>
      <c r="BL69" s="14"/>
      <c r="BM69" s="14"/>
      <c r="BN69" s="14"/>
      <c r="BO69" s="14"/>
      <c r="BP69" s="14"/>
      <c r="BQ69" s="14"/>
      <c r="BR69" s="14"/>
      <c r="BS69" s="14"/>
      <c r="BT69" s="14"/>
      <c r="BU69" s="14"/>
      <c r="BV69" s="14"/>
      <c r="BW69" s="14"/>
      <c r="IQ69" s="14"/>
      <c r="IR69" s="14"/>
      <c r="IS69" s="14"/>
      <c r="IT69" s="14"/>
      <c r="IU69" s="14"/>
      <c r="IV69" s="14"/>
      <c r="IW69" s="14"/>
    </row>
    <row r="70" spans="2:257" s="2" customFormat="1" ht="38.25">
      <c r="B70" s="49">
        <v>66</v>
      </c>
      <c r="C70" s="41" t="s">
        <v>386</v>
      </c>
      <c r="D70" s="42">
        <v>44993</v>
      </c>
      <c r="E70" s="43" t="s">
        <v>65</v>
      </c>
      <c r="F70" s="15">
        <v>39701</v>
      </c>
      <c r="G70" s="15">
        <v>138410</v>
      </c>
      <c r="H70" s="15">
        <v>31609</v>
      </c>
      <c r="I70" s="16"/>
      <c r="J70" s="16"/>
      <c r="K70" s="16">
        <v>6</v>
      </c>
      <c r="L70" s="16">
        <v>1</v>
      </c>
      <c r="M70" s="16" t="s">
        <v>88</v>
      </c>
      <c r="N70" s="16" t="s">
        <v>387</v>
      </c>
      <c r="O70" s="72" t="s">
        <v>388</v>
      </c>
      <c r="P70" s="16"/>
      <c r="Q70" s="16" t="s">
        <v>389</v>
      </c>
      <c r="R70" s="16" t="s">
        <v>389</v>
      </c>
      <c r="S70" s="16" t="s">
        <v>389</v>
      </c>
      <c r="T70" s="16" t="s">
        <v>390</v>
      </c>
      <c r="U70" s="16"/>
      <c r="V70" s="17">
        <v>1</v>
      </c>
      <c r="W70" s="16"/>
      <c r="X70" s="16"/>
      <c r="Y70" s="16" t="s">
        <v>71</v>
      </c>
      <c r="Z70" s="18"/>
      <c r="AA70" s="19">
        <v>2</v>
      </c>
      <c r="AB70" s="20"/>
      <c r="AC70" s="19">
        <f>+AA70+1</f>
        <v>3</v>
      </c>
      <c r="AD70" s="20"/>
      <c r="AE70" s="19">
        <f>+AA70*2</f>
        <v>4</v>
      </c>
      <c r="AF70" s="16"/>
      <c r="AG70" s="16"/>
      <c r="AH70" s="16"/>
      <c r="AI70" s="16"/>
      <c r="AJ70" s="17">
        <f>103.63+74.54/2</f>
        <v>140.9</v>
      </c>
      <c r="AK70" s="21"/>
      <c r="AL70" s="22">
        <v>814.15</v>
      </c>
      <c r="AM70" s="22">
        <f>+(103.63+74.54)/AL70</f>
        <v>0.21884173678069155</v>
      </c>
      <c r="AN70" s="22">
        <f>+AJ70/AL70</f>
        <v>0.17306393170791623</v>
      </c>
      <c r="AO70" s="22"/>
      <c r="AP70" s="22">
        <f>+(7*48337+38639*4+9*28998)/21*AJ70</f>
        <v>5058289.8714285716</v>
      </c>
      <c r="AQ70" s="23">
        <v>21535.18</v>
      </c>
      <c r="AR70" s="22" t="s">
        <v>165</v>
      </c>
      <c r="AS70" s="23" t="s">
        <v>391</v>
      </c>
      <c r="AT70" s="44">
        <v>45061</v>
      </c>
      <c r="AU70" s="24"/>
      <c r="AV70" s="45" t="s">
        <v>392</v>
      </c>
      <c r="AW70" s="13"/>
      <c r="AX70" s="13"/>
      <c r="AY70" s="13"/>
      <c r="AZ70" s="13"/>
      <c r="BA70" s="13"/>
      <c r="BB70" s="13"/>
      <c r="BC70" s="13"/>
      <c r="BD70" s="13"/>
      <c r="BE70" s="13"/>
      <c r="BF70" s="13"/>
      <c r="BG70" s="13"/>
      <c r="BH70" s="14"/>
      <c r="BI70" s="14"/>
      <c r="BJ70" s="14"/>
      <c r="BK70" s="14"/>
      <c r="BL70" s="14"/>
      <c r="BM70" s="14"/>
      <c r="BN70" s="14"/>
      <c r="BO70" s="14"/>
      <c r="BP70" s="14"/>
      <c r="BQ70" s="14"/>
      <c r="BR70" s="14"/>
      <c r="BS70" s="14"/>
      <c r="BT70" s="14"/>
      <c r="BU70" s="14"/>
      <c r="BV70" s="14"/>
      <c r="BW70" s="14"/>
      <c r="IQ70" s="14"/>
      <c r="IR70" s="14"/>
      <c r="IS70" s="14"/>
      <c r="IT70" s="14"/>
      <c r="IU70" s="14"/>
      <c r="IV70" s="14"/>
      <c r="IW70" s="14"/>
    </row>
    <row r="71" spans="2:257" s="25" customFormat="1" ht="51">
      <c r="B71" s="66">
        <v>67</v>
      </c>
      <c r="C71" s="46">
        <v>549856</v>
      </c>
      <c r="D71" s="47">
        <v>44953</v>
      </c>
      <c r="E71" s="48" t="s">
        <v>46</v>
      </c>
      <c r="F71" s="30">
        <v>20968</v>
      </c>
      <c r="G71" s="30">
        <v>110312</v>
      </c>
      <c r="H71" s="30">
        <v>1730</v>
      </c>
      <c r="I71" s="31"/>
      <c r="J71" s="31"/>
      <c r="K71" s="31">
        <v>194</v>
      </c>
      <c r="L71" s="31">
        <v>5</v>
      </c>
      <c r="M71" s="31" t="s">
        <v>88</v>
      </c>
      <c r="N71" s="31" t="s">
        <v>393</v>
      </c>
      <c r="O71" s="31" t="s">
        <v>394</v>
      </c>
      <c r="P71" s="31"/>
      <c r="Q71" s="31" t="s">
        <v>395</v>
      </c>
      <c r="R71" s="31"/>
      <c r="S71" s="31"/>
      <c r="T71" s="31"/>
      <c r="U71" s="31"/>
      <c r="V71" s="31"/>
      <c r="W71" s="31">
        <v>1</v>
      </c>
      <c r="X71" s="31"/>
      <c r="Y71" s="31" t="s">
        <v>62</v>
      </c>
      <c r="Z71" s="32"/>
      <c r="AA71" s="32"/>
      <c r="AB71" s="32"/>
      <c r="AC71" s="32"/>
      <c r="AD71" s="32"/>
      <c r="AE71" s="32"/>
      <c r="AF71" s="31"/>
      <c r="AG71" s="31">
        <f>884.55+96.2/2</f>
        <v>932.65</v>
      </c>
      <c r="AH71" s="31"/>
      <c r="AI71" s="31">
        <f>327.19+23.39+301.93+30.71-AG71</f>
        <v>-249.42999999999995</v>
      </c>
      <c r="AJ71" s="31"/>
      <c r="AK71" s="33"/>
      <c r="AL71" s="33">
        <v>481.58</v>
      </c>
      <c r="AM71" s="33">
        <f>+(301.93/AL71)</f>
        <v>0.62695709954732348</v>
      </c>
      <c r="AN71" s="33">
        <f>+(301.93+30.71)/AL71</f>
        <v>0.69072635906806756</v>
      </c>
      <c r="AO71" s="33"/>
      <c r="AP71" s="33"/>
      <c r="AQ71" s="34">
        <v>1311</v>
      </c>
      <c r="AR71" s="33" t="s">
        <v>77</v>
      </c>
      <c r="AS71" s="34" t="s">
        <v>396</v>
      </c>
      <c r="AT71" s="35">
        <v>45061</v>
      </c>
      <c r="AU71" s="35"/>
      <c r="AV71" s="37">
        <v>44957</v>
      </c>
      <c r="AW71" s="38"/>
      <c r="AX71" s="38"/>
      <c r="AY71" s="38"/>
      <c r="AZ71" s="38"/>
      <c r="BA71" s="38"/>
      <c r="BB71" s="38"/>
      <c r="BC71" s="38"/>
      <c r="BD71" s="38"/>
      <c r="BE71" s="38"/>
      <c r="BF71" s="38"/>
      <c r="BG71" s="38"/>
      <c r="BH71" s="39"/>
      <c r="BI71" s="39"/>
      <c r="BJ71" s="39"/>
      <c r="BK71" s="39"/>
      <c r="BL71" s="39"/>
      <c r="BM71" s="39"/>
      <c r="BN71" s="39"/>
      <c r="BO71" s="39"/>
      <c r="BP71" s="39"/>
      <c r="BQ71" s="39"/>
      <c r="BR71" s="39"/>
      <c r="BS71" s="39"/>
      <c r="BT71" s="39"/>
      <c r="BU71" s="39"/>
      <c r="BV71" s="39"/>
      <c r="BW71" s="39"/>
      <c r="IQ71" s="39"/>
      <c r="IR71" s="39"/>
      <c r="IS71" s="39"/>
      <c r="IT71" s="39"/>
      <c r="IU71" s="39"/>
      <c r="IV71" s="39"/>
      <c r="IW71" s="39"/>
    </row>
    <row r="72" spans="2:257" s="2" customFormat="1" ht="51">
      <c r="B72" s="49">
        <v>68</v>
      </c>
      <c r="C72" s="41">
        <v>551865</v>
      </c>
      <c r="D72" s="42">
        <v>45026</v>
      </c>
      <c r="E72" s="43" t="s">
        <v>65</v>
      </c>
      <c r="F72" s="15">
        <v>61565</v>
      </c>
      <c r="G72" s="15">
        <v>169381</v>
      </c>
      <c r="H72" s="15">
        <v>34088</v>
      </c>
      <c r="I72" s="16"/>
      <c r="J72" s="16"/>
      <c r="K72" s="16">
        <v>4</v>
      </c>
      <c r="L72" s="16">
        <v>3</v>
      </c>
      <c r="M72" s="16" t="s">
        <v>37</v>
      </c>
      <c r="N72" s="16" t="s">
        <v>397</v>
      </c>
      <c r="O72" s="72" t="s">
        <v>398</v>
      </c>
      <c r="P72" s="16"/>
      <c r="Q72" s="16" t="s">
        <v>264</v>
      </c>
      <c r="R72" s="16" t="s">
        <v>264</v>
      </c>
      <c r="S72" s="16" t="s">
        <v>264</v>
      </c>
      <c r="T72" s="16" t="s">
        <v>70</v>
      </c>
      <c r="U72" s="16"/>
      <c r="V72" s="17">
        <v>1</v>
      </c>
      <c r="W72" s="16"/>
      <c r="X72" s="16"/>
      <c r="Y72" s="16" t="s">
        <v>71</v>
      </c>
      <c r="Z72" s="18"/>
      <c r="AA72" s="19">
        <v>3</v>
      </c>
      <c r="AB72" s="20"/>
      <c r="AC72" s="19">
        <f>+AA72+1</f>
        <v>4</v>
      </c>
      <c r="AD72" s="20"/>
      <c r="AE72" s="19">
        <f>+AA72*2</f>
        <v>6</v>
      </c>
      <c r="AF72" s="16"/>
      <c r="AG72" s="16"/>
      <c r="AH72" s="16"/>
      <c r="AI72" s="16"/>
      <c r="AJ72" s="17">
        <f>153.59+25.06/2</f>
        <v>166.12</v>
      </c>
      <c r="AK72" s="21"/>
      <c r="AL72" s="22">
        <v>1000</v>
      </c>
      <c r="AM72" s="22">
        <f>+(153.59+25.06)/AL72</f>
        <v>0.17865</v>
      </c>
      <c r="AN72" s="22">
        <f>+AJ72/AL72</f>
        <v>0.16612000000000002</v>
      </c>
      <c r="AO72" s="22">
        <f>+(4+15+12+8)/(2+5+3+2)</f>
        <v>3.25</v>
      </c>
      <c r="AP72" s="22">
        <f>+(6*48337+38639*9+6*28998+5*19335)/26*AJ72</f>
        <v>5804207.2430769233</v>
      </c>
      <c r="AQ72" s="23">
        <v>23765.68</v>
      </c>
      <c r="AR72" s="22" t="s">
        <v>57</v>
      </c>
      <c r="AS72" s="23" t="s">
        <v>399</v>
      </c>
      <c r="AT72" s="44">
        <v>45062</v>
      </c>
      <c r="AU72" s="24"/>
      <c r="AV72" s="23" t="s">
        <v>400</v>
      </c>
      <c r="AW72" s="13"/>
      <c r="AX72" s="13"/>
      <c r="AY72" s="13"/>
      <c r="AZ72" s="13"/>
      <c r="BA72" s="13"/>
      <c r="BB72" s="13"/>
      <c r="BC72" s="13"/>
      <c r="BD72" s="13"/>
      <c r="BE72" s="13"/>
      <c r="BF72" s="13"/>
      <c r="BG72" s="13"/>
      <c r="BH72" s="14"/>
      <c r="BI72" s="14"/>
      <c r="BJ72" s="14"/>
      <c r="BK72" s="14"/>
      <c r="BL72" s="14"/>
      <c r="BM72" s="14"/>
      <c r="BN72" s="14"/>
      <c r="BO72" s="14"/>
      <c r="BP72" s="14"/>
      <c r="BQ72" s="14"/>
      <c r="BR72" s="14"/>
      <c r="BS72" s="14"/>
      <c r="BT72" s="14"/>
      <c r="BU72" s="14"/>
      <c r="BV72" s="14"/>
      <c r="BW72" s="14"/>
      <c r="IQ72" s="14"/>
      <c r="IR72" s="14"/>
      <c r="IS72" s="14"/>
      <c r="IT72" s="14"/>
      <c r="IU72" s="14"/>
      <c r="IV72" s="14"/>
      <c r="IW72" s="14"/>
    </row>
    <row r="73" spans="2:257" s="25" customFormat="1" ht="89.25">
      <c r="B73" s="73">
        <v>69</v>
      </c>
      <c r="C73" s="74" t="s">
        <v>401</v>
      </c>
      <c r="D73" s="47">
        <v>44974</v>
      </c>
      <c r="E73" s="48" t="s">
        <v>402</v>
      </c>
      <c r="F73" s="30">
        <v>48306</v>
      </c>
      <c r="G73" s="30"/>
      <c r="H73" s="30">
        <v>21073</v>
      </c>
      <c r="I73" s="31"/>
      <c r="J73" s="31"/>
      <c r="K73" s="31">
        <v>654</v>
      </c>
      <c r="L73" s="31">
        <v>2</v>
      </c>
      <c r="M73" s="31" t="s">
        <v>88</v>
      </c>
      <c r="N73" s="31" t="s">
        <v>403</v>
      </c>
      <c r="O73" s="31" t="s">
        <v>404</v>
      </c>
      <c r="P73" s="31"/>
      <c r="Q73" s="31" t="s">
        <v>136</v>
      </c>
      <c r="R73" s="31" t="s">
        <v>136</v>
      </c>
      <c r="S73" s="31" t="s">
        <v>136</v>
      </c>
      <c r="T73" s="31" t="s">
        <v>70</v>
      </c>
      <c r="U73" s="31">
        <v>7</v>
      </c>
      <c r="V73" s="31">
        <v>2</v>
      </c>
      <c r="W73" s="31"/>
      <c r="X73" s="31"/>
      <c r="Y73" s="31" t="s">
        <v>44</v>
      </c>
      <c r="Z73" s="32">
        <f>2+2+2+2+2+2+1</f>
        <v>13</v>
      </c>
      <c r="AA73" s="32">
        <f>1+1</f>
        <v>2</v>
      </c>
      <c r="AB73" s="32">
        <f>+Z73</f>
        <v>13</v>
      </c>
      <c r="AC73" s="32">
        <f>+AA73</f>
        <v>2</v>
      </c>
      <c r="AD73" s="32">
        <f>+Z73*2</f>
        <v>26</v>
      </c>
      <c r="AE73" s="32">
        <f>+AA73*2</f>
        <v>4</v>
      </c>
      <c r="AF73" s="31"/>
      <c r="AG73" s="31"/>
      <c r="AH73" s="31">
        <f>75.74+113.68+87.45+67.32/2+28.75/2+29.83/2</f>
        <v>339.82</v>
      </c>
      <c r="AI73" s="31"/>
      <c r="AJ73" s="31">
        <f>25.77+25.77+3.92/2+3.92/2</f>
        <v>55.46</v>
      </c>
      <c r="AK73" s="33"/>
      <c r="AL73" s="33">
        <v>300</v>
      </c>
      <c r="AM73" s="33">
        <f>+(75.74+67.32+25.77+3.92)/AL73</f>
        <v>0.57583333333333331</v>
      </c>
      <c r="AN73" s="33">
        <f>+(AH73+AJ73)/AL73</f>
        <v>1.3175999999999999</v>
      </c>
      <c r="AO73" s="33"/>
      <c r="AP73" s="34">
        <f>+((2*48337+38639*1+28998*12+7*19335)/22*AJ73)+((2*48337+38639*1+28998*12+7*19335)/22*AH73)</f>
        <v>11115165.796363635</v>
      </c>
      <c r="AQ73" s="34">
        <v>144569.03</v>
      </c>
      <c r="AR73" s="33" t="s">
        <v>77</v>
      </c>
      <c r="AS73" s="34" t="s">
        <v>405</v>
      </c>
      <c r="AT73" s="35">
        <v>45064</v>
      </c>
      <c r="AU73" s="36"/>
      <c r="AV73" s="37" t="s">
        <v>406</v>
      </c>
      <c r="AW73" s="38"/>
      <c r="AX73" s="38"/>
      <c r="AY73" s="38"/>
      <c r="AZ73" s="38"/>
      <c r="BA73" s="38"/>
      <c r="BB73" s="38"/>
      <c r="BC73" s="38"/>
      <c r="BD73" s="38"/>
      <c r="BE73" s="38"/>
      <c r="BF73" s="38"/>
      <c r="BG73" s="38"/>
      <c r="BH73" s="39"/>
      <c r="BI73" s="39"/>
      <c r="BJ73" s="39"/>
      <c r="BK73" s="39"/>
      <c r="BL73" s="39"/>
      <c r="BM73" s="39"/>
      <c r="BN73" s="39"/>
      <c r="BO73" s="39"/>
      <c r="BP73" s="39"/>
      <c r="BQ73" s="39"/>
      <c r="BR73" s="39"/>
      <c r="BS73" s="39"/>
      <c r="BT73" s="39"/>
      <c r="BU73" s="39"/>
      <c r="BV73" s="39"/>
      <c r="BW73" s="39"/>
      <c r="IQ73" s="39"/>
      <c r="IR73" s="39"/>
      <c r="IS73" s="39"/>
      <c r="IT73" s="39"/>
      <c r="IU73" s="39"/>
      <c r="IV73" s="39"/>
      <c r="IW73" s="39"/>
    </row>
    <row r="74" spans="2:257" s="25" customFormat="1" ht="38.25">
      <c r="B74" s="73">
        <v>70</v>
      </c>
      <c r="C74" s="54" t="s">
        <v>407</v>
      </c>
      <c r="D74" s="61">
        <v>44973</v>
      </c>
      <c r="E74" s="75" t="s">
        <v>39</v>
      </c>
      <c r="F74" s="76">
        <v>57510</v>
      </c>
      <c r="G74" s="77">
        <v>50249</v>
      </c>
      <c r="H74" s="77">
        <v>3018</v>
      </c>
      <c r="I74" s="31"/>
      <c r="J74" s="31"/>
      <c r="K74" s="78">
        <v>652</v>
      </c>
      <c r="L74" s="31">
        <v>9</v>
      </c>
      <c r="M74" s="78" t="s">
        <v>88</v>
      </c>
      <c r="N74" s="31" t="s">
        <v>408</v>
      </c>
      <c r="O74" s="79" t="s">
        <v>409</v>
      </c>
      <c r="P74" s="31"/>
      <c r="Q74" s="79" t="s">
        <v>43</v>
      </c>
      <c r="R74" s="79" t="s">
        <v>43</v>
      </c>
      <c r="S74" s="79" t="s">
        <v>43</v>
      </c>
      <c r="T74" s="31" t="s">
        <v>410</v>
      </c>
      <c r="U74" s="31">
        <v>6</v>
      </c>
      <c r="V74" s="31"/>
      <c r="W74" s="31"/>
      <c r="X74" s="31"/>
      <c r="Y74" s="31" t="s">
        <v>44</v>
      </c>
      <c r="Z74" s="32">
        <f>1*U74</f>
        <v>6</v>
      </c>
      <c r="AA74" s="32"/>
      <c r="AB74" s="32">
        <f>+Z74+Z74</f>
        <v>12</v>
      </c>
      <c r="AC74" s="32"/>
      <c r="AD74" s="32">
        <f>+Z74*2</f>
        <v>12</v>
      </c>
      <c r="AE74" s="32"/>
      <c r="AF74" s="31">
        <f>93.55+197.38+115.27/2</f>
        <v>348.565</v>
      </c>
      <c r="AG74" s="31"/>
      <c r="AH74" s="31">
        <f>(93.55+197.38+138.15/2)-AF74</f>
        <v>11.439999999999998</v>
      </c>
      <c r="AI74" s="31"/>
      <c r="AJ74" s="31"/>
      <c r="AK74" s="33"/>
      <c r="AL74" s="33">
        <v>306.47000000000003</v>
      </c>
      <c r="AM74" s="33">
        <f>+(93.55+138.15)/AL74</f>
        <v>0.75602832251117558</v>
      </c>
      <c r="AN74" s="33">
        <f>+(AF74+AH74)/AL74</f>
        <v>1.1746826769341208</v>
      </c>
      <c r="AO74" s="33"/>
      <c r="AP74" s="33">
        <f>+(48337+9*38639+28998*6+7*19335)/23*AH74</f>
        <v>350870.27130434773</v>
      </c>
      <c r="AQ74" s="34">
        <v>11277.73</v>
      </c>
      <c r="AR74" s="33" t="s">
        <v>57</v>
      </c>
      <c r="AS74" s="34" t="s">
        <v>411</v>
      </c>
      <c r="AT74" s="35">
        <v>45064</v>
      </c>
      <c r="AU74" s="36"/>
      <c r="AV74" s="37">
        <v>45062</v>
      </c>
      <c r="AW74" s="38"/>
      <c r="AX74" s="38"/>
      <c r="AY74" s="38"/>
      <c r="AZ74" s="38"/>
      <c r="BA74" s="38"/>
      <c r="BB74" s="38"/>
      <c r="BC74" s="38"/>
      <c r="BD74" s="38"/>
      <c r="BE74" s="38"/>
      <c r="BF74" s="38"/>
      <c r="BG74" s="38"/>
      <c r="BH74" s="39"/>
      <c r="BI74" s="39"/>
      <c r="BJ74" s="39"/>
      <c r="BK74" s="39"/>
      <c r="BL74" s="39"/>
      <c r="BM74" s="39"/>
      <c r="BN74" s="39"/>
      <c r="BO74" s="39"/>
      <c r="BP74" s="39"/>
      <c r="BQ74" s="39"/>
      <c r="BR74" s="39"/>
      <c r="BS74" s="39"/>
      <c r="BT74" s="39"/>
      <c r="BU74" s="39"/>
      <c r="BV74" s="39"/>
      <c r="BW74" s="39"/>
      <c r="IQ74" s="39"/>
      <c r="IR74" s="39"/>
      <c r="IS74" s="39"/>
      <c r="IT74" s="39"/>
      <c r="IU74" s="39"/>
      <c r="IV74" s="39"/>
      <c r="IW74" s="39"/>
    </row>
    <row r="75" spans="2:257" s="2" customFormat="1" ht="38.25">
      <c r="B75" s="49">
        <v>71</v>
      </c>
      <c r="C75" s="58" t="s">
        <v>412</v>
      </c>
      <c r="D75" s="42">
        <v>44809</v>
      </c>
      <c r="E75" s="43" t="s">
        <v>65</v>
      </c>
      <c r="F75" s="15">
        <v>24714</v>
      </c>
      <c r="G75" s="15">
        <v>382</v>
      </c>
      <c r="H75" s="15">
        <v>549</v>
      </c>
      <c r="I75" s="16"/>
      <c r="J75" s="16"/>
      <c r="K75" s="16">
        <v>36</v>
      </c>
      <c r="L75" s="16">
        <v>10</v>
      </c>
      <c r="M75" s="16" t="s">
        <v>96</v>
      </c>
      <c r="N75" s="16" t="s">
        <v>413</v>
      </c>
      <c r="O75" s="72" t="s">
        <v>414</v>
      </c>
      <c r="P75" s="16"/>
      <c r="Q75" s="16" t="s">
        <v>415</v>
      </c>
      <c r="R75" s="16" t="s">
        <v>415</v>
      </c>
      <c r="S75" s="16" t="s">
        <v>415</v>
      </c>
      <c r="T75" s="16" t="s">
        <v>70</v>
      </c>
      <c r="U75" s="16"/>
      <c r="V75" s="17">
        <v>1</v>
      </c>
      <c r="W75" s="16"/>
      <c r="X75" s="16"/>
      <c r="Y75" s="16" t="s">
        <v>62</v>
      </c>
      <c r="Z75" s="18"/>
      <c r="AA75" s="19"/>
      <c r="AB75" s="20"/>
      <c r="AC75" s="19"/>
      <c r="AD75" s="20"/>
      <c r="AE75" s="19"/>
      <c r="AF75" s="16"/>
      <c r="AG75" s="16"/>
      <c r="AH75" s="16"/>
      <c r="AI75" s="16"/>
      <c r="AJ75" s="17"/>
      <c r="AK75" s="21">
        <v>260.33</v>
      </c>
      <c r="AL75" s="22">
        <v>350.92</v>
      </c>
      <c r="AM75" s="22">
        <f>+(302.25/AL75)</f>
        <v>0.86130742049469966</v>
      </c>
      <c r="AN75" s="22">
        <f>+AK75/AL75</f>
        <v>0.7418499943006952</v>
      </c>
      <c r="AO75" s="22"/>
      <c r="AP75" s="23">
        <f>+AK75*38639</f>
        <v>10058890.869999999</v>
      </c>
      <c r="AQ75" s="23">
        <v>40947.760000000002</v>
      </c>
      <c r="AR75" s="22" t="s">
        <v>57</v>
      </c>
      <c r="AS75" s="23" t="s">
        <v>416</v>
      </c>
      <c r="AT75" s="44">
        <v>45064</v>
      </c>
      <c r="AU75" s="24"/>
      <c r="AV75" s="45" t="s">
        <v>417</v>
      </c>
      <c r="AW75" s="13"/>
      <c r="AX75" s="13"/>
      <c r="AY75" s="13"/>
      <c r="AZ75" s="13"/>
      <c r="BA75" s="13"/>
      <c r="BB75" s="13"/>
      <c r="BC75" s="13"/>
      <c r="BD75" s="13"/>
      <c r="BE75" s="13"/>
      <c r="BF75" s="13"/>
      <c r="BG75" s="13"/>
      <c r="BH75" s="14"/>
      <c r="BI75" s="14"/>
      <c r="BJ75" s="14"/>
      <c r="BK75" s="14"/>
      <c r="BL75" s="14"/>
      <c r="BM75" s="14"/>
      <c r="BN75" s="14"/>
      <c r="BO75" s="14"/>
      <c r="BP75" s="14"/>
      <c r="BQ75" s="14"/>
      <c r="BR75" s="14"/>
      <c r="BS75" s="14"/>
      <c r="BT75" s="14"/>
      <c r="BU75" s="14"/>
      <c r="BV75" s="14"/>
      <c r="BW75" s="14"/>
      <c r="IQ75" s="14"/>
      <c r="IR75" s="14"/>
      <c r="IS75" s="14"/>
      <c r="IT75" s="14"/>
      <c r="IU75" s="14"/>
      <c r="IV75" s="14"/>
      <c r="IW75" s="14"/>
    </row>
    <row r="76" spans="2:257" s="2" customFormat="1" ht="25.5">
      <c r="B76" s="49">
        <v>72</v>
      </c>
      <c r="C76" s="41" t="s">
        <v>418</v>
      </c>
      <c r="D76" s="42">
        <v>45026</v>
      </c>
      <c r="E76" s="43" t="s">
        <v>117</v>
      </c>
      <c r="F76" s="15">
        <v>17455</v>
      </c>
      <c r="G76" s="15">
        <v>1006</v>
      </c>
      <c r="H76" s="15">
        <v>914</v>
      </c>
      <c r="I76" s="16"/>
      <c r="J76" s="16"/>
      <c r="K76" s="16">
        <v>145</v>
      </c>
      <c r="L76" s="16">
        <v>4</v>
      </c>
      <c r="M76" s="16" t="s">
        <v>268</v>
      </c>
      <c r="N76" s="16" t="s">
        <v>419</v>
      </c>
      <c r="O76" s="72" t="s">
        <v>420</v>
      </c>
      <c r="P76" s="16"/>
      <c r="Q76" s="16" t="s">
        <v>421</v>
      </c>
      <c r="R76" s="16" t="s">
        <v>421</v>
      </c>
      <c r="S76" s="16" t="s">
        <v>421</v>
      </c>
      <c r="T76" s="16" t="s">
        <v>422</v>
      </c>
      <c r="U76" s="16"/>
      <c r="V76" s="17"/>
      <c r="W76" s="16">
        <v>1</v>
      </c>
      <c r="X76" s="16"/>
      <c r="Y76" s="16" t="s">
        <v>62</v>
      </c>
      <c r="Z76" s="18"/>
      <c r="AA76" s="19"/>
      <c r="AB76" s="20"/>
      <c r="AC76" s="19"/>
      <c r="AD76" s="20"/>
      <c r="AE76" s="19"/>
      <c r="AF76" s="16"/>
      <c r="AG76" s="16"/>
      <c r="AH76" s="16"/>
      <c r="AI76" s="16">
        <v>204.68</v>
      </c>
      <c r="AJ76" s="17"/>
      <c r="AK76" s="21">
        <f>115.58+2.13</f>
        <v>117.71</v>
      </c>
      <c r="AL76" s="22">
        <v>329.39</v>
      </c>
      <c r="AM76" s="22">
        <f>+(AI76+115.58+2.13)/AL76</f>
        <v>0.97874859588937124</v>
      </c>
      <c r="AN76" s="22">
        <f>+(AI76+AK76)/AL76</f>
        <v>0.97874859588937124</v>
      </c>
      <c r="AO76" s="22"/>
      <c r="AP76" s="22">
        <v>3906600</v>
      </c>
      <c r="AQ76" s="23">
        <v>16185.78</v>
      </c>
      <c r="AR76" s="22" t="s">
        <v>57</v>
      </c>
      <c r="AS76" s="23" t="s">
        <v>423</v>
      </c>
      <c r="AT76" s="44">
        <v>45068</v>
      </c>
      <c r="AU76" s="24"/>
      <c r="AV76" s="23" t="s">
        <v>424</v>
      </c>
      <c r="AW76" s="13"/>
      <c r="AX76" s="13"/>
      <c r="AY76" s="13"/>
      <c r="AZ76" s="13"/>
      <c r="BA76" s="13"/>
      <c r="BB76" s="13"/>
      <c r="BC76" s="13"/>
      <c r="BD76" s="13"/>
      <c r="BE76" s="13"/>
      <c r="BF76" s="13"/>
      <c r="BG76" s="13"/>
      <c r="BH76" s="14"/>
      <c r="BI76" s="14"/>
      <c r="BJ76" s="14"/>
      <c r="BK76" s="14"/>
      <c r="BL76" s="14"/>
      <c r="BM76" s="14"/>
      <c r="BN76" s="14"/>
      <c r="BO76" s="14"/>
      <c r="BP76" s="14"/>
      <c r="BQ76" s="14"/>
      <c r="BR76" s="14"/>
      <c r="BS76" s="14"/>
      <c r="BT76" s="14"/>
      <c r="BU76" s="14"/>
      <c r="BV76" s="14"/>
      <c r="BW76" s="14"/>
      <c r="IQ76" s="14"/>
      <c r="IR76" s="14"/>
      <c r="IS76" s="14"/>
      <c r="IT76" s="14"/>
      <c r="IU76" s="14"/>
      <c r="IV76" s="14"/>
      <c r="IW76" s="14"/>
    </row>
    <row r="77" spans="2:257" s="2" customFormat="1" ht="25.5">
      <c r="B77" s="49">
        <v>73</v>
      </c>
      <c r="C77" s="41" t="s">
        <v>425</v>
      </c>
      <c r="D77" s="42">
        <v>45041</v>
      </c>
      <c r="E77" s="43" t="s">
        <v>46</v>
      </c>
      <c r="F77" s="15">
        <v>46688</v>
      </c>
      <c r="G77" s="15">
        <v>149116</v>
      </c>
      <c r="H77" s="15">
        <v>32284</v>
      </c>
      <c r="I77" s="16">
        <v>367</v>
      </c>
      <c r="J77" s="16"/>
      <c r="K77" s="16">
        <v>2</v>
      </c>
      <c r="L77" s="16">
        <v>4</v>
      </c>
      <c r="M77" s="16" t="s">
        <v>88</v>
      </c>
      <c r="N77" s="16" t="s">
        <v>426</v>
      </c>
      <c r="O77" s="72" t="s">
        <v>427</v>
      </c>
      <c r="P77" s="16"/>
      <c r="Q77" s="16" t="s">
        <v>428</v>
      </c>
      <c r="R77" s="16"/>
      <c r="S77" s="16"/>
      <c r="T77" s="16"/>
      <c r="U77" s="16">
        <v>1</v>
      </c>
      <c r="V77" s="17"/>
      <c r="W77" s="16"/>
      <c r="X77" s="16"/>
      <c r="Y77" s="16" t="s">
        <v>71</v>
      </c>
      <c r="Z77" s="18">
        <v>3</v>
      </c>
      <c r="AA77" s="19"/>
      <c r="AB77" s="20">
        <f>+Z77+1</f>
        <v>4</v>
      </c>
      <c r="AC77" s="19"/>
      <c r="AD77" s="20">
        <f>+Z77*2</f>
        <v>6</v>
      </c>
      <c r="AE77" s="19"/>
      <c r="AF77" s="16">
        <v>61.6</v>
      </c>
      <c r="AG77" s="16"/>
      <c r="AH77" s="16">
        <f>48.35+60.21/2</f>
        <v>78.454999999999998</v>
      </c>
      <c r="AI77" s="16"/>
      <c r="AJ77" s="17"/>
      <c r="AK77" s="21"/>
      <c r="AL77" s="22">
        <v>1166</v>
      </c>
      <c r="AM77" s="22">
        <f>+(AF77+48.35+60.21)/AL77</f>
        <v>0.14593481989708404</v>
      </c>
      <c r="AN77" s="22">
        <f>+(AF77+AH77)/AL77</f>
        <v>0.12011578044596913</v>
      </c>
      <c r="AO77" s="22"/>
      <c r="AP77" s="22">
        <f>+(7*38639+28998*5+8*19335)/20*AH77</f>
        <v>2236528.4532500003</v>
      </c>
      <c r="AQ77" s="23">
        <v>34913.25</v>
      </c>
      <c r="AR77" s="22" t="s">
        <v>57</v>
      </c>
      <c r="AS77" s="23" t="s">
        <v>429</v>
      </c>
      <c r="AT77" s="44">
        <v>45069</v>
      </c>
      <c r="AU77" s="24"/>
      <c r="AV77" s="45">
        <v>45069</v>
      </c>
      <c r="AW77" s="13"/>
      <c r="AX77" s="13"/>
      <c r="AY77" s="13"/>
      <c r="AZ77" s="13"/>
      <c r="BA77" s="13"/>
      <c r="BB77" s="13"/>
      <c r="BC77" s="13"/>
      <c r="BD77" s="13"/>
      <c r="BE77" s="13"/>
      <c r="BF77" s="13"/>
      <c r="BG77" s="13"/>
      <c r="BH77" s="14"/>
      <c r="BI77" s="14"/>
      <c r="BJ77" s="14"/>
      <c r="BK77" s="14"/>
      <c r="BL77" s="14"/>
      <c r="BM77" s="14"/>
      <c r="BN77" s="14"/>
      <c r="BO77" s="14"/>
      <c r="BP77" s="14"/>
      <c r="BQ77" s="14"/>
      <c r="BR77" s="14"/>
      <c r="BS77" s="14"/>
      <c r="BT77" s="14"/>
      <c r="BU77" s="14"/>
      <c r="BV77" s="14"/>
      <c r="BW77" s="14"/>
      <c r="IQ77" s="14"/>
      <c r="IR77" s="14"/>
      <c r="IS77" s="14"/>
      <c r="IT77" s="14"/>
      <c r="IU77" s="14"/>
      <c r="IV77" s="14"/>
      <c r="IW77" s="14"/>
    </row>
    <row r="78" spans="2:257" s="2" customFormat="1" ht="63.75">
      <c r="B78" s="49">
        <v>74</v>
      </c>
      <c r="C78" s="41" t="s">
        <v>430</v>
      </c>
      <c r="D78" s="42">
        <v>45048</v>
      </c>
      <c r="E78" s="43" t="s">
        <v>65</v>
      </c>
      <c r="F78" s="15">
        <v>48527</v>
      </c>
      <c r="G78" s="15">
        <v>158970</v>
      </c>
      <c r="H78" s="15">
        <v>32504</v>
      </c>
      <c r="I78" s="16">
        <v>343</v>
      </c>
      <c r="J78" s="16"/>
      <c r="K78" s="16"/>
      <c r="L78" s="16">
        <v>15</v>
      </c>
      <c r="M78" s="16" t="s">
        <v>431</v>
      </c>
      <c r="N78" s="16" t="s">
        <v>432</v>
      </c>
      <c r="O78" s="72" t="s">
        <v>433</v>
      </c>
      <c r="P78" s="16"/>
      <c r="Q78" s="16" t="s">
        <v>171</v>
      </c>
      <c r="R78" s="16" t="s">
        <v>171</v>
      </c>
      <c r="S78" s="16" t="s">
        <v>171</v>
      </c>
      <c r="T78" s="16" t="s">
        <v>70</v>
      </c>
      <c r="U78" s="16"/>
      <c r="V78" s="17">
        <v>3</v>
      </c>
      <c r="W78" s="16"/>
      <c r="X78" s="16"/>
      <c r="Y78" s="16" t="s">
        <v>44</v>
      </c>
      <c r="Z78" s="18"/>
      <c r="AA78" s="19">
        <f>2*3</f>
        <v>6</v>
      </c>
      <c r="AB78" s="20"/>
      <c r="AC78" s="19">
        <f>3*1</f>
        <v>3</v>
      </c>
      <c r="AD78" s="20"/>
      <c r="AE78" s="19">
        <f>+AA78*2</f>
        <v>12</v>
      </c>
      <c r="AF78" s="16"/>
      <c r="AG78" s="16"/>
      <c r="AH78" s="16"/>
      <c r="AI78" s="16"/>
      <c r="AJ78" s="17">
        <f>47.28*3+3.35*3/2+14.34</f>
        <v>161.20500000000001</v>
      </c>
      <c r="AK78" s="21"/>
      <c r="AL78" s="22">
        <v>1614.16</v>
      </c>
      <c r="AM78" s="22">
        <f>+(47.28*3+3.35*3+14.34)/AL78</f>
        <v>0.10298235614808941</v>
      </c>
      <c r="AN78" s="22">
        <f>+AJ78/AL78</f>
        <v>9.986928185557814E-2</v>
      </c>
      <c r="AO78" s="22"/>
      <c r="AP78" s="22">
        <f>+(4*38639+11*28998+19335*5)/20*AJ78</f>
        <v>4596027.0922500007</v>
      </c>
      <c r="AQ78" s="23">
        <v>56335.47</v>
      </c>
      <c r="AR78" s="22" t="s">
        <v>57</v>
      </c>
      <c r="AS78" s="23" t="s">
        <v>434</v>
      </c>
      <c r="AT78" s="44">
        <v>45083</v>
      </c>
      <c r="AU78" s="24"/>
      <c r="AV78" s="45">
        <v>45072</v>
      </c>
      <c r="AW78" s="13"/>
      <c r="AX78" s="13"/>
      <c r="AY78" s="13"/>
      <c r="AZ78" s="13"/>
      <c r="BA78" s="13"/>
      <c r="BB78" s="13"/>
      <c r="BC78" s="13"/>
      <c r="BD78" s="13"/>
      <c r="BE78" s="13"/>
      <c r="BF78" s="13"/>
      <c r="BG78" s="13"/>
      <c r="BH78" s="14"/>
      <c r="BI78" s="14"/>
      <c r="BJ78" s="14"/>
      <c r="BK78" s="14"/>
      <c r="BL78" s="14"/>
      <c r="BM78" s="14"/>
      <c r="BN78" s="14"/>
      <c r="BO78" s="14"/>
      <c r="BP78" s="14"/>
      <c r="BQ78" s="14"/>
      <c r="BR78" s="14"/>
      <c r="BS78" s="14"/>
      <c r="BT78" s="14"/>
      <c r="BU78" s="14"/>
      <c r="BV78" s="14"/>
      <c r="BW78" s="14"/>
      <c r="IQ78" s="14"/>
      <c r="IR78" s="14"/>
      <c r="IS78" s="14"/>
      <c r="IT78" s="14"/>
      <c r="IU78" s="14"/>
      <c r="IV78" s="14"/>
      <c r="IW78" s="14"/>
    </row>
    <row r="79" spans="2:257" s="2" customFormat="1" ht="51">
      <c r="B79" s="49">
        <v>76</v>
      </c>
      <c r="C79" s="41" t="s">
        <v>435</v>
      </c>
      <c r="D79" s="42">
        <v>45055</v>
      </c>
      <c r="E79" s="43" t="s">
        <v>46</v>
      </c>
      <c r="F79" s="15">
        <v>59779</v>
      </c>
      <c r="G79" s="15">
        <v>167995</v>
      </c>
      <c r="H79" s="15">
        <v>33849</v>
      </c>
      <c r="I79" s="16">
        <v>327</v>
      </c>
      <c r="J79" s="16"/>
      <c r="K79" s="16">
        <v>8</v>
      </c>
      <c r="L79" s="16">
        <v>7</v>
      </c>
      <c r="M79" s="16" t="s">
        <v>431</v>
      </c>
      <c r="N79" s="16" t="s">
        <v>436</v>
      </c>
      <c r="O79" s="72" t="s">
        <v>437</v>
      </c>
      <c r="P79" s="16"/>
      <c r="Q79" s="16" t="s">
        <v>428</v>
      </c>
      <c r="R79" s="16"/>
      <c r="S79" s="16"/>
      <c r="T79" s="16"/>
      <c r="U79" s="16">
        <v>1</v>
      </c>
      <c r="V79" s="17"/>
      <c r="W79" s="16"/>
      <c r="X79" s="16"/>
      <c r="Y79" s="16" t="s">
        <v>71</v>
      </c>
      <c r="Z79" s="18">
        <v>2</v>
      </c>
      <c r="AA79" s="19"/>
      <c r="AB79" s="20">
        <f>+Z79+1</f>
        <v>3</v>
      </c>
      <c r="AC79" s="19"/>
      <c r="AD79" s="20">
        <f>+AB79*2</f>
        <v>6</v>
      </c>
      <c r="AE79" s="19"/>
      <c r="AF79" s="16"/>
      <c r="AG79" s="16"/>
      <c r="AH79" s="16">
        <f>83.8+34.7/2</f>
        <v>101.15</v>
      </c>
      <c r="AI79" s="16"/>
      <c r="AJ79" s="17"/>
      <c r="AK79" s="21"/>
      <c r="AL79" s="22">
        <v>327</v>
      </c>
      <c r="AM79" s="22">
        <f>+(83.8+34.7)/AL79</f>
        <v>0.36238532110091742</v>
      </c>
      <c r="AN79" s="22">
        <f>+AH79/AL79</f>
        <v>0.3093272171253823</v>
      </c>
      <c r="AO79" s="22"/>
      <c r="AP79" s="22">
        <v>4500000</v>
      </c>
      <c r="AQ79" s="23">
        <v>67751</v>
      </c>
      <c r="AR79" s="22" t="s">
        <v>57</v>
      </c>
      <c r="AS79" s="23" t="s">
        <v>438</v>
      </c>
      <c r="AT79" s="44">
        <v>45084</v>
      </c>
      <c r="AU79" s="24"/>
      <c r="AV79" s="45">
        <v>45078</v>
      </c>
      <c r="AW79" s="13"/>
      <c r="AX79" s="13"/>
      <c r="AY79" s="13"/>
      <c r="AZ79" s="13"/>
      <c r="BA79" s="13"/>
      <c r="BB79" s="13"/>
      <c r="BC79" s="13"/>
      <c r="BD79" s="13"/>
      <c r="BE79" s="13"/>
      <c r="BF79" s="13"/>
      <c r="BG79" s="13"/>
      <c r="BH79" s="14"/>
      <c r="BI79" s="14"/>
      <c r="BJ79" s="14"/>
      <c r="BK79" s="14"/>
      <c r="BL79" s="14"/>
      <c r="BM79" s="14"/>
      <c r="BN79" s="14"/>
      <c r="BO79" s="14"/>
      <c r="BP79" s="14"/>
      <c r="BQ79" s="14"/>
      <c r="BR79" s="14"/>
      <c r="BS79" s="14"/>
      <c r="BT79" s="14"/>
      <c r="BU79" s="14"/>
      <c r="BV79" s="14"/>
      <c r="BW79" s="14"/>
      <c r="IQ79" s="14"/>
      <c r="IR79" s="14"/>
      <c r="IS79" s="14"/>
      <c r="IT79" s="14"/>
      <c r="IU79" s="14"/>
      <c r="IV79" s="14"/>
      <c r="IW79" s="14"/>
    </row>
    <row r="80" spans="2:257" s="2" customFormat="1" ht="38.25">
      <c r="B80" s="49">
        <v>75</v>
      </c>
      <c r="C80" s="41" t="s">
        <v>439</v>
      </c>
      <c r="D80" s="42">
        <v>44964</v>
      </c>
      <c r="E80" s="43" t="s">
        <v>46</v>
      </c>
      <c r="F80" s="15"/>
      <c r="G80" s="15"/>
      <c r="H80" s="15">
        <v>32469</v>
      </c>
      <c r="I80" s="16"/>
      <c r="J80" s="16"/>
      <c r="K80" s="16">
        <v>8</v>
      </c>
      <c r="L80" s="16">
        <v>8</v>
      </c>
      <c r="M80" s="16" t="s">
        <v>88</v>
      </c>
      <c r="N80" s="16" t="s">
        <v>440</v>
      </c>
      <c r="O80" s="72" t="s">
        <v>441</v>
      </c>
      <c r="P80" s="16"/>
      <c r="Q80" s="16" t="s">
        <v>442</v>
      </c>
      <c r="R80" s="16"/>
      <c r="S80" s="16"/>
      <c r="T80" s="16"/>
      <c r="U80" s="16">
        <v>1</v>
      </c>
      <c r="V80" s="17"/>
      <c r="W80" s="16"/>
      <c r="X80" s="16"/>
      <c r="Y80" s="16" t="s">
        <v>71</v>
      </c>
      <c r="Z80" s="18"/>
      <c r="AA80" s="19"/>
      <c r="AB80" s="20"/>
      <c r="AC80" s="19"/>
      <c r="AD80" s="20"/>
      <c r="AE80" s="19"/>
      <c r="AF80" s="16">
        <f>142.62+12.88/2+49.7+10.9/2</f>
        <v>204.20999999999998</v>
      </c>
      <c r="AG80" s="16"/>
      <c r="AH80" s="16">
        <f>(145.26+50.81/2+49.7+12.86/2)-AF80</f>
        <v>22.585000000000036</v>
      </c>
      <c r="AI80" s="16"/>
      <c r="AJ80" s="17"/>
      <c r="AK80" s="21">
        <v>160.9</v>
      </c>
      <c r="AL80" s="22">
        <v>1680.25</v>
      </c>
      <c r="AM80" s="22">
        <f>+(145.26+50.81)/AL80</f>
        <v>0.11669096860586221</v>
      </c>
      <c r="AN80" s="22">
        <f>+(AF80+AH80)/AL80</f>
        <v>0.13497693795566137</v>
      </c>
      <c r="AO80" s="22"/>
      <c r="AP80" s="22">
        <f>1000000+((6*48337+12*38639+2*28998+5*19333)/25*AH80)</f>
        <v>1820604.2934000012</v>
      </c>
      <c r="AQ80" s="23">
        <v>63578.77</v>
      </c>
      <c r="AR80" s="22" t="s">
        <v>57</v>
      </c>
      <c r="AS80" s="23" t="s">
        <v>443</v>
      </c>
      <c r="AT80" s="44">
        <v>45084</v>
      </c>
      <c r="AU80" s="24"/>
      <c r="AV80" s="45">
        <v>45108</v>
      </c>
      <c r="AW80" s="13"/>
      <c r="AX80" s="13"/>
      <c r="AY80" s="13"/>
      <c r="AZ80" s="13"/>
      <c r="BA80" s="13"/>
      <c r="BB80" s="13"/>
      <c r="BC80" s="13"/>
      <c r="BD80" s="13"/>
      <c r="BE80" s="13"/>
      <c r="BF80" s="13"/>
      <c r="BG80" s="13"/>
      <c r="BH80" s="14"/>
      <c r="BI80" s="14"/>
      <c r="BJ80" s="14"/>
      <c r="BK80" s="14"/>
      <c r="BL80" s="14"/>
      <c r="BM80" s="14"/>
      <c r="BN80" s="14"/>
      <c r="BO80" s="14"/>
      <c r="BP80" s="14"/>
      <c r="BQ80" s="14"/>
      <c r="BR80" s="14"/>
      <c r="BS80" s="14"/>
      <c r="BT80" s="14"/>
      <c r="BU80" s="14"/>
      <c r="BV80" s="14"/>
      <c r="BW80" s="14"/>
      <c r="IQ80" s="14"/>
      <c r="IR80" s="14"/>
      <c r="IS80" s="14"/>
      <c r="IT80" s="14"/>
      <c r="IU80" s="14"/>
      <c r="IV80" s="14"/>
      <c r="IW80" s="14"/>
    </row>
    <row r="81" spans="2:257" s="2" customFormat="1" ht="51">
      <c r="B81" s="49">
        <v>77</v>
      </c>
      <c r="C81" s="41" t="s">
        <v>444</v>
      </c>
      <c r="D81" s="42">
        <v>45016</v>
      </c>
      <c r="E81" s="43" t="s">
        <v>46</v>
      </c>
      <c r="F81" s="15">
        <v>34234</v>
      </c>
      <c r="G81" s="15">
        <v>138327</v>
      </c>
      <c r="H81" s="15">
        <v>7275</v>
      </c>
      <c r="I81" s="16"/>
      <c r="J81" s="16"/>
      <c r="K81" s="16">
        <v>161</v>
      </c>
      <c r="L81" s="16">
        <v>21</v>
      </c>
      <c r="M81" s="16" t="s">
        <v>40</v>
      </c>
      <c r="N81" s="16" t="s">
        <v>445</v>
      </c>
      <c r="O81" s="72"/>
      <c r="P81" s="16" t="s">
        <v>446</v>
      </c>
      <c r="Q81" s="16" t="s">
        <v>447</v>
      </c>
      <c r="R81" s="16"/>
      <c r="S81" s="16"/>
      <c r="T81" s="16"/>
      <c r="U81" s="16">
        <v>1</v>
      </c>
      <c r="V81" s="17"/>
      <c r="W81" s="16"/>
      <c r="X81" s="16"/>
      <c r="Y81" s="16" t="s">
        <v>62</v>
      </c>
      <c r="Z81" s="18"/>
      <c r="AA81" s="19"/>
      <c r="AB81" s="20"/>
      <c r="AC81" s="19"/>
      <c r="AD81" s="20"/>
      <c r="AE81" s="19"/>
      <c r="AF81" s="16"/>
      <c r="AG81" s="16"/>
      <c r="AH81" s="16"/>
      <c r="AI81" s="16">
        <f>62.32+111.39+3.47/2+26.48</f>
        <v>201.92500000000001</v>
      </c>
      <c r="AJ81" s="17"/>
      <c r="AK81" s="21"/>
      <c r="AL81" s="22">
        <v>147.36000000000001</v>
      </c>
      <c r="AM81" s="22">
        <f>+(111.39+3.47)/AL81</f>
        <v>0.77945168295331158</v>
      </c>
      <c r="AN81" s="22">
        <f>+(111.39+3.47/2+26.48)/AL81</f>
        <v>0.94737377850162852</v>
      </c>
      <c r="AO81" s="22"/>
      <c r="AP81" s="23">
        <f>70000*AI81</f>
        <v>14134750</v>
      </c>
      <c r="AQ81" s="23">
        <v>226699.93</v>
      </c>
      <c r="AR81" s="22" t="s">
        <v>57</v>
      </c>
      <c r="AS81" s="23" t="s">
        <v>448</v>
      </c>
      <c r="AT81" s="44">
        <v>45084</v>
      </c>
      <c r="AU81" s="24"/>
      <c r="AV81" s="45">
        <v>45082</v>
      </c>
      <c r="AW81" s="13"/>
      <c r="AX81" s="13"/>
      <c r="AY81" s="13"/>
      <c r="AZ81" s="13"/>
      <c r="BA81" s="13"/>
      <c r="BB81" s="13"/>
      <c r="BC81" s="13"/>
      <c r="BD81" s="13"/>
      <c r="BE81" s="13"/>
      <c r="BF81" s="13"/>
      <c r="BG81" s="13"/>
      <c r="BH81" s="14"/>
      <c r="BI81" s="14"/>
      <c r="BJ81" s="14"/>
      <c r="BK81" s="14"/>
      <c r="BL81" s="14"/>
      <c r="BM81" s="14"/>
      <c r="BN81" s="14"/>
      <c r="BO81" s="14"/>
      <c r="BP81" s="14"/>
      <c r="BQ81" s="14"/>
      <c r="BR81" s="14"/>
      <c r="BS81" s="14"/>
      <c r="BT81" s="14"/>
      <c r="BU81" s="14"/>
      <c r="BV81" s="14"/>
      <c r="BW81" s="14"/>
      <c r="IQ81" s="14"/>
      <c r="IR81" s="14"/>
      <c r="IS81" s="14"/>
      <c r="IT81" s="14"/>
      <c r="IU81" s="14"/>
      <c r="IV81" s="14"/>
      <c r="IW81" s="14"/>
    </row>
    <row r="82" spans="2:257" s="2" customFormat="1" ht="63.75">
      <c r="B82" s="49">
        <v>78</v>
      </c>
      <c r="C82" s="41" t="s">
        <v>449</v>
      </c>
      <c r="D82" s="42">
        <v>45012</v>
      </c>
      <c r="E82" s="43" t="s">
        <v>310</v>
      </c>
      <c r="F82" s="80">
        <v>-6955</v>
      </c>
      <c r="G82" s="80">
        <v>138553</v>
      </c>
      <c r="H82" s="80">
        <v>8500</v>
      </c>
      <c r="I82" s="16"/>
      <c r="J82" s="16"/>
      <c r="K82" s="16">
        <v>341</v>
      </c>
      <c r="L82" s="16">
        <v>2</v>
      </c>
      <c r="M82" s="16" t="s">
        <v>88</v>
      </c>
      <c r="N82" s="16" t="s">
        <v>450</v>
      </c>
      <c r="O82" s="72" t="s">
        <v>451</v>
      </c>
      <c r="P82" s="16"/>
      <c r="Q82" s="16" t="s">
        <v>452</v>
      </c>
      <c r="R82" s="16"/>
      <c r="S82" s="16"/>
      <c r="T82" s="16"/>
      <c r="U82" s="16">
        <v>1</v>
      </c>
      <c r="V82" s="17"/>
      <c r="W82" s="16"/>
      <c r="X82" s="16"/>
      <c r="Y82" s="16" t="s">
        <v>71</v>
      </c>
      <c r="Z82" s="18">
        <v>2</v>
      </c>
      <c r="AA82" s="19"/>
      <c r="AB82" s="20">
        <f>+Z82+1</f>
        <v>3</v>
      </c>
      <c r="AC82" s="19"/>
      <c r="AD82" s="20">
        <f>+Z82*2</f>
        <v>4</v>
      </c>
      <c r="AE82" s="19"/>
      <c r="AF82" s="16">
        <v>60</v>
      </c>
      <c r="AG82" s="16"/>
      <c r="AH82" s="16">
        <v>7.14</v>
      </c>
      <c r="AI82" s="16"/>
      <c r="AJ82" s="17"/>
      <c r="AK82" s="21"/>
      <c r="AL82" s="22">
        <v>302.23</v>
      </c>
      <c r="AM82" s="22">
        <f>+(AF82+AH82)/AL82</f>
        <v>0.22214869470270984</v>
      </c>
      <c r="AN82" s="22">
        <f>+AM82</f>
        <v>0.22214869470270984</v>
      </c>
      <c r="AO82" s="22">
        <f>+(18+12)/(6+3)</f>
        <v>3.3333333333333335</v>
      </c>
      <c r="AP82" s="22">
        <f>+(2*48337+6*38639+28998*10+2*19335)/20*AH82</f>
        <v>234605.40599999999</v>
      </c>
      <c r="AQ82" s="23">
        <v>9674.92</v>
      </c>
      <c r="AR82" s="22" t="s">
        <v>57</v>
      </c>
      <c r="AS82" s="23" t="s">
        <v>453</v>
      </c>
      <c r="AT82" s="44">
        <v>45085</v>
      </c>
      <c r="AU82" s="24"/>
      <c r="AV82" s="45">
        <v>45082</v>
      </c>
      <c r="AW82" s="13"/>
      <c r="AX82" s="13"/>
      <c r="AY82" s="13"/>
      <c r="AZ82" s="13"/>
      <c r="BA82" s="13"/>
      <c r="BB82" s="13"/>
      <c r="BC82" s="13"/>
      <c r="BD82" s="13"/>
      <c r="BE82" s="13"/>
      <c r="BF82" s="13"/>
      <c r="BG82" s="13"/>
      <c r="BH82" s="14"/>
      <c r="BI82" s="14"/>
      <c r="BJ82" s="14"/>
      <c r="BK82" s="14"/>
      <c r="BL82" s="14"/>
      <c r="BM82" s="14"/>
      <c r="BN82" s="14"/>
      <c r="BO82" s="14"/>
      <c r="BP82" s="14"/>
      <c r="BQ82" s="14"/>
      <c r="BR82" s="14"/>
      <c r="BS82" s="14"/>
      <c r="BT82" s="14"/>
      <c r="BU82" s="14"/>
      <c r="BV82" s="14"/>
      <c r="BW82" s="14"/>
      <c r="IQ82" s="14"/>
      <c r="IR82" s="14"/>
      <c r="IS82" s="14"/>
      <c r="IT82" s="14"/>
      <c r="IU82" s="14"/>
      <c r="IV82" s="14"/>
      <c r="IW82" s="14"/>
    </row>
    <row r="83" spans="2:257" s="2" customFormat="1" ht="38.25">
      <c r="B83" s="49">
        <v>79</v>
      </c>
      <c r="C83" s="41">
        <v>552987</v>
      </c>
      <c r="D83" s="42">
        <v>45068</v>
      </c>
      <c r="E83" s="43" t="s">
        <v>65</v>
      </c>
      <c r="F83" s="15">
        <v>49375</v>
      </c>
      <c r="G83" s="15">
        <v>159606</v>
      </c>
      <c r="H83" s="15">
        <v>32651</v>
      </c>
      <c r="I83" s="16">
        <v>330</v>
      </c>
      <c r="J83" s="16"/>
      <c r="K83" s="16">
        <v>4</v>
      </c>
      <c r="L83" s="16">
        <v>6</v>
      </c>
      <c r="M83" s="16" t="s">
        <v>206</v>
      </c>
      <c r="N83" s="16" t="s">
        <v>454</v>
      </c>
      <c r="O83" s="72" t="s">
        <v>455</v>
      </c>
      <c r="P83" s="16"/>
      <c r="Q83" s="16" t="s">
        <v>120</v>
      </c>
      <c r="R83" s="16" t="s">
        <v>120</v>
      </c>
      <c r="S83" s="16" t="s">
        <v>120</v>
      </c>
      <c r="T83" s="16" t="s">
        <v>70</v>
      </c>
      <c r="U83" s="16"/>
      <c r="V83" s="17">
        <v>1</v>
      </c>
      <c r="W83" s="16"/>
      <c r="X83" s="16"/>
      <c r="Y83" s="16" t="s">
        <v>71</v>
      </c>
      <c r="Z83" s="18"/>
      <c r="AA83" s="19">
        <v>3</v>
      </c>
      <c r="AB83" s="20"/>
      <c r="AC83" s="19">
        <f>+AA83+1+1</f>
        <v>5</v>
      </c>
      <c r="AD83" s="20"/>
      <c r="AE83" s="19">
        <f>+AA83*2</f>
        <v>6</v>
      </c>
      <c r="AF83" s="16"/>
      <c r="AG83" s="16"/>
      <c r="AH83" s="16"/>
      <c r="AI83" s="16"/>
      <c r="AJ83" s="17">
        <v>121.67</v>
      </c>
      <c r="AK83" s="21"/>
      <c r="AL83" s="22">
        <v>869.66</v>
      </c>
      <c r="AM83" s="22">
        <f>+AJ83/AL83</f>
        <v>0.13990525032771428</v>
      </c>
      <c r="AN83" s="22">
        <f>+AJ83/AL83</f>
        <v>0.13990525032771428</v>
      </c>
      <c r="AO83" s="22">
        <f>+(10+12+4)/(5+4+1)</f>
        <v>2.6</v>
      </c>
      <c r="AP83" s="22">
        <f>+(6*48337+9*38639+28998*5+2*19335)/22*AJ83</f>
        <v>4542897.8686363641</v>
      </c>
      <c r="AQ83" s="23">
        <v>15537.85</v>
      </c>
      <c r="AR83" s="22" t="s">
        <v>57</v>
      </c>
      <c r="AS83" s="23" t="s">
        <v>456</v>
      </c>
      <c r="AT83" s="44">
        <v>45085</v>
      </c>
      <c r="AU83" s="24"/>
      <c r="AV83" s="45">
        <v>45078</v>
      </c>
      <c r="AW83" s="13"/>
      <c r="AX83" s="13"/>
      <c r="AY83" s="13"/>
      <c r="AZ83" s="13"/>
      <c r="BA83" s="13"/>
      <c r="BB83" s="13"/>
      <c r="BC83" s="13"/>
      <c r="BD83" s="13"/>
      <c r="BE83" s="13"/>
      <c r="BF83" s="13"/>
      <c r="BG83" s="13"/>
      <c r="BH83" s="14"/>
      <c r="BI83" s="14"/>
      <c r="BJ83" s="14"/>
      <c r="BK83" s="14"/>
      <c r="BL83" s="14"/>
      <c r="BM83" s="14"/>
      <c r="BN83" s="14"/>
      <c r="BO83" s="14"/>
      <c r="BP83" s="14"/>
      <c r="BQ83" s="14"/>
      <c r="BR83" s="14"/>
      <c r="BS83" s="14"/>
      <c r="BT83" s="14"/>
      <c r="BU83" s="14"/>
      <c r="BV83" s="14"/>
      <c r="BW83" s="14"/>
      <c r="IQ83" s="14"/>
      <c r="IR83" s="14"/>
      <c r="IS83" s="14"/>
      <c r="IT83" s="14"/>
      <c r="IU83" s="14"/>
      <c r="IV83" s="14"/>
      <c r="IW83" s="14"/>
    </row>
    <row r="84" spans="2:257" s="2" customFormat="1" ht="38.25">
      <c r="B84" s="49">
        <v>80</v>
      </c>
      <c r="C84" s="41">
        <v>553342</v>
      </c>
      <c r="D84" s="42">
        <v>45083</v>
      </c>
      <c r="E84" s="43" t="s">
        <v>80</v>
      </c>
      <c r="F84" s="15">
        <v>14742</v>
      </c>
      <c r="G84" s="15">
        <v>105819</v>
      </c>
      <c r="H84" s="15">
        <v>3135</v>
      </c>
      <c r="I84" s="16"/>
      <c r="J84" s="16"/>
      <c r="K84" s="16">
        <v>72</v>
      </c>
      <c r="L84" s="16">
        <v>1</v>
      </c>
      <c r="M84" s="16" t="s">
        <v>40</v>
      </c>
      <c r="N84" s="16" t="s">
        <v>457</v>
      </c>
      <c r="O84" s="72" t="s">
        <v>458</v>
      </c>
      <c r="P84" s="16"/>
      <c r="Q84" s="16" t="s">
        <v>43</v>
      </c>
      <c r="R84" s="16" t="s">
        <v>43</v>
      </c>
      <c r="S84" s="16" t="s">
        <v>43</v>
      </c>
      <c r="T84" s="16" t="s">
        <v>459</v>
      </c>
      <c r="U84" s="16"/>
      <c r="V84" s="17">
        <v>2</v>
      </c>
      <c r="W84" s="16"/>
      <c r="X84" s="16"/>
      <c r="Y84" s="16" t="s">
        <v>62</v>
      </c>
      <c r="Z84" s="18"/>
      <c r="AA84" s="19"/>
      <c r="AB84" s="20"/>
      <c r="AC84" s="19"/>
      <c r="AD84" s="20"/>
      <c r="AE84" s="19"/>
      <c r="AF84" s="16"/>
      <c r="AG84" s="16"/>
      <c r="AH84" s="16"/>
      <c r="AI84" s="16"/>
      <c r="AJ84" s="17">
        <f>162.23+86.54</f>
        <v>248.76999999999998</v>
      </c>
      <c r="AK84" s="21"/>
      <c r="AL84" s="22">
        <v>325</v>
      </c>
      <c r="AM84" s="22"/>
      <c r="AN84" s="22"/>
      <c r="AO84" s="22"/>
      <c r="AP84" s="22"/>
      <c r="AQ84" s="23">
        <v>91215</v>
      </c>
      <c r="AR84" s="22" t="s">
        <v>57</v>
      </c>
      <c r="AS84" s="23" t="s">
        <v>460</v>
      </c>
      <c r="AT84" s="44">
        <v>45085</v>
      </c>
      <c r="AU84" s="24"/>
      <c r="AV84" s="45">
        <v>45083</v>
      </c>
      <c r="AW84" s="13"/>
      <c r="AX84" s="13"/>
      <c r="AY84" s="13"/>
      <c r="AZ84" s="13"/>
      <c r="BA84" s="13"/>
      <c r="BB84" s="13"/>
      <c r="BC84" s="13"/>
      <c r="BD84" s="13"/>
      <c r="BE84" s="13"/>
      <c r="BF84" s="13"/>
      <c r="BG84" s="13"/>
      <c r="BH84" s="14"/>
      <c r="BI84" s="14"/>
      <c r="BJ84" s="14"/>
      <c r="BK84" s="14"/>
      <c r="BL84" s="14"/>
      <c r="BM84" s="14"/>
      <c r="BN84" s="14"/>
      <c r="BO84" s="14"/>
      <c r="BP84" s="14"/>
      <c r="BQ84" s="14"/>
      <c r="BR84" s="14"/>
      <c r="BS84" s="14"/>
      <c r="BT84" s="14"/>
      <c r="BU84" s="14"/>
      <c r="BV84" s="14"/>
      <c r="BW84" s="14"/>
      <c r="IQ84" s="14"/>
      <c r="IR84" s="14"/>
      <c r="IS84" s="14"/>
      <c r="IT84" s="14"/>
      <c r="IU84" s="14"/>
      <c r="IV84" s="14"/>
      <c r="IW84" s="14"/>
    </row>
    <row r="85" spans="2:257" s="2" customFormat="1" ht="38.25">
      <c r="B85" s="49">
        <v>81</v>
      </c>
      <c r="C85" s="41">
        <v>552999</v>
      </c>
      <c r="D85" s="42">
        <v>45068</v>
      </c>
      <c r="E85" s="43" t="s">
        <v>46</v>
      </c>
      <c r="F85" s="15">
        <v>49816</v>
      </c>
      <c r="G85" s="15">
        <v>160042</v>
      </c>
      <c r="H85" s="15">
        <v>32669</v>
      </c>
      <c r="I85" s="16">
        <v>111</v>
      </c>
      <c r="J85" s="16"/>
      <c r="K85" s="16">
        <v>2</v>
      </c>
      <c r="L85" s="16">
        <v>4</v>
      </c>
      <c r="M85" s="16" t="s">
        <v>206</v>
      </c>
      <c r="N85" s="16" t="s">
        <v>461</v>
      </c>
      <c r="O85" s="72" t="s">
        <v>462</v>
      </c>
      <c r="P85" s="16"/>
      <c r="Q85" s="16" t="s">
        <v>306</v>
      </c>
      <c r="R85" s="16"/>
      <c r="S85" s="16"/>
      <c r="T85" s="16" t="s">
        <v>463</v>
      </c>
      <c r="U85" s="16">
        <v>1</v>
      </c>
      <c r="V85" s="17" t="s">
        <v>464</v>
      </c>
      <c r="W85" s="16"/>
      <c r="X85" s="16"/>
      <c r="Y85" s="16" t="s">
        <v>71</v>
      </c>
      <c r="Z85" s="18"/>
      <c r="AA85" s="19"/>
      <c r="AB85" s="20">
        <v>1</v>
      </c>
      <c r="AC85" s="19"/>
      <c r="AD85" s="20"/>
      <c r="AE85" s="19"/>
      <c r="AF85" s="16"/>
      <c r="AG85" s="16"/>
      <c r="AH85" s="16">
        <f>31.25+11.02/2</f>
        <v>36.76</v>
      </c>
      <c r="AI85" s="16"/>
      <c r="AJ85" s="17"/>
      <c r="AK85" s="21"/>
      <c r="AL85" s="22">
        <v>2160</v>
      </c>
      <c r="AM85" s="22">
        <f>+(31.25+11.02)/AL85</f>
        <v>1.9569444444444441E-2</v>
      </c>
      <c r="AN85" s="22">
        <f>+AH85/AL85</f>
        <v>1.7018518518518516E-2</v>
      </c>
      <c r="AO85" s="22"/>
      <c r="AP85" s="22">
        <f>1073075+((1*48337+38639*4+28998*11+3*13335)/19*AH85)</f>
        <v>2160157.1978947371</v>
      </c>
      <c r="AQ85" s="23">
        <v>70848.92</v>
      </c>
      <c r="AR85" s="22" t="s">
        <v>57</v>
      </c>
      <c r="AS85" s="23" t="s">
        <v>465</v>
      </c>
      <c r="AT85" s="44">
        <v>45098</v>
      </c>
      <c r="AU85" s="24"/>
      <c r="AV85" s="45">
        <v>45075</v>
      </c>
      <c r="AW85" s="13"/>
      <c r="AX85" s="13"/>
      <c r="AY85" s="13"/>
      <c r="AZ85" s="13"/>
      <c r="BA85" s="13"/>
      <c r="BB85" s="13"/>
      <c r="BC85" s="13"/>
      <c r="BD85" s="13"/>
      <c r="BE85" s="13"/>
      <c r="BF85" s="13"/>
      <c r="BG85" s="13"/>
      <c r="BH85" s="14"/>
      <c r="BI85" s="14"/>
      <c r="BJ85" s="14"/>
      <c r="BK85" s="14"/>
      <c r="BL85" s="14"/>
      <c r="BM85" s="14"/>
      <c r="BN85" s="14"/>
      <c r="BO85" s="14"/>
      <c r="BP85" s="14"/>
      <c r="BQ85" s="14"/>
      <c r="BR85" s="14"/>
      <c r="BS85" s="14"/>
      <c r="BT85" s="14"/>
      <c r="BU85" s="14"/>
      <c r="BV85" s="14"/>
      <c r="BW85" s="14"/>
      <c r="IQ85" s="14"/>
      <c r="IR85" s="14"/>
      <c r="IS85" s="14"/>
      <c r="IT85" s="14"/>
      <c r="IU85" s="14"/>
      <c r="IV85" s="14"/>
      <c r="IW85" s="14"/>
    </row>
    <row r="86" spans="2:257" s="25" customFormat="1" ht="63.75">
      <c r="B86" s="73">
        <v>83</v>
      </c>
      <c r="C86" s="54" t="s">
        <v>466</v>
      </c>
      <c r="D86" s="61">
        <v>44859</v>
      </c>
      <c r="E86" s="48" t="s">
        <v>65</v>
      </c>
      <c r="F86" s="30">
        <v>51614</v>
      </c>
      <c r="G86" s="30">
        <v>103447</v>
      </c>
      <c r="H86" s="30">
        <v>3368</v>
      </c>
      <c r="I86" s="31"/>
      <c r="J86" s="31"/>
      <c r="K86" s="31">
        <v>373</v>
      </c>
      <c r="L86" s="31">
        <v>7</v>
      </c>
      <c r="M86" s="31" t="s">
        <v>96</v>
      </c>
      <c r="N86" s="31" t="s">
        <v>375</v>
      </c>
      <c r="O86" s="31" t="s">
        <v>467</v>
      </c>
      <c r="P86" s="31"/>
      <c r="Q86" s="31" t="s">
        <v>468</v>
      </c>
      <c r="R86" s="31" t="s">
        <v>468</v>
      </c>
      <c r="S86" s="31" t="s">
        <v>468</v>
      </c>
      <c r="T86" s="31" t="s">
        <v>70</v>
      </c>
      <c r="U86" s="31"/>
      <c r="V86" s="31">
        <v>1</v>
      </c>
      <c r="W86" s="31"/>
      <c r="X86" s="31">
        <v>1</v>
      </c>
      <c r="Y86" s="31" t="s">
        <v>469</v>
      </c>
      <c r="Z86" s="32"/>
      <c r="AA86" s="32"/>
      <c r="AB86" s="32"/>
      <c r="AC86" s="32"/>
      <c r="AD86" s="32"/>
      <c r="AE86" s="32"/>
      <c r="AF86" s="31"/>
      <c r="AG86" s="31">
        <f>691.63+34.05/2</f>
        <v>708.65499999999997</v>
      </c>
      <c r="AH86" s="31"/>
      <c r="AI86" s="31"/>
      <c r="AJ86" s="31"/>
      <c r="AK86" s="33">
        <v>588.54999999999995</v>
      </c>
      <c r="AL86" s="33">
        <v>2223.61</v>
      </c>
      <c r="AM86" s="33">
        <f>+(691.63+34.05+AK86)/AL86</f>
        <v>0.59103439901781329</v>
      </c>
      <c r="AN86" s="33">
        <f>+(AG86+AK86)/AL86</f>
        <v>0.58337793048241371</v>
      </c>
      <c r="AO86" s="33"/>
      <c r="AP86" s="33">
        <f>+AK86*38639</f>
        <v>22740983.449999999</v>
      </c>
      <c r="AQ86" s="34">
        <v>85641.09</v>
      </c>
      <c r="AR86" s="33" t="s">
        <v>57</v>
      </c>
      <c r="AS86" s="34" t="s">
        <v>470</v>
      </c>
      <c r="AT86" s="35">
        <v>45100</v>
      </c>
      <c r="AU86" s="36"/>
      <c r="AV86" s="37">
        <v>44929</v>
      </c>
      <c r="AW86" s="38"/>
      <c r="AX86" s="38"/>
      <c r="AY86" s="38"/>
      <c r="AZ86" s="38"/>
      <c r="BA86" s="38"/>
      <c r="BB86" s="38"/>
      <c r="BC86" s="38"/>
      <c r="BD86" s="38"/>
      <c r="BE86" s="38"/>
      <c r="BF86" s="38"/>
      <c r="BG86" s="38"/>
      <c r="BH86" s="39"/>
      <c r="BI86" s="39"/>
      <c r="BJ86" s="39"/>
      <c r="BK86" s="39"/>
      <c r="BL86" s="39"/>
      <c r="BM86" s="39"/>
      <c r="BN86" s="39"/>
      <c r="BO86" s="39"/>
      <c r="BP86" s="39"/>
      <c r="BQ86" s="39"/>
      <c r="BR86" s="39"/>
      <c r="BS86" s="39"/>
      <c r="BT86" s="39"/>
      <c r="BU86" s="39"/>
      <c r="BV86" s="39"/>
      <c r="BW86" s="39"/>
      <c r="IQ86" s="39"/>
      <c r="IR86" s="39"/>
      <c r="IS86" s="39"/>
      <c r="IT86" s="39"/>
      <c r="IU86" s="39"/>
      <c r="IV86" s="39"/>
      <c r="IW86" s="39"/>
    </row>
    <row r="87" spans="2:257" s="25" customFormat="1" ht="38.25">
      <c r="B87" s="73">
        <v>82</v>
      </c>
      <c r="C87" s="46">
        <v>552542</v>
      </c>
      <c r="D87" s="47">
        <v>45051</v>
      </c>
      <c r="E87" s="48" t="s">
        <v>46</v>
      </c>
      <c r="F87" s="30">
        <v>60811</v>
      </c>
      <c r="G87" s="30">
        <v>168798</v>
      </c>
      <c r="H87" s="30">
        <v>33977</v>
      </c>
      <c r="I87" s="31">
        <v>75</v>
      </c>
      <c r="J87" s="31"/>
      <c r="K87" s="31"/>
      <c r="L87" s="31">
        <v>10</v>
      </c>
      <c r="M87" s="31" t="s">
        <v>471</v>
      </c>
      <c r="N87" s="31" t="s">
        <v>472</v>
      </c>
      <c r="O87" s="31" t="s">
        <v>473</v>
      </c>
      <c r="P87" s="31"/>
      <c r="Q87" s="31" t="s">
        <v>474</v>
      </c>
      <c r="R87" s="31"/>
      <c r="S87" s="31"/>
      <c r="T87" s="31"/>
      <c r="U87" s="31">
        <v>1</v>
      </c>
      <c r="V87" s="31"/>
      <c r="W87" s="31"/>
      <c r="X87" s="31"/>
      <c r="Y87" s="31" t="s">
        <v>475</v>
      </c>
      <c r="Z87" s="32"/>
      <c r="AA87" s="32"/>
      <c r="AB87" s="32"/>
      <c r="AC87" s="32"/>
      <c r="AD87" s="32"/>
      <c r="AE87" s="32"/>
      <c r="AF87" s="31"/>
      <c r="AG87" s="31"/>
      <c r="AH87" s="31"/>
      <c r="AI87" s="31">
        <f>454.32+215.22+70.78+157.52</f>
        <v>897.83999999999992</v>
      </c>
      <c r="AJ87" s="31"/>
      <c r="AK87" s="33"/>
      <c r="AL87" s="33">
        <v>16755</v>
      </c>
      <c r="AM87" s="33">
        <f>+(454.32+215.22)/AL87</f>
        <v>3.9960608773500446E-2</v>
      </c>
      <c r="AN87" s="33">
        <f>+AI87/AL87</f>
        <v>5.3586392121754693E-2</v>
      </c>
      <c r="AO87" s="33">
        <f>+(1+12+12+1)/(6+4+1+5)</f>
        <v>1.625</v>
      </c>
      <c r="AP87" s="33">
        <v>37000000</v>
      </c>
      <c r="AQ87" s="34">
        <v>535455</v>
      </c>
      <c r="AR87" s="33" t="s">
        <v>77</v>
      </c>
      <c r="AS87" s="34" t="s">
        <v>476</v>
      </c>
      <c r="AT87" s="35">
        <v>45099</v>
      </c>
      <c r="AU87" s="36"/>
      <c r="AV87" s="37">
        <v>45057</v>
      </c>
      <c r="AW87" s="38"/>
      <c r="AX87" s="38"/>
      <c r="AY87" s="38"/>
      <c r="AZ87" s="38"/>
      <c r="BA87" s="38"/>
      <c r="BB87" s="38"/>
      <c r="BC87" s="38"/>
      <c r="BD87" s="38"/>
      <c r="BE87" s="38"/>
      <c r="BF87" s="38"/>
      <c r="BG87" s="38"/>
      <c r="BH87" s="39"/>
      <c r="BI87" s="39"/>
      <c r="BJ87" s="39"/>
      <c r="BK87" s="39"/>
      <c r="BL87" s="39"/>
      <c r="BM87" s="39"/>
      <c r="BN87" s="39"/>
      <c r="BO87" s="39"/>
      <c r="BP87" s="39"/>
      <c r="BQ87" s="39"/>
      <c r="BR87" s="39"/>
      <c r="BS87" s="39"/>
      <c r="BT87" s="39"/>
      <c r="BU87" s="39"/>
      <c r="BV87" s="39"/>
      <c r="BW87" s="39"/>
      <c r="IQ87" s="39"/>
      <c r="IR87" s="39"/>
      <c r="IS87" s="39"/>
      <c r="IT87" s="39"/>
      <c r="IU87" s="39"/>
      <c r="IV87" s="39"/>
      <c r="IW87" s="39"/>
    </row>
    <row r="88" spans="2:257" s="25" customFormat="1" ht="63.75">
      <c r="B88" s="73">
        <v>84</v>
      </c>
      <c r="C88" s="27">
        <v>550789</v>
      </c>
      <c r="D88" s="81">
        <v>44988</v>
      </c>
      <c r="E88" s="82" t="s">
        <v>65</v>
      </c>
      <c r="F88" s="30">
        <v>30077</v>
      </c>
      <c r="G88" s="30">
        <v>461</v>
      </c>
      <c r="H88" s="30">
        <v>220</v>
      </c>
      <c r="I88" s="31"/>
      <c r="J88" s="31"/>
      <c r="K88" s="31">
        <v>7</v>
      </c>
      <c r="L88" s="31">
        <v>12</v>
      </c>
      <c r="M88" s="31" t="s">
        <v>477</v>
      </c>
      <c r="N88" s="31" t="s">
        <v>478</v>
      </c>
      <c r="O88" s="31" t="s">
        <v>479</v>
      </c>
      <c r="P88" s="31"/>
      <c r="Q88" s="31" t="s">
        <v>480</v>
      </c>
      <c r="R88" s="31" t="s">
        <v>480</v>
      </c>
      <c r="S88" s="31" t="s">
        <v>480</v>
      </c>
      <c r="T88" s="31" t="s">
        <v>481</v>
      </c>
      <c r="U88" s="31"/>
      <c r="V88" s="31">
        <v>2</v>
      </c>
      <c r="W88" s="31"/>
      <c r="X88" s="31"/>
      <c r="Y88" s="31" t="s">
        <v>62</v>
      </c>
      <c r="Z88" s="32"/>
      <c r="AA88" s="32"/>
      <c r="AB88" s="32"/>
      <c r="AC88" s="32"/>
      <c r="AD88" s="32"/>
      <c r="AE88" s="32"/>
      <c r="AF88" s="31"/>
      <c r="AG88" s="31"/>
      <c r="AH88" s="31"/>
      <c r="AI88" s="31"/>
      <c r="AJ88" s="31"/>
      <c r="AK88" s="33">
        <f>85.24+2.52/2</f>
        <v>86.5</v>
      </c>
      <c r="AL88" s="33">
        <v>116.4</v>
      </c>
      <c r="AM88" s="33">
        <f>+(85.24+2.52)/AL88</f>
        <v>0.75395189003436414</v>
      </c>
      <c r="AN88" s="33">
        <f>+AK88/AL88</f>
        <v>0.74312714776632294</v>
      </c>
      <c r="AO88" s="33"/>
      <c r="AP88" s="33">
        <f>+AK88*38659</f>
        <v>3344003.5</v>
      </c>
      <c r="AQ88" s="34">
        <v>54579.44</v>
      </c>
      <c r="AR88" s="33" t="s">
        <v>57</v>
      </c>
      <c r="AS88" s="34" t="s">
        <v>482</v>
      </c>
      <c r="AT88" s="35">
        <v>45104</v>
      </c>
      <c r="AU88" s="35">
        <v>45404</v>
      </c>
      <c r="AV88" s="37" t="s">
        <v>483</v>
      </c>
      <c r="AW88" s="38"/>
      <c r="AX88" s="38"/>
      <c r="AY88" s="38"/>
      <c r="AZ88" s="38"/>
      <c r="BA88" s="38"/>
      <c r="BB88" s="38"/>
      <c r="BC88" s="38"/>
      <c r="BD88" s="38"/>
      <c r="BE88" s="38"/>
      <c r="BF88" s="38"/>
      <c r="BG88" s="38"/>
      <c r="BH88" s="39"/>
      <c r="BI88" s="39"/>
      <c r="BJ88" s="39"/>
      <c r="BK88" s="39"/>
      <c r="BL88" s="39"/>
      <c r="BM88" s="39"/>
      <c r="BN88" s="39"/>
      <c r="BO88" s="39"/>
      <c r="BP88" s="39"/>
      <c r="BQ88" s="39"/>
      <c r="BR88" s="39"/>
      <c r="BS88" s="39"/>
      <c r="BT88" s="39"/>
      <c r="BU88" s="39"/>
      <c r="BV88" s="39"/>
      <c r="BW88" s="39"/>
      <c r="IQ88" s="39"/>
      <c r="IR88" s="39"/>
      <c r="IS88" s="39"/>
      <c r="IT88" s="39"/>
      <c r="IU88" s="39"/>
      <c r="IV88" s="39"/>
      <c r="IW88" s="39"/>
    </row>
    <row r="89" spans="2:257" s="25" customFormat="1" ht="63.75">
      <c r="B89" s="73">
        <v>88</v>
      </c>
      <c r="C89" s="46">
        <v>551476</v>
      </c>
      <c r="D89" s="47">
        <v>45007</v>
      </c>
      <c r="E89" s="48" t="s">
        <v>46</v>
      </c>
      <c r="F89" s="30">
        <v>20320</v>
      </c>
      <c r="G89" s="30">
        <v>50872</v>
      </c>
      <c r="H89" s="30">
        <v>2807</v>
      </c>
      <c r="I89" s="31"/>
      <c r="J89" s="31"/>
      <c r="K89" s="31">
        <v>476</v>
      </c>
      <c r="L89" s="31">
        <v>1</v>
      </c>
      <c r="M89" s="31" t="s">
        <v>96</v>
      </c>
      <c r="N89" s="31" t="s">
        <v>484</v>
      </c>
      <c r="O89" s="31" t="s">
        <v>485</v>
      </c>
      <c r="P89" s="31"/>
      <c r="Q89" s="31" t="s">
        <v>357</v>
      </c>
      <c r="R89" s="31"/>
      <c r="S89" s="31"/>
      <c r="T89" s="31"/>
      <c r="U89" s="31">
        <v>1</v>
      </c>
      <c r="V89" s="31"/>
      <c r="W89" s="31"/>
      <c r="X89" s="31"/>
      <c r="Y89" s="31" t="s">
        <v>247</v>
      </c>
      <c r="Z89" s="32">
        <v>1</v>
      </c>
      <c r="AA89" s="32"/>
      <c r="AB89" s="32">
        <f>+Z89+1</f>
        <v>2</v>
      </c>
      <c r="AC89" s="32"/>
      <c r="AD89" s="32">
        <f>+Z89*2</f>
        <v>2</v>
      </c>
      <c r="AE89" s="32"/>
      <c r="AF89" s="31"/>
      <c r="AG89" s="31"/>
      <c r="AH89" s="31"/>
      <c r="AI89" s="31">
        <f>59.82+5.74/2-AJ89</f>
        <v>43.286000000000001</v>
      </c>
      <c r="AJ89" s="31">
        <f>4.9*(3.84+0.12)</f>
        <v>19.404</v>
      </c>
      <c r="AK89" s="33"/>
      <c r="AL89" s="33">
        <v>128.80000000000001</v>
      </c>
      <c r="AM89" s="33"/>
      <c r="AN89" s="33">
        <f>+(AI89+AJ89)/AL89</f>
        <v>0.486723602484472</v>
      </c>
      <c r="AO89" s="33"/>
      <c r="AP89" s="33">
        <f>+(3*38639+8*28998+10*19333)/21*(AI89+AJ89)</f>
        <v>1615703.3995238096</v>
      </c>
      <c r="AQ89" s="34">
        <v>28044.28</v>
      </c>
      <c r="AR89" s="33" t="s">
        <v>57</v>
      </c>
      <c r="AS89" s="34" t="s">
        <v>486</v>
      </c>
      <c r="AT89" s="35">
        <v>45106</v>
      </c>
      <c r="AU89" s="36"/>
      <c r="AV89" s="37">
        <v>45008</v>
      </c>
      <c r="AW89" s="38"/>
      <c r="AX89" s="38"/>
      <c r="AY89" s="38"/>
      <c r="AZ89" s="38"/>
      <c r="BA89" s="38"/>
      <c r="BB89" s="38"/>
      <c r="BC89" s="38"/>
      <c r="BD89" s="38"/>
      <c r="BE89" s="38"/>
      <c r="BF89" s="38"/>
      <c r="BG89" s="38"/>
      <c r="BH89" s="39"/>
      <c r="BI89" s="39"/>
      <c r="BJ89" s="39"/>
      <c r="BK89" s="39"/>
      <c r="BL89" s="39"/>
      <c r="BM89" s="39"/>
      <c r="BN89" s="39"/>
      <c r="BO89" s="39"/>
      <c r="BP89" s="39"/>
      <c r="BQ89" s="39"/>
      <c r="BR89" s="39"/>
      <c r="BS89" s="39"/>
      <c r="BT89" s="39"/>
      <c r="BU89" s="39"/>
      <c r="BV89" s="39"/>
      <c r="BW89" s="39"/>
      <c r="IQ89" s="39"/>
      <c r="IR89" s="39"/>
      <c r="IS89" s="39"/>
      <c r="IT89" s="39"/>
      <c r="IU89" s="39"/>
      <c r="IV89" s="39"/>
      <c r="IW89" s="39"/>
    </row>
    <row r="90" spans="2:257" s="2" customFormat="1" ht="51">
      <c r="B90" s="73">
        <v>87</v>
      </c>
      <c r="C90" s="41" t="s">
        <v>487</v>
      </c>
      <c r="D90" s="42">
        <v>45062</v>
      </c>
      <c r="E90" s="43" t="s">
        <v>65</v>
      </c>
      <c r="F90" s="15">
        <v>41793</v>
      </c>
      <c r="G90" s="15">
        <v>140040</v>
      </c>
      <c r="H90" s="15">
        <v>31770</v>
      </c>
      <c r="I90" s="16">
        <v>327</v>
      </c>
      <c r="J90" s="16"/>
      <c r="K90" s="16">
        <v>1</v>
      </c>
      <c r="L90" s="16">
        <v>8</v>
      </c>
      <c r="M90" s="16" t="s">
        <v>96</v>
      </c>
      <c r="N90" s="16" t="s">
        <v>488</v>
      </c>
      <c r="O90" s="72" t="s">
        <v>489</v>
      </c>
      <c r="P90" s="16"/>
      <c r="Q90" s="16" t="s">
        <v>428</v>
      </c>
      <c r="R90" s="16" t="s">
        <v>428</v>
      </c>
      <c r="S90" s="16" t="s">
        <v>428</v>
      </c>
      <c r="T90" s="16" t="s">
        <v>490</v>
      </c>
      <c r="U90" s="16"/>
      <c r="V90" s="17">
        <v>4</v>
      </c>
      <c r="W90" s="16"/>
      <c r="X90" s="16"/>
      <c r="Y90" s="16" t="s">
        <v>44</v>
      </c>
      <c r="Z90" s="18"/>
      <c r="AA90" s="19">
        <f>2+2+2+2</f>
        <v>8</v>
      </c>
      <c r="AB90" s="20"/>
      <c r="AC90" s="19">
        <f>+AA90+1+1+1+1</f>
        <v>12</v>
      </c>
      <c r="AD90" s="20"/>
      <c r="AE90" s="19">
        <f>+AA90*2</f>
        <v>16</v>
      </c>
      <c r="AF90" s="16"/>
      <c r="AG90" s="16"/>
      <c r="AH90" s="16"/>
      <c r="AI90" s="16"/>
      <c r="AJ90" s="17">
        <f>92.18+79.7/2+146.18</f>
        <v>278.21000000000004</v>
      </c>
      <c r="AK90" s="21"/>
      <c r="AL90" s="22">
        <v>374.5</v>
      </c>
      <c r="AM90" s="22">
        <f>+(92.18+79.7)/AL90</f>
        <v>0.45895861148197598</v>
      </c>
      <c r="AN90" s="22">
        <f>+AJ90/AL90</f>
        <v>0.74288384512683592</v>
      </c>
      <c r="AO90" s="22"/>
      <c r="AP90" s="22">
        <f>+(48337+8*38639+28998*7+6*19335)/22*AJ90</f>
        <v>8554261.9750000015</v>
      </c>
      <c r="AQ90" s="22">
        <v>32946.26</v>
      </c>
      <c r="AR90" s="22" t="s">
        <v>57</v>
      </c>
      <c r="AS90" s="23" t="s">
        <v>491</v>
      </c>
      <c r="AT90" s="44">
        <v>45103</v>
      </c>
      <c r="AU90" s="24"/>
      <c r="AV90" s="45">
        <v>45103</v>
      </c>
      <c r="AW90" s="13"/>
      <c r="AX90" s="13"/>
      <c r="AY90" s="13"/>
      <c r="AZ90" s="13"/>
      <c r="BA90" s="13"/>
      <c r="BB90" s="13"/>
      <c r="BC90" s="13"/>
      <c r="BD90" s="13"/>
      <c r="BE90" s="13"/>
      <c r="BF90" s="13"/>
      <c r="BG90" s="13"/>
      <c r="BH90" s="14"/>
      <c r="BI90" s="14"/>
      <c r="BJ90" s="14"/>
      <c r="BK90" s="14"/>
      <c r="BL90" s="14"/>
      <c r="BM90" s="14"/>
      <c r="BN90" s="14"/>
      <c r="BO90" s="14"/>
      <c r="BP90" s="14"/>
      <c r="BQ90" s="14"/>
      <c r="BR90" s="14"/>
      <c r="BS90" s="14"/>
      <c r="BT90" s="14"/>
      <c r="BU90" s="14"/>
      <c r="BV90" s="14"/>
      <c r="BW90" s="14"/>
      <c r="IQ90" s="14"/>
      <c r="IR90" s="14"/>
      <c r="IS90" s="14"/>
      <c r="IT90" s="14"/>
      <c r="IU90" s="14"/>
      <c r="IV90" s="14"/>
      <c r="IW90" s="14"/>
    </row>
    <row r="91" spans="2:257" s="2" customFormat="1" ht="51">
      <c r="B91" s="73">
        <v>85</v>
      </c>
      <c r="C91" s="41" t="s">
        <v>492</v>
      </c>
      <c r="D91" s="42">
        <v>45054</v>
      </c>
      <c r="E91" s="43" t="s">
        <v>65</v>
      </c>
      <c r="F91" s="15">
        <v>39793</v>
      </c>
      <c r="G91" s="15">
        <v>138412</v>
      </c>
      <c r="H91" s="15">
        <v>31611</v>
      </c>
      <c r="I91" s="16">
        <v>3</v>
      </c>
      <c r="J91" s="16"/>
      <c r="K91" s="16">
        <v>6</v>
      </c>
      <c r="L91" s="16">
        <v>4</v>
      </c>
      <c r="M91" s="16" t="s">
        <v>88</v>
      </c>
      <c r="N91" s="16" t="s">
        <v>493</v>
      </c>
      <c r="O91" s="72" t="s">
        <v>494</v>
      </c>
      <c r="P91" s="16"/>
      <c r="Q91" s="16" t="s">
        <v>329</v>
      </c>
      <c r="R91" s="16" t="s">
        <v>329</v>
      </c>
      <c r="S91" s="16" t="s">
        <v>329</v>
      </c>
      <c r="T91" s="16" t="s">
        <v>494</v>
      </c>
      <c r="U91" s="16"/>
      <c r="V91" s="17">
        <v>1</v>
      </c>
      <c r="W91" s="16"/>
      <c r="X91" s="16"/>
      <c r="Y91" s="16" t="s">
        <v>71</v>
      </c>
      <c r="Z91" s="18"/>
      <c r="AA91" s="19">
        <v>3</v>
      </c>
      <c r="AB91" s="20"/>
      <c r="AC91" s="19">
        <f>+AA91+1</f>
        <v>4</v>
      </c>
      <c r="AD91" s="20"/>
      <c r="AE91" s="19">
        <f>+AA91*2</f>
        <v>6</v>
      </c>
      <c r="AF91" s="16"/>
      <c r="AG91" s="16"/>
      <c r="AH91" s="16"/>
      <c r="AI91" s="16"/>
      <c r="AJ91" s="17">
        <f>120+10/2</f>
        <v>125</v>
      </c>
      <c r="AK91" s="21"/>
      <c r="AL91" s="22">
        <v>996</v>
      </c>
      <c r="AM91" s="22">
        <f>+(120+10)/AL91</f>
        <v>0.13052208835341367</v>
      </c>
      <c r="AN91" s="22">
        <f>+AJ91/AL91</f>
        <v>0.12550200803212852</v>
      </c>
      <c r="AO91" s="22"/>
      <c r="AP91" s="22">
        <f>+(4*48337+7*38639+2*28998+9*19333)/22*AJ91</f>
        <v>3953488.6363636367</v>
      </c>
      <c r="AQ91" s="23">
        <v>23839.78</v>
      </c>
      <c r="AR91" s="22" t="s">
        <v>77</v>
      </c>
      <c r="AS91" s="23" t="s">
        <v>495</v>
      </c>
      <c r="AT91" s="44">
        <v>45105</v>
      </c>
      <c r="AU91" s="24"/>
      <c r="AV91" s="23" t="s">
        <v>496</v>
      </c>
      <c r="AW91" s="13"/>
      <c r="AX91" s="13"/>
      <c r="AY91" s="13"/>
      <c r="AZ91" s="13"/>
      <c r="BA91" s="13"/>
      <c r="BB91" s="13"/>
      <c r="BC91" s="13"/>
      <c r="BD91" s="13"/>
      <c r="BE91" s="13"/>
      <c r="BF91" s="13"/>
      <c r="BG91" s="13"/>
      <c r="BH91" s="14"/>
      <c r="BI91" s="14"/>
      <c r="BJ91" s="14"/>
      <c r="BK91" s="14"/>
      <c r="BL91" s="14"/>
      <c r="BM91" s="14"/>
      <c r="BN91" s="14"/>
      <c r="BO91" s="14"/>
      <c r="BP91" s="14"/>
      <c r="BQ91" s="14"/>
      <c r="BR91" s="14"/>
      <c r="BS91" s="14"/>
      <c r="BT91" s="14"/>
      <c r="BU91" s="14"/>
      <c r="BV91" s="14"/>
      <c r="BW91" s="14"/>
      <c r="IQ91" s="14"/>
      <c r="IR91" s="14"/>
      <c r="IS91" s="14"/>
      <c r="IT91" s="14"/>
      <c r="IU91" s="14"/>
      <c r="IV91" s="14"/>
      <c r="IW91" s="14"/>
    </row>
    <row r="92" spans="2:257" s="25" customFormat="1" ht="63.75">
      <c r="B92" s="73">
        <v>86</v>
      </c>
      <c r="C92" s="83">
        <v>553646</v>
      </c>
      <c r="D92" s="81">
        <v>37787</v>
      </c>
      <c r="E92" s="84" t="s">
        <v>80</v>
      </c>
      <c r="F92" s="30">
        <v>36221</v>
      </c>
      <c r="G92" s="30"/>
      <c r="H92" s="30">
        <v>754</v>
      </c>
      <c r="I92" s="31"/>
      <c r="J92" s="31"/>
      <c r="K92" s="78">
        <v>65</v>
      </c>
      <c r="L92" s="31">
        <v>22</v>
      </c>
      <c r="M92" s="78" t="s">
        <v>96</v>
      </c>
      <c r="N92" s="31" t="s">
        <v>497</v>
      </c>
      <c r="O92" s="79"/>
      <c r="P92" s="31" t="s">
        <v>498</v>
      </c>
      <c r="Q92" s="31" t="s">
        <v>499</v>
      </c>
      <c r="R92" s="31" t="s">
        <v>499</v>
      </c>
      <c r="S92" s="31" t="s">
        <v>499</v>
      </c>
      <c r="T92" s="31" t="s">
        <v>265</v>
      </c>
      <c r="U92" s="31"/>
      <c r="V92" s="31">
        <v>1</v>
      </c>
      <c r="W92" s="31"/>
      <c r="X92" s="31"/>
      <c r="Y92" s="31" t="s">
        <v>500</v>
      </c>
      <c r="Z92" s="32"/>
      <c r="AA92" s="32"/>
      <c r="AB92" s="32"/>
      <c r="AC92" s="32"/>
      <c r="AD92" s="32"/>
      <c r="AE92" s="32"/>
      <c r="AF92" s="31"/>
      <c r="AG92" s="31"/>
      <c r="AH92" s="31"/>
      <c r="AI92" s="31"/>
      <c r="AJ92" s="31"/>
      <c r="AK92" s="33"/>
      <c r="AL92" s="33">
        <v>2977.2</v>
      </c>
      <c r="AM92" s="33"/>
      <c r="AN92" s="33"/>
      <c r="AO92" s="33"/>
      <c r="AP92" s="33">
        <v>2045000</v>
      </c>
      <c r="AQ92" s="34">
        <v>102793</v>
      </c>
      <c r="AR92" s="33" t="s">
        <v>57</v>
      </c>
      <c r="AS92" s="34" t="s">
        <v>501</v>
      </c>
      <c r="AT92" s="35">
        <v>45105</v>
      </c>
      <c r="AU92" s="36"/>
      <c r="AV92" s="37" t="s">
        <v>502</v>
      </c>
      <c r="AW92" s="38"/>
      <c r="AX92" s="38"/>
      <c r="AY92" s="38"/>
      <c r="AZ92" s="38"/>
      <c r="BA92" s="38"/>
      <c r="BB92" s="38"/>
      <c r="BC92" s="38"/>
      <c r="BD92" s="38"/>
      <c r="BE92" s="38"/>
      <c r="BF92" s="38"/>
      <c r="BG92" s="38"/>
      <c r="BH92" s="39"/>
      <c r="BI92" s="39"/>
      <c r="BJ92" s="39"/>
      <c r="BK92" s="39"/>
      <c r="BL92" s="39"/>
      <c r="BM92" s="39"/>
      <c r="BN92" s="39"/>
      <c r="BO92" s="39"/>
      <c r="BP92" s="39"/>
      <c r="BQ92" s="39"/>
      <c r="BR92" s="39"/>
      <c r="BS92" s="39"/>
      <c r="BT92" s="39"/>
      <c r="BU92" s="39"/>
      <c r="BV92" s="39"/>
      <c r="BW92" s="39"/>
      <c r="IQ92" s="39"/>
      <c r="IR92" s="39"/>
      <c r="IS92" s="39"/>
      <c r="IT92" s="39"/>
      <c r="IU92" s="39"/>
      <c r="IV92" s="39"/>
      <c r="IW92" s="39"/>
    </row>
    <row r="93" spans="2:257" s="2" customFormat="1" ht="38.25">
      <c r="B93" s="85">
        <v>89</v>
      </c>
      <c r="C93" s="86">
        <v>518953</v>
      </c>
      <c r="D93" s="43">
        <v>43860</v>
      </c>
      <c r="E93" s="43" t="s">
        <v>65</v>
      </c>
      <c r="F93" s="15">
        <v>34815</v>
      </c>
      <c r="G93" s="15">
        <v>106466</v>
      </c>
      <c r="H93" s="15">
        <v>2049</v>
      </c>
      <c r="I93" s="16"/>
      <c r="J93" s="16"/>
      <c r="K93" s="16">
        <v>747</v>
      </c>
      <c r="L93" s="16">
        <v>3</v>
      </c>
      <c r="M93" s="16" t="s">
        <v>503</v>
      </c>
      <c r="N93" s="16" t="s">
        <v>504</v>
      </c>
      <c r="O93" s="72"/>
      <c r="P93" s="16" t="s">
        <v>505</v>
      </c>
      <c r="Q93" s="16" t="s">
        <v>506</v>
      </c>
      <c r="R93" s="16" t="s">
        <v>506</v>
      </c>
      <c r="S93" s="16" t="s">
        <v>507</v>
      </c>
      <c r="T93" s="16" t="s">
        <v>123</v>
      </c>
      <c r="U93" s="16"/>
      <c r="V93" s="17">
        <v>12</v>
      </c>
      <c r="W93" s="16"/>
      <c r="X93" s="16"/>
      <c r="Y93" s="16" t="s">
        <v>508</v>
      </c>
      <c r="Z93" s="18"/>
      <c r="AA93" s="19">
        <f>+(2*4)+(1*4)+(1*4)</f>
        <v>16</v>
      </c>
      <c r="AB93" s="20"/>
      <c r="AC93" s="19">
        <f>3*4</f>
        <v>12</v>
      </c>
      <c r="AD93" s="20"/>
      <c r="AE93" s="19">
        <f>+AA93*2</f>
        <v>32</v>
      </c>
      <c r="AF93" s="16"/>
      <c r="AG93" s="16"/>
      <c r="AH93" s="16"/>
      <c r="AI93" s="16"/>
      <c r="AJ93" s="17">
        <f>789.02+323.77/2</f>
        <v>950.90499999999997</v>
      </c>
      <c r="AK93" s="21"/>
      <c r="AL93" s="22">
        <v>454.4</v>
      </c>
      <c r="AM93" s="22">
        <v>0.44</v>
      </c>
      <c r="AN93" s="22">
        <f>+(AJ93-199.87)/AL93</f>
        <v>1.6528058978873239</v>
      </c>
      <c r="AO93" s="22"/>
      <c r="AP93" s="22">
        <f>323211.21+((1*48337+38639*4+5*28998+19335*9)/19*AJ93)+436598.5</f>
        <v>26879568.535789471</v>
      </c>
      <c r="AQ93" s="22">
        <v>140752.79999999999</v>
      </c>
      <c r="AR93" s="22" t="s">
        <v>57</v>
      </c>
      <c r="AS93" s="87" t="s">
        <v>509</v>
      </c>
      <c r="AT93" s="44">
        <v>45106</v>
      </c>
      <c r="AU93" s="24"/>
      <c r="AV93" s="23" t="s">
        <v>510</v>
      </c>
      <c r="AW93" s="13"/>
      <c r="AX93" s="13"/>
      <c r="AY93" s="13"/>
      <c r="AZ93" s="13"/>
      <c r="BA93" s="13"/>
      <c r="BB93" s="13"/>
      <c r="BC93" s="13"/>
      <c r="BD93" s="13"/>
      <c r="BE93" s="13"/>
      <c r="BF93" s="13"/>
      <c r="BG93" s="13"/>
      <c r="BH93" s="14"/>
      <c r="BI93" s="14"/>
      <c r="BJ93" s="14"/>
      <c r="BK93" s="14"/>
      <c r="BL93" s="14"/>
      <c r="BM93" s="14"/>
      <c r="BN93" s="14"/>
      <c r="BO93" s="14"/>
      <c r="BP93" s="14"/>
      <c r="BQ93" s="14"/>
      <c r="BR93" s="14"/>
      <c r="BS93" s="14"/>
      <c r="BT93" s="14"/>
      <c r="BU93" s="14"/>
      <c r="BV93" s="14"/>
      <c r="BW93" s="14"/>
      <c r="IQ93" s="14"/>
      <c r="IR93" s="14"/>
      <c r="IS93" s="14"/>
      <c r="IT93" s="14"/>
      <c r="IU93" s="14"/>
      <c r="IV93" s="14"/>
      <c r="IW93" s="14"/>
    </row>
    <row r="94" spans="2:257" s="2" customFormat="1" ht="63.75">
      <c r="B94" s="85">
        <v>90</v>
      </c>
      <c r="C94" s="88">
        <v>553555</v>
      </c>
      <c r="D94" s="42">
        <v>45090</v>
      </c>
      <c r="E94" s="43" t="s">
        <v>46</v>
      </c>
      <c r="F94" s="15">
        <v>18918</v>
      </c>
      <c r="G94" s="15">
        <v>108787</v>
      </c>
      <c r="H94" s="15">
        <v>4151</v>
      </c>
      <c r="I94" s="16"/>
      <c r="J94" s="16"/>
      <c r="K94" s="16">
        <v>778</v>
      </c>
      <c r="L94" s="16">
        <v>12</v>
      </c>
      <c r="M94" s="16" t="s">
        <v>190</v>
      </c>
      <c r="N94" s="16" t="s">
        <v>511</v>
      </c>
      <c r="O94" s="72" t="s">
        <v>512</v>
      </c>
      <c r="P94" s="16"/>
      <c r="Q94" s="16" t="s">
        <v>120</v>
      </c>
      <c r="R94" s="16"/>
      <c r="S94" s="16"/>
      <c r="T94" s="16"/>
      <c r="U94" s="16"/>
      <c r="V94" s="17"/>
      <c r="W94" s="16">
        <f>2+1</f>
        <v>3</v>
      </c>
      <c r="X94" s="16"/>
      <c r="Y94" s="16" t="s">
        <v>513</v>
      </c>
      <c r="Z94" s="18"/>
      <c r="AA94" s="19"/>
      <c r="AB94" s="20"/>
      <c r="AC94" s="19"/>
      <c r="AD94" s="20"/>
      <c r="AE94" s="19"/>
      <c r="AF94" s="16">
        <f>164+57.8</f>
        <v>221.8</v>
      </c>
      <c r="AG94" s="16"/>
      <c r="AH94" s="16"/>
      <c r="AI94" s="16">
        <f>70.3/2</f>
        <v>35.15</v>
      </c>
      <c r="AJ94" s="17"/>
      <c r="AK94" s="21"/>
      <c r="AL94" s="22">
        <v>297</v>
      </c>
      <c r="AM94" s="22">
        <f>+(164+70.3)/AL94</f>
        <v>0.78888888888888897</v>
      </c>
      <c r="AN94" s="22">
        <f>+(AF94+AG94+AI94)/AL94</f>
        <v>0.86515151515151512</v>
      </c>
      <c r="AO94" s="22"/>
      <c r="AP94" s="22">
        <v>200000</v>
      </c>
      <c r="AQ94" s="23">
        <v>3499</v>
      </c>
      <c r="AR94" s="22" t="s">
        <v>57</v>
      </c>
      <c r="AS94" s="23" t="s">
        <v>514</v>
      </c>
      <c r="AT94" s="44">
        <v>45118</v>
      </c>
      <c r="AU94" s="24"/>
      <c r="AV94" s="45">
        <v>45099</v>
      </c>
      <c r="AW94" s="13"/>
      <c r="AX94" s="13"/>
      <c r="AY94" s="13"/>
      <c r="AZ94" s="13"/>
      <c r="BA94" s="13"/>
      <c r="BB94" s="13"/>
      <c r="BC94" s="13"/>
      <c r="BD94" s="13"/>
      <c r="BE94" s="13"/>
      <c r="BF94" s="13"/>
      <c r="BG94" s="13"/>
      <c r="BH94" s="14"/>
      <c r="BI94" s="14"/>
      <c r="BJ94" s="14"/>
      <c r="BK94" s="14"/>
      <c r="BL94" s="14"/>
      <c r="BM94" s="14"/>
      <c r="BN94" s="14"/>
      <c r="BO94" s="14"/>
      <c r="BP94" s="14"/>
      <c r="BQ94" s="14"/>
      <c r="BR94" s="14"/>
      <c r="BS94" s="14"/>
      <c r="BT94" s="14"/>
      <c r="BU94" s="14"/>
      <c r="BV94" s="14"/>
      <c r="BW94" s="14"/>
      <c r="IQ94" s="14"/>
      <c r="IR94" s="14"/>
      <c r="IS94" s="14"/>
      <c r="IT94" s="14"/>
      <c r="IU94" s="14"/>
      <c r="IV94" s="14"/>
      <c r="IW94" s="14"/>
    </row>
    <row r="95" spans="2:257" s="2" customFormat="1" ht="51">
      <c r="B95" s="85">
        <v>91</v>
      </c>
      <c r="C95" s="89" t="s">
        <v>515</v>
      </c>
      <c r="D95" s="42">
        <v>44532</v>
      </c>
      <c r="E95" s="43" t="s">
        <v>46</v>
      </c>
      <c r="F95" s="15">
        <v>46910</v>
      </c>
      <c r="G95" s="15">
        <v>149988</v>
      </c>
      <c r="H95" s="15">
        <v>32330</v>
      </c>
      <c r="I95" s="16">
        <v>327</v>
      </c>
      <c r="J95" s="16"/>
      <c r="K95" s="16">
        <v>10</v>
      </c>
      <c r="L95" s="16">
        <v>7</v>
      </c>
      <c r="M95" s="16" t="s">
        <v>110</v>
      </c>
      <c r="N95" s="16" t="s">
        <v>516</v>
      </c>
      <c r="O95" s="72" t="s">
        <v>517</v>
      </c>
      <c r="P95" s="16"/>
      <c r="Q95" s="16" t="s">
        <v>499</v>
      </c>
      <c r="R95" s="16"/>
      <c r="S95" s="16"/>
      <c r="T95" s="16" t="s">
        <v>70</v>
      </c>
      <c r="U95" s="16">
        <v>1</v>
      </c>
      <c r="V95" s="17"/>
      <c r="W95" s="16"/>
      <c r="X95" s="16"/>
      <c r="Y95" s="16" t="s">
        <v>71</v>
      </c>
      <c r="Z95" s="18">
        <v>2</v>
      </c>
      <c r="AA95" s="19"/>
      <c r="AB95" s="20"/>
      <c r="AC95" s="19"/>
      <c r="AD95" s="20"/>
      <c r="AE95" s="19"/>
      <c r="AF95" s="16"/>
      <c r="AG95" s="16"/>
      <c r="AH95" s="16">
        <f>175.8+64.35/2+82.36+42.27</f>
        <v>332.60500000000002</v>
      </c>
      <c r="AI95" s="16"/>
      <c r="AJ95" s="17"/>
      <c r="AK95" s="21"/>
      <c r="AL95" s="22">
        <v>384.35</v>
      </c>
      <c r="AM95" s="22">
        <f>+(175.8+64.35)/AL95</f>
        <v>0.62482112657733835</v>
      </c>
      <c r="AN95" s="22">
        <f>+AH95/AL95</f>
        <v>0.8653701053727072</v>
      </c>
      <c r="AO95" s="22">
        <f>+(2+9+20)/(1+3+5)</f>
        <v>3.4444444444444446</v>
      </c>
      <c r="AP95" s="22">
        <f>+(5*48337+38639*6+9*28998+19335*1)/21*(AH95)</f>
        <v>11939505.846666668</v>
      </c>
      <c r="AQ95" s="23">
        <v>171604.29</v>
      </c>
      <c r="AR95" s="22" t="s">
        <v>57</v>
      </c>
      <c r="AS95" s="23" t="s">
        <v>518</v>
      </c>
      <c r="AT95" s="44">
        <v>45119</v>
      </c>
      <c r="AU95" s="24"/>
      <c r="AV95" s="45">
        <v>45113</v>
      </c>
      <c r="AW95" s="13"/>
      <c r="AX95" s="13"/>
      <c r="AY95" s="13"/>
      <c r="AZ95" s="13"/>
      <c r="BA95" s="13"/>
      <c r="BB95" s="13"/>
      <c r="BC95" s="13"/>
      <c r="BD95" s="13"/>
      <c r="BE95" s="13"/>
      <c r="BF95" s="13"/>
      <c r="BG95" s="13"/>
      <c r="BH95" s="14"/>
      <c r="BI95" s="14"/>
      <c r="BJ95" s="14"/>
      <c r="BK95" s="14"/>
      <c r="BL95" s="14"/>
      <c r="BM95" s="14"/>
      <c r="BN95" s="14"/>
      <c r="BO95" s="14"/>
      <c r="BP95" s="14"/>
      <c r="BQ95" s="14"/>
      <c r="BR95" s="14"/>
      <c r="BS95" s="14"/>
      <c r="BT95" s="14"/>
      <c r="BU95" s="14"/>
      <c r="BV95" s="14"/>
      <c r="BW95" s="14"/>
      <c r="IQ95" s="14"/>
      <c r="IR95" s="14"/>
      <c r="IS95" s="14"/>
      <c r="IT95" s="14"/>
      <c r="IU95" s="14"/>
      <c r="IV95" s="14"/>
      <c r="IW95" s="14"/>
    </row>
    <row r="96" spans="2:257" s="25" customFormat="1" ht="51">
      <c r="B96" s="73">
        <v>92</v>
      </c>
      <c r="C96" s="90" t="s">
        <v>519</v>
      </c>
      <c r="D96" s="35">
        <v>45076</v>
      </c>
      <c r="E96" s="82" t="s">
        <v>117</v>
      </c>
      <c r="F96" s="30">
        <v>60808</v>
      </c>
      <c r="G96" s="30">
        <v>168796</v>
      </c>
      <c r="H96" s="30">
        <v>34030</v>
      </c>
      <c r="I96" s="31">
        <v>327</v>
      </c>
      <c r="J96" s="31"/>
      <c r="K96" s="31">
        <v>4</v>
      </c>
      <c r="L96" s="31">
        <v>8</v>
      </c>
      <c r="M96" s="31" t="s">
        <v>66</v>
      </c>
      <c r="N96" s="31" t="s">
        <v>520</v>
      </c>
      <c r="O96" s="31" t="s">
        <v>521</v>
      </c>
      <c r="P96" s="31"/>
      <c r="Q96" s="31" t="s">
        <v>428</v>
      </c>
      <c r="R96" s="31" t="s">
        <v>428</v>
      </c>
      <c r="S96" s="31" t="s">
        <v>428</v>
      </c>
      <c r="T96" s="31" t="s">
        <v>522</v>
      </c>
      <c r="U96" s="31"/>
      <c r="V96" s="31">
        <v>1</v>
      </c>
      <c r="W96" s="31">
        <v>1</v>
      </c>
      <c r="X96" s="31"/>
      <c r="Y96" s="16" t="s">
        <v>71</v>
      </c>
      <c r="Z96" s="32"/>
      <c r="AA96" s="32">
        <v>1</v>
      </c>
      <c r="AB96" s="32"/>
      <c r="AC96" s="32">
        <v>1</v>
      </c>
      <c r="AD96" s="32"/>
      <c r="AE96" s="32">
        <f>+AA96*2</f>
        <v>2</v>
      </c>
      <c r="AF96" s="31"/>
      <c r="AG96" s="31">
        <v>27</v>
      </c>
      <c r="AH96" s="31"/>
      <c r="AI96" s="31">
        <f>13.52/2+4.41</f>
        <v>11.17</v>
      </c>
      <c r="AJ96" s="31">
        <f>36.8</f>
        <v>36.799999999999997</v>
      </c>
      <c r="AK96" s="33"/>
      <c r="AL96" s="33">
        <v>374.5</v>
      </c>
      <c r="AM96" s="33">
        <f>+(27+4.41+13.52)/AL96</f>
        <v>0.11997329773030707</v>
      </c>
      <c r="AN96" s="33">
        <f>+(AG96+AI96+AJ96)/AL96</f>
        <v>0.20018691588785045</v>
      </c>
      <c r="AO96" s="33"/>
      <c r="AP96" s="33">
        <f>+((5*38639+5*28998+9*19335)/20*AJ96)+(AI96*38659)</f>
        <v>1374269.0299999998</v>
      </c>
      <c r="AQ96" s="34">
        <v>13584.91</v>
      </c>
      <c r="AR96" s="22" t="s">
        <v>57</v>
      </c>
      <c r="AS96" s="34" t="s">
        <v>523</v>
      </c>
      <c r="AT96" s="35">
        <v>45119</v>
      </c>
      <c r="AU96" s="36"/>
      <c r="AV96" s="37" t="s">
        <v>524</v>
      </c>
      <c r="AW96" s="38"/>
      <c r="AX96" s="38"/>
      <c r="AY96" s="38"/>
      <c r="AZ96" s="38"/>
      <c r="BA96" s="38"/>
      <c r="BB96" s="38"/>
      <c r="BC96" s="38"/>
      <c r="BD96" s="38"/>
      <c r="BE96" s="38"/>
      <c r="BF96" s="38"/>
      <c r="BG96" s="38"/>
      <c r="BH96" s="39"/>
      <c r="BI96" s="39"/>
      <c r="BJ96" s="39"/>
      <c r="BK96" s="39"/>
      <c r="BL96" s="39"/>
      <c r="BM96" s="39"/>
      <c r="BN96" s="39"/>
      <c r="BO96" s="39"/>
      <c r="BP96" s="39"/>
      <c r="BQ96" s="39"/>
      <c r="BR96" s="39"/>
      <c r="BS96" s="39"/>
      <c r="BT96" s="39"/>
      <c r="BU96" s="39"/>
      <c r="BV96" s="39"/>
      <c r="BW96" s="39"/>
      <c r="IQ96" s="39"/>
      <c r="IR96" s="39"/>
      <c r="IS96" s="39"/>
      <c r="IT96" s="39"/>
      <c r="IU96" s="39"/>
      <c r="IV96" s="39"/>
      <c r="IW96" s="39"/>
    </row>
    <row r="97" spans="2:257" s="2" customFormat="1" ht="63.75">
      <c r="B97" s="49">
        <v>93</v>
      </c>
      <c r="C97" s="41" t="s">
        <v>525</v>
      </c>
      <c r="D97" s="42">
        <v>45079</v>
      </c>
      <c r="E97" s="43" t="s">
        <v>46</v>
      </c>
      <c r="F97" s="15">
        <v>36548</v>
      </c>
      <c r="G97" s="15">
        <v>136015</v>
      </c>
      <c r="H97" s="15">
        <v>7701</v>
      </c>
      <c r="I97" s="16"/>
      <c r="J97" s="16"/>
      <c r="K97" s="16">
        <v>757</v>
      </c>
      <c r="L97" s="16">
        <v>18</v>
      </c>
      <c r="M97" s="16" t="s">
        <v>96</v>
      </c>
      <c r="N97" s="16" t="s">
        <v>526</v>
      </c>
      <c r="O97" s="72" t="s">
        <v>527</v>
      </c>
      <c r="P97" s="16"/>
      <c r="Q97" s="16" t="s">
        <v>506</v>
      </c>
      <c r="R97" s="16"/>
      <c r="S97" s="16"/>
      <c r="T97" s="16"/>
      <c r="U97" s="16">
        <v>2</v>
      </c>
      <c r="V97" s="17"/>
      <c r="W97" s="16"/>
      <c r="X97" s="16"/>
      <c r="Y97" s="16" t="s">
        <v>44</v>
      </c>
      <c r="Z97" s="18">
        <f>1+1</f>
        <v>2</v>
      </c>
      <c r="AA97" s="19"/>
      <c r="AB97" s="20">
        <f>1+1+Z97</f>
        <v>4</v>
      </c>
      <c r="AC97" s="19"/>
      <c r="AD97" s="20">
        <f>+Z97*2</f>
        <v>4</v>
      </c>
      <c r="AE97" s="19"/>
      <c r="AF97" s="16"/>
      <c r="AG97" s="16"/>
      <c r="AH97" s="16">
        <f>31.38+28.78/2+31.38+7.32/2</f>
        <v>80.809999999999988</v>
      </c>
      <c r="AI97" s="16"/>
      <c r="AJ97" s="17"/>
      <c r="AK97" s="21"/>
      <c r="AL97" s="22">
        <v>216.92</v>
      </c>
      <c r="AM97" s="22">
        <f>+(31.38+28.78)/AL97</f>
        <v>0.27733726719527935</v>
      </c>
      <c r="AN97" s="22">
        <f>+AH97/AL97</f>
        <v>0.37253365295961643</v>
      </c>
      <c r="AO97" s="22"/>
      <c r="AP97" s="22">
        <f>+(4*38639+11*28998+5*19335)/20*AH97</f>
        <v>2303929.4644999998</v>
      </c>
      <c r="AQ97" s="23">
        <v>38026.53</v>
      </c>
      <c r="AR97" s="22" t="s">
        <v>57</v>
      </c>
      <c r="AS97" s="23" t="s">
        <v>528</v>
      </c>
      <c r="AT97" s="44">
        <v>45121</v>
      </c>
      <c r="AU97" s="24"/>
      <c r="AV97" s="45">
        <v>45120</v>
      </c>
      <c r="AW97" s="13"/>
      <c r="AX97" s="13"/>
      <c r="AY97" s="13"/>
      <c r="AZ97" s="13"/>
      <c r="BA97" s="13"/>
      <c r="BB97" s="13"/>
      <c r="BC97" s="13"/>
      <c r="BD97" s="13"/>
      <c r="BE97" s="13"/>
      <c r="BF97" s="13"/>
      <c r="BG97" s="13"/>
      <c r="BH97" s="14"/>
      <c r="BI97" s="14"/>
      <c r="BJ97" s="14"/>
      <c r="BK97" s="14"/>
      <c r="BL97" s="14"/>
      <c r="BM97" s="14"/>
      <c r="BN97" s="14"/>
      <c r="BO97" s="14"/>
      <c r="BP97" s="14"/>
      <c r="BQ97" s="14"/>
      <c r="BR97" s="14"/>
      <c r="BS97" s="14"/>
      <c r="BT97" s="14"/>
      <c r="BU97" s="14"/>
      <c r="BV97" s="14"/>
      <c r="BW97" s="14"/>
      <c r="IQ97" s="14"/>
      <c r="IR97" s="14"/>
      <c r="IS97" s="14"/>
      <c r="IT97" s="14"/>
      <c r="IU97" s="14"/>
      <c r="IV97" s="14"/>
      <c r="IW97" s="14"/>
    </row>
    <row r="98" spans="2:257" s="25" customFormat="1" ht="63.75">
      <c r="B98" s="49">
        <v>94</v>
      </c>
      <c r="C98" s="91" t="s">
        <v>529</v>
      </c>
      <c r="D98" s="47">
        <v>45090</v>
      </c>
      <c r="E98" s="92" t="s">
        <v>46</v>
      </c>
      <c r="F98" s="30">
        <v>36776</v>
      </c>
      <c r="G98" s="30">
        <v>136193</v>
      </c>
      <c r="H98" s="30">
        <v>31431</v>
      </c>
      <c r="I98" s="31">
        <v>310</v>
      </c>
      <c r="J98" s="31"/>
      <c r="K98" s="31">
        <v>4</v>
      </c>
      <c r="L98" s="31">
        <v>1</v>
      </c>
      <c r="M98" s="31" t="s">
        <v>37</v>
      </c>
      <c r="N98" s="31" t="s">
        <v>530</v>
      </c>
      <c r="O98" s="31" t="s">
        <v>531</v>
      </c>
      <c r="P98" s="31"/>
      <c r="Q98" s="31" t="s">
        <v>377</v>
      </c>
      <c r="R98" s="31"/>
      <c r="S98" s="31"/>
      <c r="T98" s="31"/>
      <c r="U98" s="31">
        <v>1</v>
      </c>
      <c r="V98" s="31"/>
      <c r="W98" s="31"/>
      <c r="X98" s="31"/>
      <c r="Y98" s="31" t="s">
        <v>71</v>
      </c>
      <c r="Z98" s="32">
        <v>2</v>
      </c>
      <c r="AA98" s="32"/>
      <c r="AB98" s="32">
        <f>+Z98+1</f>
        <v>3</v>
      </c>
      <c r="AC98" s="32"/>
      <c r="AD98" s="32">
        <f>+Z98*2</f>
        <v>4</v>
      </c>
      <c r="AE98" s="32"/>
      <c r="AF98" s="31"/>
      <c r="AG98" s="31"/>
      <c r="AH98" s="31">
        <f>106.6+60.64/2</f>
        <v>136.91999999999999</v>
      </c>
      <c r="AI98" s="31"/>
      <c r="AJ98" s="31"/>
      <c r="AK98" s="33"/>
      <c r="AL98" s="33">
        <v>2000</v>
      </c>
      <c r="AM98" s="33">
        <f>+(106.6+60.64)/AL98</f>
        <v>8.362E-2</v>
      </c>
      <c r="AN98" s="33">
        <f>+AH98/AL98</f>
        <v>6.8459999999999993E-2</v>
      </c>
      <c r="AO98" s="33"/>
      <c r="AP98" s="33">
        <f>+(1*48337+4*38659+6*28998+9*19335)/20*AH98</f>
        <v>3771981.6959999995</v>
      </c>
      <c r="AQ98" s="34">
        <v>71652.679999999993</v>
      </c>
      <c r="AR98" s="33" t="s">
        <v>57</v>
      </c>
      <c r="AS98" s="34" t="s">
        <v>532</v>
      </c>
      <c r="AT98" s="35">
        <v>45124</v>
      </c>
      <c r="AU98" s="36"/>
      <c r="AV98" s="37">
        <v>45110</v>
      </c>
      <c r="AW98" s="38"/>
      <c r="AX98" s="38"/>
      <c r="AY98" s="38"/>
      <c r="AZ98" s="38"/>
      <c r="BA98" s="38"/>
      <c r="BB98" s="38"/>
      <c r="BC98" s="38"/>
      <c r="BD98" s="38"/>
      <c r="BE98" s="38"/>
      <c r="BF98" s="38"/>
      <c r="BG98" s="38"/>
      <c r="BH98" s="39"/>
      <c r="BI98" s="39"/>
      <c r="BJ98" s="39"/>
      <c r="BK98" s="39"/>
      <c r="BL98" s="39"/>
      <c r="BM98" s="39"/>
      <c r="BN98" s="39"/>
      <c r="BO98" s="39"/>
      <c r="BP98" s="39"/>
      <c r="BQ98" s="39"/>
      <c r="BR98" s="39"/>
      <c r="BS98" s="39"/>
      <c r="BT98" s="39"/>
      <c r="BU98" s="39"/>
      <c r="BV98" s="39"/>
      <c r="BW98" s="39"/>
      <c r="IQ98" s="39"/>
      <c r="IR98" s="39"/>
      <c r="IS98" s="39"/>
      <c r="IT98" s="39"/>
      <c r="IU98" s="39"/>
      <c r="IV98" s="39"/>
      <c r="IW98" s="39"/>
    </row>
    <row r="99" spans="2:257" s="2" customFormat="1" ht="51">
      <c r="B99" s="49">
        <v>95</v>
      </c>
      <c r="C99" s="41" t="s">
        <v>533</v>
      </c>
      <c r="D99" s="42">
        <v>45053</v>
      </c>
      <c r="E99" s="43" t="s">
        <v>46</v>
      </c>
      <c r="F99" s="15">
        <v>56038</v>
      </c>
      <c r="G99" s="15">
        <v>165051</v>
      </c>
      <c r="H99" s="15">
        <v>33564</v>
      </c>
      <c r="I99" s="16">
        <v>308</v>
      </c>
      <c r="J99" s="16"/>
      <c r="K99" s="16"/>
      <c r="L99" s="16">
        <v>20</v>
      </c>
      <c r="M99" s="16" t="s">
        <v>431</v>
      </c>
      <c r="N99" s="16" t="s">
        <v>89</v>
      </c>
      <c r="O99" s="72" t="s">
        <v>534</v>
      </c>
      <c r="P99" s="16"/>
      <c r="Q99" s="16" t="s">
        <v>535</v>
      </c>
      <c r="R99" s="16"/>
      <c r="S99" s="16"/>
      <c r="T99" s="16"/>
      <c r="U99" s="16"/>
      <c r="V99" s="17">
        <v>1</v>
      </c>
      <c r="W99" s="16"/>
      <c r="X99" s="16"/>
      <c r="Y99" s="16" t="s">
        <v>71</v>
      </c>
      <c r="Z99" s="18"/>
      <c r="AA99" s="19">
        <v>3</v>
      </c>
      <c r="AB99" s="20"/>
      <c r="AC99" s="19">
        <f>+AA99+1</f>
        <v>4</v>
      </c>
      <c r="AD99" s="20"/>
      <c r="AE99" s="19">
        <f>+AA99*2</f>
        <v>6</v>
      </c>
      <c r="AF99" s="16"/>
      <c r="AG99" s="16"/>
      <c r="AH99" s="16"/>
      <c r="AI99" s="16"/>
      <c r="AJ99" s="17">
        <v>124.374</v>
      </c>
      <c r="AK99" s="21"/>
      <c r="AL99" s="22">
        <v>6775</v>
      </c>
      <c r="AM99" s="22">
        <f>+AJ99/AL99</f>
        <v>1.8357785977859777E-2</v>
      </c>
      <c r="AN99" s="22">
        <f>+AM99</f>
        <v>1.8357785977859777E-2</v>
      </c>
      <c r="AO99" s="22"/>
      <c r="AP99" s="22">
        <f>+(8*48337+5*38639+28998*4+4*19335)/21*AJ99</f>
        <v>4579468.447714285</v>
      </c>
      <c r="AQ99" s="23">
        <v>69724.759999999995</v>
      </c>
      <c r="AR99" s="22" t="s">
        <v>57</v>
      </c>
      <c r="AS99" s="23" t="s">
        <v>536</v>
      </c>
      <c r="AT99" s="44">
        <v>45132</v>
      </c>
      <c r="AU99" s="24"/>
      <c r="AV99" s="45">
        <v>45125</v>
      </c>
      <c r="AW99" s="13"/>
      <c r="AX99" s="13"/>
      <c r="AY99" s="13"/>
      <c r="AZ99" s="13"/>
      <c r="BA99" s="13"/>
      <c r="BB99" s="13"/>
      <c r="BC99" s="13"/>
      <c r="BD99" s="13"/>
      <c r="BE99" s="13"/>
      <c r="BF99" s="13"/>
      <c r="BG99" s="13"/>
      <c r="BH99" s="14"/>
      <c r="BI99" s="14"/>
      <c r="BJ99" s="14"/>
      <c r="BK99" s="14"/>
      <c r="BL99" s="14"/>
      <c r="BM99" s="14"/>
      <c r="BN99" s="14"/>
      <c r="BO99" s="14"/>
      <c r="BP99" s="14"/>
      <c r="BQ99" s="14"/>
      <c r="BR99" s="14"/>
      <c r="BS99" s="14"/>
      <c r="BT99" s="14"/>
      <c r="BU99" s="14"/>
      <c r="BV99" s="14"/>
      <c r="BW99" s="14"/>
      <c r="IQ99" s="14"/>
      <c r="IR99" s="14"/>
      <c r="IS99" s="14"/>
      <c r="IT99" s="14"/>
      <c r="IU99" s="14"/>
      <c r="IV99" s="14"/>
      <c r="IW99" s="14"/>
    </row>
    <row r="100" spans="2:257" s="2" customFormat="1" ht="38.25">
      <c r="B100" s="49">
        <v>96</v>
      </c>
      <c r="C100" s="41" t="s">
        <v>537</v>
      </c>
      <c r="D100" s="42">
        <v>45055</v>
      </c>
      <c r="E100" s="43" t="s">
        <v>310</v>
      </c>
      <c r="F100" s="15"/>
      <c r="G100" s="15"/>
      <c r="H100" s="15">
        <v>31201</v>
      </c>
      <c r="I100" s="16">
        <v>3</v>
      </c>
      <c r="J100" s="16"/>
      <c r="K100" s="16"/>
      <c r="L100" s="16">
        <v>34</v>
      </c>
      <c r="M100" s="16" t="s">
        <v>538</v>
      </c>
      <c r="N100" s="16" t="s">
        <v>539</v>
      </c>
      <c r="O100" s="72" t="s">
        <v>540</v>
      </c>
      <c r="P100" s="16"/>
      <c r="Q100" s="16" t="s">
        <v>541</v>
      </c>
      <c r="R100" s="16"/>
      <c r="S100" s="16"/>
      <c r="T100" s="16"/>
      <c r="U100" s="16">
        <v>1</v>
      </c>
      <c r="V100" s="17"/>
      <c r="W100" s="16"/>
      <c r="X100" s="16"/>
      <c r="Y100" s="16" t="s">
        <v>542</v>
      </c>
      <c r="Z100" s="18"/>
      <c r="AA100" s="19"/>
      <c r="AB100" s="20"/>
      <c r="AC100" s="19"/>
      <c r="AD100" s="20"/>
      <c r="AE100" s="19"/>
      <c r="AF100" s="16">
        <v>1544.13</v>
      </c>
      <c r="AG100" s="16"/>
      <c r="AH100" s="16">
        <f>75.95/2+488.02+57.04/2</f>
        <v>554.51499999999999</v>
      </c>
      <c r="AI100" s="16"/>
      <c r="AJ100" s="17"/>
      <c r="AK100" s="21"/>
      <c r="AL100" s="22">
        <v>10000</v>
      </c>
      <c r="AM100" s="22">
        <v>0.14000000000000001</v>
      </c>
      <c r="AN100" s="22">
        <f>+(AF100+AH100)/AL100</f>
        <v>0.20986450000000001</v>
      </c>
      <c r="AO100" s="22"/>
      <c r="AP100" s="22">
        <f>+AH100*38639</f>
        <v>21425905.085000001</v>
      </c>
      <c r="AQ100" s="23">
        <v>401519.26</v>
      </c>
      <c r="AR100" s="22" t="s">
        <v>77</v>
      </c>
      <c r="AS100" s="23" t="s">
        <v>543</v>
      </c>
      <c r="AT100" s="44">
        <v>45132</v>
      </c>
      <c r="AU100" s="24"/>
      <c r="AV100" s="45">
        <v>45100</v>
      </c>
      <c r="AW100" s="13"/>
      <c r="AX100" s="13"/>
      <c r="AY100" s="13"/>
      <c r="AZ100" s="13"/>
      <c r="BA100" s="13"/>
      <c r="BB100" s="13"/>
      <c r="BC100" s="13"/>
      <c r="BD100" s="13"/>
      <c r="BE100" s="13"/>
      <c r="BF100" s="13"/>
      <c r="BG100" s="13"/>
      <c r="BH100" s="14"/>
      <c r="BI100" s="14"/>
      <c r="BJ100" s="14"/>
      <c r="BK100" s="14"/>
      <c r="BL100" s="14"/>
      <c r="BM100" s="14"/>
      <c r="BN100" s="14"/>
      <c r="BO100" s="14"/>
      <c r="BP100" s="14"/>
      <c r="BQ100" s="14"/>
      <c r="BR100" s="14"/>
      <c r="BS100" s="14"/>
      <c r="BT100" s="14"/>
      <c r="BU100" s="14"/>
      <c r="BV100" s="14"/>
      <c r="BW100" s="14"/>
      <c r="IQ100" s="14"/>
      <c r="IR100" s="14"/>
      <c r="IS100" s="14"/>
      <c r="IT100" s="14"/>
      <c r="IU100" s="14"/>
      <c r="IV100" s="14"/>
      <c r="IW100" s="14"/>
    </row>
    <row r="101" spans="2:257" s="2" customFormat="1" ht="63.75">
      <c r="B101" s="49">
        <v>97</v>
      </c>
      <c r="C101" s="41" t="s">
        <v>544</v>
      </c>
      <c r="D101" s="42">
        <v>45098</v>
      </c>
      <c r="E101" s="43" t="s">
        <v>46</v>
      </c>
      <c r="F101" s="15">
        <v>42034</v>
      </c>
      <c r="G101" s="15">
        <v>140302</v>
      </c>
      <c r="H101" s="15">
        <v>20641</v>
      </c>
      <c r="I101" s="16">
        <v>36</v>
      </c>
      <c r="J101" s="16"/>
      <c r="K101" s="16">
        <v>356</v>
      </c>
      <c r="L101" s="16">
        <v>12</v>
      </c>
      <c r="M101" s="16" t="s">
        <v>96</v>
      </c>
      <c r="N101" s="16" t="s">
        <v>545</v>
      </c>
      <c r="O101" s="72" t="s">
        <v>546</v>
      </c>
      <c r="P101" s="16"/>
      <c r="Q101" s="16" t="s">
        <v>547</v>
      </c>
      <c r="R101" s="16"/>
      <c r="S101" s="16"/>
      <c r="T101" s="16"/>
      <c r="U101" s="16">
        <v>1</v>
      </c>
      <c r="V101" s="17"/>
      <c r="W101" s="16"/>
      <c r="X101" s="16"/>
      <c r="Y101" s="16" t="s">
        <v>71</v>
      </c>
      <c r="Z101" s="18">
        <v>1</v>
      </c>
      <c r="AA101" s="19"/>
      <c r="AB101" s="20">
        <f>+Z101+1</f>
        <v>2</v>
      </c>
      <c r="AC101" s="19"/>
      <c r="AD101" s="20">
        <f>+Z101*2</f>
        <v>2</v>
      </c>
      <c r="AE101" s="19"/>
      <c r="AF101" s="16"/>
      <c r="AG101" s="16"/>
      <c r="AH101" s="16">
        <f>145.08+63/2</f>
        <v>176.58</v>
      </c>
      <c r="AI101" s="16"/>
      <c r="AJ101" s="17"/>
      <c r="AK101" s="21"/>
      <c r="AL101" s="22">
        <v>789</v>
      </c>
      <c r="AM101" s="22">
        <f>+(145.08+58.1)/AL101</f>
        <v>0.25751584283903678</v>
      </c>
      <c r="AN101" s="22">
        <f>+AH101/AL101</f>
        <v>0.2238022813688213</v>
      </c>
      <c r="AO101" s="22">
        <f>+(4+15)/(4+5)</f>
        <v>2.1111111111111112</v>
      </c>
      <c r="AP101" s="22">
        <f>1020329.47+((10*48337+7*38639+28998*4+1*19335)/22*AH101)</f>
        <v>8157131.2245454555</v>
      </c>
      <c r="AQ101" s="23">
        <v>130051.45</v>
      </c>
      <c r="AR101" s="22" t="s">
        <v>57</v>
      </c>
      <c r="AS101" s="23" t="s">
        <v>548</v>
      </c>
      <c r="AT101" s="44">
        <v>45132</v>
      </c>
      <c r="AU101" s="24"/>
      <c r="AV101" s="23"/>
      <c r="AW101" s="13"/>
      <c r="AX101" s="13"/>
      <c r="AY101" s="13"/>
      <c r="AZ101" s="13"/>
      <c r="BA101" s="13"/>
      <c r="BB101" s="13"/>
      <c r="BC101" s="13"/>
      <c r="BD101" s="13"/>
      <c r="BE101" s="13"/>
      <c r="BF101" s="13"/>
      <c r="BG101" s="13"/>
      <c r="BH101" s="14"/>
      <c r="BI101" s="14"/>
      <c r="BJ101" s="14"/>
      <c r="BK101" s="14"/>
      <c r="BL101" s="14"/>
      <c r="BM101" s="14"/>
      <c r="BN101" s="14"/>
      <c r="BO101" s="14"/>
      <c r="BP101" s="14"/>
      <c r="BQ101" s="14"/>
      <c r="BR101" s="14"/>
      <c r="BS101" s="14"/>
      <c r="BT101" s="14"/>
      <c r="BU101" s="14"/>
      <c r="BV101" s="14"/>
      <c r="BW101" s="14"/>
      <c r="IQ101" s="14"/>
      <c r="IR101" s="14"/>
      <c r="IS101" s="14"/>
      <c r="IT101" s="14"/>
      <c r="IU101" s="14"/>
      <c r="IV101" s="14"/>
      <c r="IW101" s="14"/>
    </row>
    <row r="102" spans="2:257" s="2" customFormat="1" ht="51">
      <c r="B102" s="49">
        <v>98</v>
      </c>
      <c r="C102" s="41" t="s">
        <v>549</v>
      </c>
      <c r="D102" s="42">
        <v>45079</v>
      </c>
      <c r="E102" s="43" t="s">
        <v>46</v>
      </c>
      <c r="F102" s="15">
        <v>35796</v>
      </c>
      <c r="G102" s="15">
        <v>135357</v>
      </c>
      <c r="H102" s="15">
        <v>7502</v>
      </c>
      <c r="I102" s="16"/>
      <c r="J102" s="16"/>
      <c r="K102" s="16">
        <v>686</v>
      </c>
      <c r="L102" s="16">
        <v>13</v>
      </c>
      <c r="M102" s="16" t="s">
        <v>88</v>
      </c>
      <c r="N102" s="16" t="s">
        <v>550</v>
      </c>
      <c r="O102" s="72" t="s">
        <v>551</v>
      </c>
      <c r="P102" s="16"/>
      <c r="Q102" s="16" t="s">
        <v>113</v>
      </c>
      <c r="R102" s="16"/>
      <c r="S102" s="16"/>
      <c r="T102" s="16"/>
      <c r="U102" s="16">
        <v>1</v>
      </c>
      <c r="V102" s="17"/>
      <c r="W102" s="16"/>
      <c r="X102" s="16"/>
      <c r="Y102" s="16" t="s">
        <v>552</v>
      </c>
      <c r="Z102" s="18">
        <v>13</v>
      </c>
      <c r="AA102" s="19"/>
      <c r="AB102" s="20">
        <f>+Z102+1+11</f>
        <v>25</v>
      </c>
      <c r="AC102" s="19"/>
      <c r="AD102" s="20">
        <f>+Z102*2</f>
        <v>26</v>
      </c>
      <c r="AE102" s="19"/>
      <c r="AF102" s="16">
        <f>429.78+54.1/2</f>
        <v>456.83</v>
      </c>
      <c r="AG102" s="16"/>
      <c r="AH102" s="16">
        <f>315.33+38.39/2+347.39+15.71/2-AF102</f>
        <v>232.94</v>
      </c>
      <c r="AI102" s="16"/>
      <c r="AJ102" s="17"/>
      <c r="AK102" s="21"/>
      <c r="AL102" s="22">
        <v>795.56</v>
      </c>
      <c r="AM102" s="22">
        <f>+(315.33+38.39)/AL102</f>
        <v>0.44461762783448139</v>
      </c>
      <c r="AN102" s="22">
        <f>+(AF102+AH102)/AL102</f>
        <v>0.86702448589672687</v>
      </c>
      <c r="AO102" s="22"/>
      <c r="AP102" s="22">
        <f>+AH102*38639</f>
        <v>9000568.6600000001</v>
      </c>
      <c r="AQ102" s="23">
        <v>8143</v>
      </c>
      <c r="AR102" s="22" t="s">
        <v>115</v>
      </c>
      <c r="AS102" s="23" t="s">
        <v>553</v>
      </c>
      <c r="AT102" s="44">
        <v>45133</v>
      </c>
      <c r="AU102" s="24"/>
      <c r="AV102" s="45">
        <v>45125</v>
      </c>
      <c r="AW102" s="13"/>
      <c r="AX102" s="13"/>
      <c r="AY102" s="13"/>
      <c r="AZ102" s="13"/>
      <c r="BA102" s="13"/>
      <c r="BB102" s="13"/>
      <c r="BC102" s="13"/>
      <c r="BD102" s="13"/>
      <c r="BE102" s="13"/>
      <c r="BF102" s="13"/>
      <c r="BG102" s="13"/>
      <c r="BH102" s="14"/>
      <c r="BI102" s="14"/>
      <c r="BJ102" s="14"/>
      <c r="BK102" s="14"/>
      <c r="BL102" s="14"/>
      <c r="BM102" s="14"/>
      <c r="BN102" s="14"/>
      <c r="BO102" s="14"/>
      <c r="BP102" s="14"/>
      <c r="BQ102" s="14"/>
      <c r="BR102" s="14"/>
      <c r="BS102" s="14"/>
      <c r="BT102" s="14"/>
      <c r="BU102" s="14"/>
      <c r="BV102" s="14"/>
      <c r="BW102" s="14"/>
      <c r="IQ102" s="14"/>
      <c r="IR102" s="14"/>
      <c r="IS102" s="14"/>
      <c r="IT102" s="14"/>
      <c r="IU102" s="14"/>
      <c r="IV102" s="14"/>
      <c r="IW102" s="14"/>
    </row>
    <row r="103" spans="2:257" s="2" customFormat="1" ht="63.75">
      <c r="B103" s="49">
        <v>99</v>
      </c>
      <c r="C103" s="41">
        <v>553659</v>
      </c>
      <c r="D103" s="42">
        <v>45093</v>
      </c>
      <c r="E103" s="43" t="s">
        <v>65</v>
      </c>
      <c r="F103" s="15">
        <v>43786</v>
      </c>
      <c r="G103" s="15">
        <v>148994</v>
      </c>
      <c r="H103" s="15">
        <v>20834</v>
      </c>
      <c r="I103" s="16">
        <v>34</v>
      </c>
      <c r="J103" s="16"/>
      <c r="K103" s="16">
        <v>352</v>
      </c>
      <c r="L103" s="16">
        <v>11</v>
      </c>
      <c r="M103" s="16" t="s">
        <v>96</v>
      </c>
      <c r="N103" s="16" t="s">
        <v>554</v>
      </c>
      <c r="O103" s="72" t="s">
        <v>555</v>
      </c>
      <c r="P103" s="16"/>
      <c r="Q103" s="16" t="s">
        <v>556</v>
      </c>
      <c r="R103" s="16" t="s">
        <v>556</v>
      </c>
      <c r="S103" s="16" t="s">
        <v>556</v>
      </c>
      <c r="T103" s="16" t="s">
        <v>70</v>
      </c>
      <c r="U103" s="16"/>
      <c r="V103" s="17">
        <v>1</v>
      </c>
      <c r="W103" s="16"/>
      <c r="X103" s="16"/>
      <c r="Y103" s="16" t="s">
        <v>71</v>
      </c>
      <c r="Z103" s="18"/>
      <c r="AA103" s="19">
        <v>3</v>
      </c>
      <c r="AB103" s="20"/>
      <c r="AC103" s="19">
        <f>+AA103+1</f>
        <v>4</v>
      </c>
      <c r="AD103" s="20"/>
      <c r="AE103" s="19">
        <f>+AA103*2</f>
        <v>6</v>
      </c>
      <c r="AF103" s="16"/>
      <c r="AG103" s="16"/>
      <c r="AH103" s="16"/>
      <c r="AI103" s="16"/>
      <c r="AJ103" s="17">
        <f>146.22+25.48/2</f>
        <v>158.96</v>
      </c>
      <c r="AK103" s="21"/>
      <c r="AL103" s="22">
        <v>300</v>
      </c>
      <c r="AM103" s="22">
        <f>+(146.22+26.48)/AL103</f>
        <v>0.57566666666666666</v>
      </c>
      <c r="AN103" s="22">
        <f>+AJ103/AL103</f>
        <v>0.52986666666666671</v>
      </c>
      <c r="AO103" s="22"/>
      <c r="AP103" s="22">
        <f>+(8*48337+5*38639+5*28998+19335*4)/22*AJ103</f>
        <v>5796411.370909092</v>
      </c>
      <c r="AQ103" s="23">
        <v>22709.02</v>
      </c>
      <c r="AR103" s="22" t="s">
        <v>57</v>
      </c>
      <c r="AS103" s="23" t="s">
        <v>557</v>
      </c>
      <c r="AT103" s="44">
        <v>45133</v>
      </c>
      <c r="AU103" s="24"/>
      <c r="AV103" s="45" t="s">
        <v>558</v>
      </c>
      <c r="AW103" s="13"/>
      <c r="AX103" s="13"/>
      <c r="AY103" s="13"/>
      <c r="AZ103" s="13"/>
      <c r="BA103" s="13"/>
      <c r="BB103" s="13"/>
      <c r="BC103" s="13"/>
      <c r="BD103" s="13"/>
      <c r="BE103" s="13"/>
      <c r="BF103" s="13"/>
      <c r="BG103" s="13"/>
      <c r="BH103" s="14"/>
      <c r="BI103" s="14"/>
      <c r="BJ103" s="14"/>
      <c r="BK103" s="14"/>
      <c r="BL103" s="14"/>
      <c r="BM103" s="14"/>
      <c r="BN103" s="14"/>
      <c r="BO103" s="14"/>
      <c r="BP103" s="14"/>
      <c r="BQ103" s="14"/>
      <c r="BR103" s="14"/>
      <c r="BS103" s="14"/>
      <c r="BT103" s="14"/>
      <c r="BU103" s="14"/>
      <c r="BV103" s="14"/>
      <c r="BW103" s="14"/>
      <c r="IQ103" s="14"/>
      <c r="IR103" s="14"/>
      <c r="IS103" s="14"/>
      <c r="IT103" s="14"/>
      <c r="IU103" s="14"/>
      <c r="IV103" s="14"/>
      <c r="IW103" s="14"/>
    </row>
    <row r="104" spans="2:257" s="2" customFormat="1" ht="38.25">
      <c r="B104" s="49">
        <v>100</v>
      </c>
      <c r="C104" s="41" t="s">
        <v>537</v>
      </c>
      <c r="D104" s="42">
        <v>45036</v>
      </c>
      <c r="E104" s="43" t="s">
        <v>65</v>
      </c>
      <c r="F104" s="15">
        <v>11192</v>
      </c>
      <c r="G104" s="15">
        <v>1200</v>
      </c>
      <c r="H104" s="15">
        <v>4836</v>
      </c>
      <c r="I104" s="16"/>
      <c r="J104" s="16"/>
      <c r="K104" s="16">
        <v>28</v>
      </c>
      <c r="L104" s="16">
        <v>14</v>
      </c>
      <c r="M104" s="16" t="s">
        <v>96</v>
      </c>
      <c r="N104" s="16" t="s">
        <v>253</v>
      </c>
      <c r="O104" s="16" t="s">
        <v>254</v>
      </c>
      <c r="P104" s="16"/>
      <c r="Q104" s="16" t="s">
        <v>226</v>
      </c>
      <c r="R104" s="16" t="s">
        <v>226</v>
      </c>
      <c r="S104" s="16" t="s">
        <v>226</v>
      </c>
      <c r="T104" s="16" t="s">
        <v>70</v>
      </c>
      <c r="U104" s="16"/>
      <c r="V104" s="17">
        <v>6</v>
      </c>
      <c r="W104" s="16"/>
      <c r="X104" s="16"/>
      <c r="Y104" s="16" t="s">
        <v>44</v>
      </c>
      <c r="Z104" s="18"/>
      <c r="AA104" s="19">
        <f>1+1+1+2+2+2</f>
        <v>9</v>
      </c>
      <c r="AB104" s="20"/>
      <c r="AC104" s="19">
        <f>+AA104+6</f>
        <v>15</v>
      </c>
      <c r="AD104" s="20"/>
      <c r="AE104" s="19">
        <f>+AA104*2</f>
        <v>18</v>
      </c>
      <c r="AF104" s="16"/>
      <c r="AG104" s="16"/>
      <c r="AH104" s="16"/>
      <c r="AI104" s="16"/>
      <c r="AJ104" s="17">
        <f>337.11+31.22/2+90.25</f>
        <v>442.97</v>
      </c>
      <c r="AK104" s="21"/>
      <c r="AL104" s="22">
        <v>789</v>
      </c>
      <c r="AM104" s="22">
        <f>+(337.11+31.22)/AL104</f>
        <v>0.466831432192649</v>
      </c>
      <c r="AN104" s="22">
        <f>+AJ104/AL104</f>
        <v>0.56143219264892275</v>
      </c>
      <c r="AO104" s="22">
        <f>+(4+18+8)/(2+5+2)</f>
        <v>3.3333333333333335</v>
      </c>
      <c r="AP104" s="22">
        <f>+(3*48337+5*38639+18998*7+7*19335)/22*AJ104</f>
        <v>12212622.495000001</v>
      </c>
      <c r="AQ104" s="23">
        <v>47736.6</v>
      </c>
      <c r="AR104" s="22" t="s">
        <v>57</v>
      </c>
      <c r="AS104" s="23" t="s">
        <v>559</v>
      </c>
      <c r="AT104" s="44">
        <v>45133</v>
      </c>
      <c r="AU104" s="24"/>
      <c r="AV104" s="45" t="s">
        <v>560</v>
      </c>
      <c r="AW104" s="13"/>
      <c r="AX104" s="13"/>
      <c r="AY104" s="13"/>
      <c r="AZ104" s="13"/>
      <c r="BA104" s="13"/>
      <c r="BB104" s="13"/>
      <c r="BC104" s="13"/>
      <c r="BD104" s="13"/>
      <c r="BE104" s="13"/>
      <c r="BF104" s="13"/>
      <c r="BG104" s="13"/>
      <c r="BH104" s="14"/>
      <c r="BI104" s="14"/>
      <c r="BJ104" s="14"/>
      <c r="BK104" s="14"/>
      <c r="BL104" s="14"/>
      <c r="BM104" s="14"/>
      <c r="BN104" s="14"/>
      <c r="BO104" s="14"/>
      <c r="BP104" s="14"/>
      <c r="BQ104" s="14"/>
      <c r="BR104" s="14"/>
      <c r="BS104" s="14"/>
      <c r="BT104" s="14"/>
      <c r="BU104" s="14"/>
      <c r="BV104" s="14"/>
      <c r="BW104" s="14"/>
      <c r="IQ104" s="14"/>
      <c r="IR104" s="14"/>
      <c r="IS104" s="14"/>
      <c r="IT104" s="14"/>
      <c r="IU104" s="14"/>
      <c r="IV104" s="14"/>
      <c r="IW104" s="14"/>
    </row>
    <row r="105" spans="2:257" s="2" customFormat="1" ht="51">
      <c r="B105" s="49">
        <v>104</v>
      </c>
      <c r="C105" s="41" t="s">
        <v>561</v>
      </c>
      <c r="D105" s="42">
        <v>45039</v>
      </c>
      <c r="E105" s="43" t="s">
        <v>562</v>
      </c>
      <c r="F105" s="15">
        <v>11484</v>
      </c>
      <c r="G105" s="15">
        <v>1432</v>
      </c>
      <c r="H105" s="15">
        <v>771</v>
      </c>
      <c r="I105" s="16"/>
      <c r="J105" s="16"/>
      <c r="K105" s="16">
        <v>172</v>
      </c>
      <c r="L105" s="16">
        <v>5</v>
      </c>
      <c r="M105" s="16" t="s">
        <v>40</v>
      </c>
      <c r="N105" s="16" t="s">
        <v>563</v>
      </c>
      <c r="O105" s="72" t="s">
        <v>564</v>
      </c>
      <c r="P105" s="16"/>
      <c r="Q105" s="16" t="s">
        <v>389</v>
      </c>
      <c r="R105" s="16" t="s">
        <v>389</v>
      </c>
      <c r="S105" s="16" t="s">
        <v>389</v>
      </c>
      <c r="T105" s="16" t="s">
        <v>565</v>
      </c>
      <c r="U105" s="16"/>
      <c r="V105" s="17">
        <v>3</v>
      </c>
      <c r="W105" s="16"/>
      <c r="X105" s="16">
        <v>3</v>
      </c>
      <c r="Y105" s="16" t="s">
        <v>62</v>
      </c>
      <c r="Z105" s="18"/>
      <c r="AA105" s="19"/>
      <c r="AB105" s="20"/>
      <c r="AC105" s="19"/>
      <c r="AD105" s="20"/>
      <c r="AE105" s="19"/>
      <c r="AF105" s="16">
        <v>181.9</v>
      </c>
      <c r="AG105" s="16"/>
      <c r="AH105" s="16">
        <v>151.97999999999999</v>
      </c>
      <c r="AI105" s="16"/>
      <c r="AJ105" s="17"/>
      <c r="AK105" s="21"/>
      <c r="AL105" s="22">
        <v>333.88</v>
      </c>
      <c r="AM105" s="22">
        <f>+(AF105+AH105)/AL105</f>
        <v>1</v>
      </c>
      <c r="AN105" s="22">
        <f>+(AF105+AH105)/AL105</f>
        <v>1</v>
      </c>
      <c r="AO105" s="22"/>
      <c r="AP105" s="22">
        <v>6400000</v>
      </c>
      <c r="AQ105" s="23">
        <v>95763</v>
      </c>
      <c r="AR105" s="22" t="s">
        <v>566</v>
      </c>
      <c r="AS105" s="23" t="s">
        <v>567</v>
      </c>
      <c r="AT105" s="44">
        <v>45135</v>
      </c>
      <c r="AU105" s="24"/>
      <c r="AV105" s="45"/>
      <c r="AW105" s="13"/>
      <c r="AX105" s="13"/>
      <c r="AY105" s="13"/>
      <c r="AZ105" s="13"/>
      <c r="BA105" s="13"/>
      <c r="BB105" s="13"/>
      <c r="BC105" s="13"/>
      <c r="BD105" s="13"/>
      <c r="BE105" s="13"/>
      <c r="BF105" s="13"/>
      <c r="BG105" s="13"/>
      <c r="BH105" s="14"/>
      <c r="BI105" s="14"/>
      <c r="BJ105" s="14"/>
      <c r="BK105" s="14"/>
      <c r="BL105" s="14"/>
      <c r="BM105" s="14"/>
      <c r="BN105" s="14"/>
      <c r="BO105" s="14"/>
      <c r="BP105" s="14"/>
      <c r="BQ105" s="14"/>
      <c r="BR105" s="14"/>
      <c r="BS105" s="14"/>
      <c r="BT105" s="14"/>
      <c r="BU105" s="14"/>
      <c r="BV105" s="14"/>
      <c r="BW105" s="14"/>
      <c r="IQ105" s="14"/>
      <c r="IR105" s="14"/>
      <c r="IS105" s="14"/>
      <c r="IT105" s="14"/>
      <c r="IU105" s="14"/>
      <c r="IV105" s="14"/>
      <c r="IW105" s="14"/>
    </row>
    <row r="106" spans="2:257" s="2" customFormat="1" ht="51">
      <c r="B106" s="49">
        <v>105</v>
      </c>
      <c r="C106" s="41">
        <v>549757</v>
      </c>
      <c r="D106" s="42">
        <v>44950</v>
      </c>
      <c r="E106" s="43" t="s">
        <v>65</v>
      </c>
      <c r="F106" s="15">
        <v>48088</v>
      </c>
      <c r="G106" s="15">
        <v>158655</v>
      </c>
      <c r="H106" s="15">
        <v>32457</v>
      </c>
      <c r="I106" s="16">
        <v>327</v>
      </c>
      <c r="J106" s="16"/>
      <c r="K106" s="16">
        <v>11</v>
      </c>
      <c r="L106" s="16">
        <v>4</v>
      </c>
      <c r="M106" s="16" t="s">
        <v>96</v>
      </c>
      <c r="N106" s="16" t="s">
        <v>568</v>
      </c>
      <c r="O106" s="72" t="s">
        <v>569</v>
      </c>
      <c r="P106" s="16"/>
      <c r="Q106" s="16" t="s">
        <v>83</v>
      </c>
      <c r="R106" s="16" t="s">
        <v>83</v>
      </c>
      <c r="S106" s="16" t="s">
        <v>83</v>
      </c>
      <c r="T106" s="16" t="s">
        <v>70</v>
      </c>
      <c r="U106" s="16"/>
      <c r="V106" s="17">
        <v>1</v>
      </c>
      <c r="W106" s="16"/>
      <c r="X106" s="16"/>
      <c r="Y106" s="16" t="s">
        <v>71</v>
      </c>
      <c r="Z106" s="18"/>
      <c r="AA106" s="19">
        <v>2</v>
      </c>
      <c r="AB106" s="20"/>
      <c r="AC106" s="19">
        <f>+AA106+1</f>
        <v>3</v>
      </c>
      <c r="AD106" s="20"/>
      <c r="AE106" s="19">
        <f>+AA106*2</f>
        <v>4</v>
      </c>
      <c r="AF106" s="16"/>
      <c r="AG106" s="16"/>
      <c r="AH106" s="16"/>
      <c r="AI106" s="16"/>
      <c r="AJ106" s="17">
        <f>108.03+112.51/2</f>
        <v>164.285</v>
      </c>
      <c r="AK106" s="21"/>
      <c r="AL106" s="22">
        <v>800</v>
      </c>
      <c r="AM106" s="22">
        <f>+(108.03+112.51)/AL106</f>
        <v>0.275675</v>
      </c>
      <c r="AN106" s="22">
        <f>+AJ106/AL106</f>
        <v>0.20535624999999999</v>
      </c>
      <c r="AO106" s="22"/>
      <c r="AP106" s="22">
        <f>+(8*48337+38639*3+28998*7+3*19335)/21*AJ106</f>
        <v>5973746.8161904756</v>
      </c>
      <c r="AQ106" s="23">
        <v>25549.73</v>
      </c>
      <c r="AR106" s="22" t="s">
        <v>57</v>
      </c>
      <c r="AS106" s="23" t="s">
        <v>570</v>
      </c>
      <c r="AT106" s="44">
        <v>45134</v>
      </c>
      <c r="AU106" s="24"/>
      <c r="AV106" s="23" t="s">
        <v>571</v>
      </c>
      <c r="AW106" s="13"/>
      <c r="AX106" s="13"/>
      <c r="AY106" s="13"/>
      <c r="AZ106" s="13"/>
      <c r="BA106" s="13"/>
      <c r="BB106" s="13"/>
      <c r="BC106" s="13"/>
      <c r="BD106" s="13"/>
      <c r="BE106" s="13"/>
      <c r="BF106" s="13"/>
      <c r="BG106" s="13"/>
      <c r="BH106" s="14"/>
      <c r="BI106" s="14"/>
      <c r="BJ106" s="14"/>
      <c r="BK106" s="14"/>
      <c r="BL106" s="14"/>
      <c r="BM106" s="14"/>
      <c r="BN106" s="14"/>
      <c r="BO106" s="14"/>
      <c r="BP106" s="14"/>
      <c r="BQ106" s="14"/>
      <c r="BR106" s="14"/>
      <c r="BS106" s="14"/>
      <c r="BT106" s="14"/>
      <c r="BU106" s="14"/>
      <c r="BV106" s="14"/>
      <c r="BW106" s="14"/>
      <c r="IQ106" s="14"/>
      <c r="IR106" s="14"/>
      <c r="IS106" s="14"/>
      <c r="IT106" s="14"/>
      <c r="IU106" s="14"/>
      <c r="IV106" s="14"/>
      <c r="IW106" s="14"/>
    </row>
    <row r="107" spans="2:257" s="2" customFormat="1" ht="25.5">
      <c r="B107" s="49">
        <v>102</v>
      </c>
      <c r="C107" s="41" t="s">
        <v>572</v>
      </c>
      <c r="D107" s="42">
        <v>45034</v>
      </c>
      <c r="E107" s="43" t="s">
        <v>65</v>
      </c>
      <c r="F107" s="15">
        <v>19910</v>
      </c>
      <c r="G107" s="15">
        <v>109596</v>
      </c>
      <c r="H107" s="15">
        <v>433</v>
      </c>
      <c r="I107" s="16"/>
      <c r="J107" s="16"/>
      <c r="K107" s="16">
        <v>579</v>
      </c>
      <c r="L107" s="16">
        <v>30</v>
      </c>
      <c r="M107" s="16" t="s">
        <v>88</v>
      </c>
      <c r="N107" s="16" t="s">
        <v>573</v>
      </c>
      <c r="O107" s="72" t="s">
        <v>574</v>
      </c>
      <c r="P107" s="16"/>
      <c r="Q107" s="16" t="s">
        <v>575</v>
      </c>
      <c r="R107" s="16" t="s">
        <v>575</v>
      </c>
      <c r="S107" s="16" t="s">
        <v>575</v>
      </c>
      <c r="T107" s="16" t="s">
        <v>576</v>
      </c>
      <c r="U107" s="16"/>
      <c r="V107" s="17">
        <v>1</v>
      </c>
      <c r="W107" s="16"/>
      <c r="X107" s="16"/>
      <c r="Y107" s="16" t="s">
        <v>71</v>
      </c>
      <c r="Z107" s="18"/>
      <c r="AA107" s="19">
        <v>2</v>
      </c>
      <c r="AB107" s="20"/>
      <c r="AC107" s="19">
        <f>+AA107+1</f>
        <v>3</v>
      </c>
      <c r="AD107" s="20"/>
      <c r="AE107" s="19">
        <f>+AA107*2</f>
        <v>4</v>
      </c>
      <c r="AF107" s="16"/>
      <c r="AG107" s="16"/>
      <c r="AH107" s="16"/>
      <c r="AI107" s="16"/>
      <c r="AJ107" s="17">
        <f>42.7+24.9/2</f>
        <v>55.150000000000006</v>
      </c>
      <c r="AK107" s="21"/>
      <c r="AL107" s="22">
        <v>190</v>
      </c>
      <c r="AM107" s="22">
        <f>+(42.7+24.9)/AL107</f>
        <v>0.35578947368421049</v>
      </c>
      <c r="AN107" s="22">
        <f>+AJ107/AL107</f>
        <v>0.29026315789473689</v>
      </c>
      <c r="AO107" s="22"/>
      <c r="AP107" s="22">
        <f>+(3*48337+3*38639+10*28998+3*19335)/19*AJ107</f>
        <v>1767450.1026315792</v>
      </c>
      <c r="AQ107" s="23">
        <v>11942.08</v>
      </c>
      <c r="AR107" s="22" t="s">
        <v>57</v>
      </c>
      <c r="AS107" s="23" t="s">
        <v>577</v>
      </c>
      <c r="AT107" s="44">
        <v>45134</v>
      </c>
      <c r="AU107" s="24"/>
      <c r="AV107" s="45" t="s">
        <v>578</v>
      </c>
      <c r="AW107" s="13"/>
      <c r="AX107" s="13"/>
      <c r="AY107" s="13"/>
      <c r="AZ107" s="13"/>
      <c r="BA107" s="13"/>
      <c r="BB107" s="13"/>
      <c r="BC107" s="13"/>
      <c r="BD107" s="13"/>
      <c r="BE107" s="13"/>
      <c r="BF107" s="13"/>
      <c r="BG107" s="13"/>
      <c r="BH107" s="14"/>
      <c r="BI107" s="14"/>
      <c r="BJ107" s="14"/>
      <c r="BK107" s="14"/>
      <c r="BL107" s="14"/>
      <c r="BM107" s="14"/>
      <c r="BN107" s="14"/>
      <c r="BO107" s="14"/>
      <c r="BP107" s="14"/>
      <c r="BQ107" s="14"/>
      <c r="BR107" s="14"/>
      <c r="BS107" s="14"/>
      <c r="BT107" s="14"/>
      <c r="BU107" s="14"/>
      <c r="BV107" s="14"/>
      <c r="BW107" s="14"/>
      <c r="IQ107" s="14"/>
      <c r="IR107" s="14"/>
      <c r="IS107" s="14"/>
      <c r="IT107" s="14"/>
      <c r="IU107" s="14"/>
      <c r="IV107" s="14"/>
      <c r="IW107" s="14"/>
    </row>
    <row r="108" spans="2:257" s="2" customFormat="1" ht="63.75">
      <c r="B108" s="49">
        <v>103</v>
      </c>
      <c r="C108" s="41" t="s">
        <v>579</v>
      </c>
      <c r="D108" s="42">
        <v>45043</v>
      </c>
      <c r="E108" s="43" t="s">
        <v>65</v>
      </c>
      <c r="F108" s="15"/>
      <c r="G108" s="15"/>
      <c r="H108" s="15"/>
      <c r="I108" s="16"/>
      <c r="J108" s="16"/>
      <c r="K108" s="16"/>
      <c r="L108" s="16"/>
      <c r="M108" s="16" t="s">
        <v>431</v>
      </c>
      <c r="N108" s="16" t="s">
        <v>580</v>
      </c>
      <c r="O108" s="72" t="s">
        <v>581</v>
      </c>
      <c r="P108" s="16"/>
      <c r="Q108" s="16" t="s">
        <v>171</v>
      </c>
      <c r="R108" s="16" t="s">
        <v>171</v>
      </c>
      <c r="S108" s="16" t="s">
        <v>171</v>
      </c>
      <c r="T108" s="16" t="s">
        <v>70</v>
      </c>
      <c r="U108" s="16"/>
      <c r="V108" s="17">
        <v>1</v>
      </c>
      <c r="W108" s="16"/>
      <c r="X108" s="16"/>
      <c r="Y108" s="16" t="s">
        <v>71</v>
      </c>
      <c r="Z108" s="18"/>
      <c r="AA108" s="19">
        <v>3</v>
      </c>
      <c r="AB108" s="20"/>
      <c r="AC108" s="19">
        <f>+AA108+1</f>
        <v>4</v>
      </c>
      <c r="AD108" s="20"/>
      <c r="AE108" s="19">
        <f>+AA108*2</f>
        <v>6</v>
      </c>
      <c r="AF108" s="16"/>
      <c r="AG108" s="16"/>
      <c r="AH108" s="16"/>
      <c r="AI108" s="16"/>
      <c r="AJ108" s="17">
        <f>92.23+22.8/2</f>
        <v>103.63000000000001</v>
      </c>
      <c r="AK108" s="21"/>
      <c r="AL108" s="22">
        <v>946.15</v>
      </c>
      <c r="AM108" s="22">
        <f>+(92.23+22.8)/AL108</f>
        <v>0.12157691697933731</v>
      </c>
      <c r="AN108" s="22">
        <f>+AJ108/AL108</f>
        <v>0.10952808751255087</v>
      </c>
      <c r="AO108" s="22"/>
      <c r="AP108" s="22">
        <f>+(9*38639+28998*5+5*19335)/19*AJ108</f>
        <v>3214798.9515789477</v>
      </c>
      <c r="AQ108" s="23">
        <v>15581.56</v>
      </c>
      <c r="AR108" s="22" t="s">
        <v>57</v>
      </c>
      <c r="AS108" s="23" t="s">
        <v>582</v>
      </c>
      <c r="AT108" s="44">
        <v>45134</v>
      </c>
      <c r="AU108" s="24"/>
      <c r="AV108" s="45" t="s">
        <v>583</v>
      </c>
      <c r="AW108" s="13"/>
      <c r="AX108" s="13"/>
      <c r="AY108" s="13"/>
      <c r="AZ108" s="13"/>
      <c r="BA108" s="13"/>
      <c r="BB108" s="13"/>
      <c r="BC108" s="13"/>
      <c r="BD108" s="13"/>
      <c r="BE108" s="13"/>
      <c r="BF108" s="13"/>
      <c r="BG108" s="13"/>
      <c r="BH108" s="14"/>
      <c r="BI108" s="14"/>
      <c r="BJ108" s="14"/>
      <c r="BK108" s="14"/>
      <c r="BL108" s="14"/>
      <c r="BM108" s="14"/>
      <c r="BN108" s="14"/>
      <c r="BO108" s="14"/>
      <c r="BP108" s="14"/>
      <c r="BQ108" s="14"/>
      <c r="BR108" s="14"/>
      <c r="BS108" s="14"/>
      <c r="BT108" s="14"/>
      <c r="BU108" s="14"/>
      <c r="BV108" s="14"/>
      <c r="BW108" s="14"/>
      <c r="IQ108" s="14"/>
      <c r="IR108" s="14"/>
      <c r="IS108" s="14"/>
      <c r="IT108" s="14"/>
      <c r="IU108" s="14"/>
      <c r="IV108" s="14"/>
      <c r="IW108" s="14"/>
    </row>
    <row r="109" spans="2:257" s="2" customFormat="1" ht="38.25">
      <c r="B109" s="49">
        <v>101</v>
      </c>
      <c r="C109" s="41" t="s">
        <v>584</v>
      </c>
      <c r="D109" s="42">
        <v>45030</v>
      </c>
      <c r="E109" s="43" t="s">
        <v>65</v>
      </c>
      <c r="F109" s="15">
        <v>-43633</v>
      </c>
      <c r="G109" s="15">
        <v>140990</v>
      </c>
      <c r="H109" s="15">
        <v>32020</v>
      </c>
      <c r="I109" s="16">
        <v>355</v>
      </c>
      <c r="J109" s="16"/>
      <c r="K109" s="16">
        <v>15</v>
      </c>
      <c r="L109" s="16">
        <v>1</v>
      </c>
      <c r="M109" s="16" t="s">
        <v>431</v>
      </c>
      <c r="N109" s="16" t="s">
        <v>585</v>
      </c>
      <c r="O109" s="72" t="s">
        <v>586</v>
      </c>
      <c r="P109" s="16"/>
      <c r="Q109" s="16" t="s">
        <v>113</v>
      </c>
      <c r="R109" s="16" t="s">
        <v>113</v>
      </c>
      <c r="S109" s="16" t="s">
        <v>113</v>
      </c>
      <c r="T109" s="16" t="s">
        <v>70</v>
      </c>
      <c r="U109" s="16"/>
      <c r="V109" s="17">
        <v>4</v>
      </c>
      <c r="W109" s="16"/>
      <c r="X109" s="16"/>
      <c r="Y109" s="16" t="s">
        <v>44</v>
      </c>
      <c r="Z109" s="18"/>
      <c r="AA109" s="19">
        <f>1+2+1+2</f>
        <v>6</v>
      </c>
      <c r="AB109" s="20"/>
      <c r="AC109" s="19">
        <f>+AA109+1+1+1+1</f>
        <v>10</v>
      </c>
      <c r="AD109" s="20"/>
      <c r="AE109" s="19">
        <f>+AA109*2</f>
        <v>12</v>
      </c>
      <c r="AF109" s="16"/>
      <c r="AG109" s="16"/>
      <c r="AH109" s="16"/>
      <c r="AI109" s="16"/>
      <c r="AJ109" s="17">
        <f>201.52+25.36/2</f>
        <v>214.20000000000002</v>
      </c>
      <c r="AK109" s="21"/>
      <c r="AL109" s="22">
        <v>805.6</v>
      </c>
      <c r="AM109" s="22">
        <f>+(201.52+25.36)/AL109</f>
        <v>0.28162859980139027</v>
      </c>
      <c r="AN109" s="22">
        <f>+AJ109/AL109</f>
        <v>0.26588877855014897</v>
      </c>
      <c r="AO109" s="22"/>
      <c r="AP109" s="22">
        <f>+(4*38639+28998*8+19335*8)/20*AJ109</f>
        <v>5796466.2000000002</v>
      </c>
      <c r="AQ109" s="23">
        <v>23320.65</v>
      </c>
      <c r="AR109" s="22" t="s">
        <v>115</v>
      </c>
      <c r="AS109" s="23" t="s">
        <v>587</v>
      </c>
      <c r="AT109" s="44">
        <v>45134</v>
      </c>
      <c r="AU109" s="24"/>
      <c r="AV109" s="23" t="s">
        <v>588</v>
      </c>
      <c r="AW109" s="13"/>
      <c r="AX109" s="13"/>
      <c r="AY109" s="13"/>
      <c r="AZ109" s="13"/>
      <c r="BA109" s="13"/>
      <c r="BB109" s="13"/>
      <c r="BC109" s="13"/>
      <c r="BD109" s="13"/>
      <c r="BE109" s="13"/>
      <c r="BF109" s="13"/>
      <c r="BG109" s="13"/>
      <c r="BH109" s="14"/>
      <c r="BI109" s="14"/>
      <c r="BJ109" s="14"/>
      <c r="BK109" s="14"/>
      <c r="BL109" s="14"/>
      <c r="BM109" s="14"/>
      <c r="BN109" s="14"/>
      <c r="BO109" s="14"/>
      <c r="BP109" s="14"/>
      <c r="BQ109" s="14"/>
      <c r="BR109" s="14"/>
      <c r="BS109" s="14"/>
      <c r="BT109" s="14"/>
      <c r="BU109" s="14"/>
      <c r="BV109" s="14"/>
      <c r="BW109" s="14"/>
      <c r="IQ109" s="14"/>
      <c r="IR109" s="14"/>
      <c r="IS109" s="14"/>
      <c r="IT109" s="14"/>
      <c r="IU109" s="14"/>
      <c r="IV109" s="14"/>
      <c r="IW109" s="14"/>
    </row>
    <row r="110" spans="2:257" s="2" customFormat="1" ht="51">
      <c r="B110" s="49">
        <v>106</v>
      </c>
      <c r="C110" s="41" t="s">
        <v>589</v>
      </c>
      <c r="D110" s="42">
        <v>45008</v>
      </c>
      <c r="E110" s="43" t="s">
        <v>65</v>
      </c>
      <c r="F110" s="15">
        <v>110047</v>
      </c>
      <c r="G110" s="15"/>
      <c r="H110" s="15"/>
      <c r="I110" s="16">
        <v>54</v>
      </c>
      <c r="J110" s="16"/>
      <c r="K110" s="16">
        <v>446</v>
      </c>
      <c r="L110" s="16">
        <v>18</v>
      </c>
      <c r="M110" s="16" t="s">
        <v>88</v>
      </c>
      <c r="N110" s="16" t="s">
        <v>590</v>
      </c>
      <c r="O110" s="72" t="s">
        <v>591</v>
      </c>
      <c r="P110" s="16"/>
      <c r="Q110" s="16" t="s">
        <v>592</v>
      </c>
      <c r="R110" s="16" t="s">
        <v>592</v>
      </c>
      <c r="S110" s="16" t="s">
        <v>592</v>
      </c>
      <c r="T110" s="16" t="s">
        <v>593</v>
      </c>
      <c r="U110" s="16"/>
      <c r="V110" s="17">
        <v>1</v>
      </c>
      <c r="W110" s="16"/>
      <c r="X110" s="16"/>
      <c r="Y110" s="16" t="s">
        <v>62</v>
      </c>
      <c r="Z110" s="18"/>
      <c r="AA110" s="19"/>
      <c r="AB110" s="20"/>
      <c r="AC110" s="19"/>
      <c r="AD110" s="20"/>
      <c r="AE110" s="19"/>
      <c r="AF110" s="16"/>
      <c r="AG110" s="16"/>
      <c r="AH110" s="16"/>
      <c r="AI110" s="16"/>
      <c r="AJ110" s="17"/>
      <c r="AK110" s="21">
        <f>244.8+14.96</f>
        <v>259.76</v>
      </c>
      <c r="AL110" s="22">
        <v>308</v>
      </c>
      <c r="AM110" s="22">
        <f>+(244.8)/AL110</f>
        <v>0.79480519480519485</v>
      </c>
      <c r="AN110" s="22">
        <f>+AK110/AL110</f>
        <v>0.84337662337662334</v>
      </c>
      <c r="AO110" s="22"/>
      <c r="AP110" s="22">
        <f>38639*AK110</f>
        <v>10036866.639999999</v>
      </c>
      <c r="AQ110" s="23">
        <v>38931.15</v>
      </c>
      <c r="AR110" s="22" t="s">
        <v>115</v>
      </c>
      <c r="AS110" s="23" t="s">
        <v>594</v>
      </c>
      <c r="AT110" s="44">
        <v>45135</v>
      </c>
      <c r="AU110" s="24"/>
      <c r="AV110" s="23" t="s">
        <v>595</v>
      </c>
      <c r="AW110" s="13"/>
      <c r="AX110" s="13"/>
      <c r="AY110" s="13"/>
      <c r="AZ110" s="13"/>
      <c r="BA110" s="13"/>
      <c r="BB110" s="13"/>
      <c r="BC110" s="13"/>
      <c r="BD110" s="13"/>
      <c r="BE110" s="13"/>
      <c r="BF110" s="13"/>
      <c r="BG110" s="13"/>
      <c r="BH110" s="14"/>
      <c r="BI110" s="14"/>
      <c r="BJ110" s="14"/>
      <c r="BK110" s="14"/>
      <c r="BL110" s="14"/>
      <c r="BM110" s="14"/>
      <c r="BN110" s="14"/>
      <c r="BO110" s="14"/>
      <c r="BP110" s="14"/>
      <c r="BQ110" s="14"/>
      <c r="BR110" s="14"/>
      <c r="BS110" s="14"/>
      <c r="BT110" s="14"/>
      <c r="BU110" s="14"/>
      <c r="BV110" s="14"/>
      <c r="BW110" s="14"/>
      <c r="IQ110" s="14"/>
      <c r="IR110" s="14"/>
      <c r="IS110" s="14"/>
      <c r="IT110" s="14"/>
      <c r="IU110" s="14"/>
      <c r="IV110" s="14"/>
      <c r="IW110" s="14"/>
    </row>
    <row r="111" spans="2:257" s="2" customFormat="1" ht="63.75">
      <c r="B111" s="49">
        <v>108</v>
      </c>
      <c r="C111" s="41">
        <v>550208</v>
      </c>
      <c r="D111" s="42">
        <v>44966</v>
      </c>
      <c r="E111" s="43" t="s">
        <v>310</v>
      </c>
      <c r="F111" s="15">
        <v>5017</v>
      </c>
      <c r="G111" s="15">
        <v>976</v>
      </c>
      <c r="H111" s="15">
        <v>1314</v>
      </c>
      <c r="I111" s="16"/>
      <c r="J111" s="16"/>
      <c r="K111" s="16">
        <v>174</v>
      </c>
      <c r="L111" s="16">
        <v>11</v>
      </c>
      <c r="M111" s="16" t="s">
        <v>268</v>
      </c>
      <c r="N111" s="16" t="s">
        <v>596</v>
      </c>
      <c r="O111" s="72" t="s">
        <v>123</v>
      </c>
      <c r="P111" s="16"/>
      <c r="Q111" s="16" t="s">
        <v>124</v>
      </c>
      <c r="R111" s="16"/>
      <c r="S111" s="16"/>
      <c r="T111" s="16"/>
      <c r="U111" s="16"/>
      <c r="V111" s="17"/>
      <c r="W111" s="16">
        <v>14</v>
      </c>
      <c r="X111" s="16"/>
      <c r="Y111" s="16" t="s">
        <v>44</v>
      </c>
      <c r="Z111" s="18"/>
      <c r="AA111" s="19"/>
      <c r="AB111" s="20"/>
      <c r="AC111" s="19"/>
      <c r="AD111" s="20"/>
      <c r="AE111" s="19"/>
      <c r="AF111" s="16">
        <f>1033.81+303.87/2</f>
        <v>1185.7449999999999</v>
      </c>
      <c r="AG111" s="16"/>
      <c r="AH111" s="16">
        <f>1255.48+272.44/2-AF111</f>
        <v>205.95500000000015</v>
      </c>
      <c r="AI111" s="16"/>
      <c r="AJ111" s="17"/>
      <c r="AK111" s="21"/>
      <c r="AL111" s="22">
        <v>712.19</v>
      </c>
      <c r="AM111" s="22">
        <f>+(208.15+94.9)/AL111</f>
        <v>0.4255184711944846</v>
      </c>
      <c r="AN111" s="22">
        <f>+(AF111+AH111)/AL111</f>
        <v>1.9541133686235415</v>
      </c>
      <c r="AO111" s="22"/>
      <c r="AP111" s="22">
        <f>+(9*48337+8*38639+7*28998+3*19335)/27*AH111</f>
        <v>7667140.1807407476</v>
      </c>
      <c r="AQ111" s="23">
        <v>118038.59</v>
      </c>
      <c r="AR111" s="22" t="s">
        <v>57</v>
      </c>
      <c r="AS111" s="23" t="s">
        <v>597</v>
      </c>
      <c r="AT111" s="44">
        <v>45135</v>
      </c>
      <c r="AU111" s="24"/>
      <c r="AV111" s="23" t="s">
        <v>197</v>
      </c>
      <c r="AW111" s="13"/>
      <c r="AX111" s="13"/>
      <c r="AY111" s="13"/>
      <c r="AZ111" s="13"/>
      <c r="BA111" s="13"/>
      <c r="BB111" s="13"/>
      <c r="BC111" s="13"/>
      <c r="BD111" s="13"/>
      <c r="BE111" s="13"/>
      <c r="BF111" s="13"/>
      <c r="BG111" s="13"/>
      <c r="BH111" s="14"/>
      <c r="BI111" s="14"/>
      <c r="BJ111" s="14"/>
      <c r="BK111" s="14"/>
      <c r="BL111" s="14"/>
      <c r="BM111" s="14"/>
      <c r="BN111" s="14"/>
      <c r="BO111" s="14"/>
      <c r="BP111" s="14"/>
      <c r="BQ111" s="14"/>
      <c r="BR111" s="14"/>
      <c r="BS111" s="14"/>
      <c r="BT111" s="14"/>
      <c r="BU111" s="14"/>
      <c r="BV111" s="14"/>
      <c r="BW111" s="14"/>
      <c r="IQ111" s="14"/>
      <c r="IR111" s="14"/>
      <c r="IS111" s="14"/>
      <c r="IT111" s="14"/>
      <c r="IU111" s="14"/>
      <c r="IV111" s="14"/>
      <c r="IW111" s="14"/>
    </row>
    <row r="112" spans="2:257" s="2" customFormat="1" ht="76.5">
      <c r="B112" s="49">
        <v>107</v>
      </c>
      <c r="C112" s="41">
        <v>553041</v>
      </c>
      <c r="D112" s="42">
        <v>45069</v>
      </c>
      <c r="E112" s="43" t="s">
        <v>65</v>
      </c>
      <c r="F112" s="15">
        <v>54684</v>
      </c>
      <c r="G112" s="15">
        <v>163851</v>
      </c>
      <c r="H112" s="15">
        <v>33433</v>
      </c>
      <c r="I112" s="16">
        <v>247</v>
      </c>
      <c r="J112" s="16"/>
      <c r="K112" s="16">
        <v>3</v>
      </c>
      <c r="L112" s="16">
        <v>2</v>
      </c>
      <c r="M112" s="16" t="s">
        <v>206</v>
      </c>
      <c r="N112" s="16" t="s">
        <v>598</v>
      </c>
      <c r="O112" s="72" t="s">
        <v>599</v>
      </c>
      <c r="P112" s="16"/>
      <c r="Q112" s="16" t="s">
        <v>271</v>
      </c>
      <c r="R112" s="16" t="s">
        <v>271</v>
      </c>
      <c r="S112" s="16" t="s">
        <v>271</v>
      </c>
      <c r="T112" s="16" t="s">
        <v>593</v>
      </c>
      <c r="U112" s="16"/>
      <c r="V112" s="17">
        <v>1</v>
      </c>
      <c r="W112" s="16"/>
      <c r="X112" s="16"/>
      <c r="Y112" s="16" t="s">
        <v>71</v>
      </c>
      <c r="Z112" s="18"/>
      <c r="AA112" s="19">
        <v>2</v>
      </c>
      <c r="AB112" s="20"/>
      <c r="AC112" s="19">
        <f>+AA112+1</f>
        <v>3</v>
      </c>
      <c r="AD112" s="20"/>
      <c r="AE112" s="19">
        <f>+AA112*2</f>
        <v>4</v>
      </c>
      <c r="AF112" s="16"/>
      <c r="AG112" s="16"/>
      <c r="AH112" s="16"/>
      <c r="AI112" s="16"/>
      <c r="AJ112" s="17">
        <f>141.33+43.17/2</f>
        <v>162.91500000000002</v>
      </c>
      <c r="AK112" s="21"/>
      <c r="AL112" s="22">
        <v>864</v>
      </c>
      <c r="AM112" s="22">
        <f>+(141.33+43.17)/AL112</f>
        <v>0.21354166666666666</v>
      </c>
      <c r="AN112" s="22">
        <f>+AJ112/AL112</f>
        <v>0.1885590277777778</v>
      </c>
      <c r="AO112" s="22"/>
      <c r="AP112" s="22"/>
      <c r="AQ112" s="23">
        <v>22993.599999999999</v>
      </c>
      <c r="AR112" s="22" t="s">
        <v>57</v>
      </c>
      <c r="AS112" s="23" t="s">
        <v>600</v>
      </c>
      <c r="AT112" s="44">
        <v>45135</v>
      </c>
      <c r="AU112" s="24"/>
      <c r="AV112" s="23" t="s">
        <v>601</v>
      </c>
      <c r="AW112" s="13"/>
      <c r="AX112" s="13"/>
      <c r="AY112" s="13"/>
      <c r="AZ112" s="13"/>
      <c r="BA112" s="13"/>
      <c r="BB112" s="13"/>
      <c r="BC112" s="13"/>
      <c r="BD112" s="13"/>
      <c r="BE112" s="13"/>
      <c r="BF112" s="13"/>
      <c r="BG112" s="13"/>
      <c r="BH112" s="14"/>
      <c r="BI112" s="14"/>
      <c r="BJ112" s="14"/>
      <c r="BK112" s="14"/>
      <c r="BL112" s="14"/>
      <c r="BM112" s="14"/>
      <c r="BN112" s="14"/>
      <c r="BO112" s="14"/>
      <c r="BP112" s="14"/>
      <c r="BQ112" s="14"/>
      <c r="BR112" s="14"/>
      <c r="BS112" s="14"/>
      <c r="BT112" s="14"/>
      <c r="BU112" s="14"/>
      <c r="BV112" s="14"/>
      <c r="BW112" s="14"/>
      <c r="IQ112" s="14"/>
      <c r="IR112" s="14"/>
      <c r="IS112" s="14"/>
      <c r="IT112" s="14"/>
      <c r="IU112" s="14"/>
      <c r="IV112" s="14"/>
      <c r="IW112" s="14"/>
    </row>
    <row r="113" spans="2:257" s="2" customFormat="1" ht="76.5">
      <c r="B113" s="49">
        <v>109</v>
      </c>
      <c r="C113" s="41">
        <v>553730</v>
      </c>
      <c r="D113" s="42">
        <v>45098</v>
      </c>
      <c r="E113" s="43" t="s">
        <v>402</v>
      </c>
      <c r="F113" s="15">
        <v>2226</v>
      </c>
      <c r="G113" s="15">
        <v>1838</v>
      </c>
      <c r="H113" s="15">
        <v>135</v>
      </c>
      <c r="I113" s="16"/>
      <c r="J113" s="16"/>
      <c r="K113" s="16">
        <v>50</v>
      </c>
      <c r="L113" s="16">
        <v>13</v>
      </c>
      <c r="M113" s="16" t="s">
        <v>40</v>
      </c>
      <c r="N113" s="16" t="s">
        <v>602</v>
      </c>
      <c r="O113" s="72" t="s">
        <v>603</v>
      </c>
      <c r="P113" s="16"/>
      <c r="Q113" s="16" t="s">
        <v>164</v>
      </c>
      <c r="R113" s="16" t="s">
        <v>164</v>
      </c>
      <c r="S113" s="16" t="s">
        <v>164</v>
      </c>
      <c r="T113" s="16" t="s">
        <v>604</v>
      </c>
      <c r="U113" s="16">
        <f>1+1</f>
        <v>2</v>
      </c>
      <c r="V113" s="17"/>
      <c r="W113" s="16">
        <v>1</v>
      </c>
      <c r="X113" s="16"/>
      <c r="Y113" s="16" t="s">
        <v>44</v>
      </c>
      <c r="Z113" s="18">
        <f>2+1</f>
        <v>3</v>
      </c>
      <c r="AA113" s="19">
        <v>2</v>
      </c>
      <c r="AB113" s="20">
        <f>+Z113+1+1+1+1</f>
        <v>7</v>
      </c>
      <c r="AC113" s="19"/>
      <c r="AD113" s="20">
        <f>+Z113*2</f>
        <v>6</v>
      </c>
      <c r="AE113" s="19">
        <f>+AA113*2</f>
        <v>4</v>
      </c>
      <c r="AF113" s="16">
        <f>111.43+16.58/2</f>
        <v>119.72</v>
      </c>
      <c r="AG113" s="16"/>
      <c r="AH113" s="16">
        <f>84.08+19.81/2</f>
        <v>93.984999999999999</v>
      </c>
      <c r="AI113" s="16"/>
      <c r="AJ113" s="17">
        <v>95.33</v>
      </c>
      <c r="AK113" s="21"/>
      <c r="AL113" s="22">
        <v>568.65</v>
      </c>
      <c r="AM113" s="22"/>
      <c r="AN113" s="22">
        <f>+(AF113+AH113+AJ113)/AL113</f>
        <v>0.54345379407368322</v>
      </c>
      <c r="AO113" s="22"/>
      <c r="AP113" s="22">
        <f>+(2*48337+11*38639+7*28998+19335*3)/23*AJ113</f>
        <v>3244096.4791304348</v>
      </c>
      <c r="AQ113" s="23">
        <v>60628.88</v>
      </c>
      <c r="AR113" s="22" t="s">
        <v>605</v>
      </c>
      <c r="AS113" s="23" t="s">
        <v>606</v>
      </c>
      <c r="AT113" s="44">
        <v>45135</v>
      </c>
      <c r="AU113" s="24"/>
      <c r="AV113" s="45">
        <v>45099</v>
      </c>
      <c r="AW113" s="13"/>
      <c r="AX113" s="13"/>
      <c r="AY113" s="13"/>
      <c r="AZ113" s="13"/>
      <c r="BA113" s="13"/>
      <c r="BB113" s="13"/>
      <c r="BC113" s="13"/>
      <c r="BD113" s="13"/>
      <c r="BE113" s="13"/>
      <c r="BF113" s="13"/>
      <c r="BG113" s="13"/>
      <c r="BH113" s="14"/>
      <c r="BI113" s="14"/>
      <c r="BJ113" s="14"/>
      <c r="BK113" s="14"/>
      <c r="BL113" s="14"/>
      <c r="BM113" s="14"/>
      <c r="BN113" s="14"/>
      <c r="BO113" s="14"/>
      <c r="BP113" s="14"/>
      <c r="BQ113" s="14"/>
      <c r="BR113" s="14"/>
      <c r="BS113" s="14"/>
      <c r="BT113" s="14"/>
      <c r="BU113" s="14"/>
      <c r="BV113" s="14"/>
      <c r="BW113" s="14"/>
      <c r="IQ113" s="14"/>
      <c r="IR113" s="14"/>
      <c r="IS113" s="14"/>
      <c r="IT113" s="14"/>
      <c r="IU113" s="14"/>
      <c r="IV113" s="14"/>
      <c r="IW113" s="14"/>
    </row>
    <row r="114" spans="2:257" s="2" customFormat="1" ht="51">
      <c r="B114" s="49">
        <v>110</v>
      </c>
      <c r="C114" s="41" t="s">
        <v>607</v>
      </c>
      <c r="D114" s="42">
        <v>45034</v>
      </c>
      <c r="E114" s="43" t="s">
        <v>46</v>
      </c>
      <c r="F114" s="15">
        <v>60136</v>
      </c>
      <c r="G114" s="15">
        <v>168281</v>
      </c>
      <c r="H114" s="15">
        <v>21374</v>
      </c>
      <c r="I114" s="16"/>
      <c r="J114" s="16"/>
      <c r="K114" s="16">
        <v>357</v>
      </c>
      <c r="L114" s="16">
        <v>1</v>
      </c>
      <c r="M114" s="16" t="s">
        <v>190</v>
      </c>
      <c r="N114" s="16" t="s">
        <v>608</v>
      </c>
      <c r="O114" s="72" t="s">
        <v>609</v>
      </c>
      <c r="P114" s="16"/>
      <c r="Q114" s="16" t="s">
        <v>610</v>
      </c>
      <c r="R114" s="16"/>
      <c r="S114" s="16"/>
      <c r="T114" s="16"/>
      <c r="U114" s="16">
        <v>1</v>
      </c>
      <c r="V114" s="17"/>
      <c r="W114" s="16"/>
      <c r="X114" s="16"/>
      <c r="Y114" s="16" t="s">
        <v>71</v>
      </c>
      <c r="Z114" s="18">
        <v>2</v>
      </c>
      <c r="AA114" s="19"/>
      <c r="AB114" s="20">
        <f>+Z114+1</f>
        <v>3</v>
      </c>
      <c r="AC114" s="19"/>
      <c r="AD114" s="20">
        <f>+Z114*2</f>
        <v>4</v>
      </c>
      <c r="AE114" s="19"/>
      <c r="AF114" s="16"/>
      <c r="AG114" s="16"/>
      <c r="AH114" s="16">
        <f>61.66+1.8/2</f>
        <v>62.559999999999995</v>
      </c>
      <c r="AI114" s="16"/>
      <c r="AJ114" s="17"/>
      <c r="AK114" s="21"/>
      <c r="AL114" s="22">
        <v>428.4</v>
      </c>
      <c r="AM114" s="22"/>
      <c r="AN114" s="22"/>
      <c r="AO114" s="22">
        <f>+(2+9+16+5)/(1+3+4+1)</f>
        <v>3.5555555555555554</v>
      </c>
      <c r="AP114" s="22">
        <f>+(2*48337+8*38639+5*28998+5*19335)/20*AH114</f>
        <v>2025226.7279999999</v>
      </c>
      <c r="AQ114" s="23">
        <v>37667.9</v>
      </c>
      <c r="AR114" s="22" t="s">
        <v>57</v>
      </c>
      <c r="AS114" s="23" t="s">
        <v>611</v>
      </c>
      <c r="AT114" s="44">
        <v>45135</v>
      </c>
      <c r="AU114" s="24"/>
      <c r="AV114" s="45">
        <v>45132</v>
      </c>
      <c r="AW114" s="13"/>
      <c r="AX114" s="13"/>
      <c r="AY114" s="13"/>
      <c r="AZ114" s="13"/>
      <c r="BA114" s="13"/>
      <c r="BB114" s="13"/>
      <c r="BC114" s="13"/>
      <c r="BD114" s="13"/>
      <c r="BE114" s="13"/>
      <c r="BF114" s="13"/>
      <c r="BG114" s="13"/>
      <c r="BH114" s="14"/>
      <c r="BI114" s="14"/>
      <c r="BJ114" s="14"/>
      <c r="BK114" s="14"/>
      <c r="BL114" s="14"/>
      <c r="BM114" s="14"/>
      <c r="BN114" s="14"/>
      <c r="BO114" s="14"/>
      <c r="BP114" s="14"/>
      <c r="BQ114" s="14"/>
      <c r="BR114" s="14"/>
      <c r="BS114" s="14"/>
      <c r="BT114" s="14"/>
      <c r="BU114" s="14"/>
      <c r="BV114" s="14"/>
      <c r="BW114" s="14"/>
      <c r="IQ114" s="14"/>
      <c r="IR114" s="14"/>
      <c r="IS114" s="14"/>
      <c r="IT114" s="14"/>
      <c r="IU114" s="14"/>
      <c r="IV114" s="14"/>
      <c r="IW114" s="14"/>
    </row>
    <row r="115" spans="2:257" s="2" customFormat="1" ht="63.75">
      <c r="B115" s="49">
        <v>111</v>
      </c>
      <c r="C115" s="41" t="s">
        <v>612</v>
      </c>
      <c r="D115" s="42">
        <v>45090</v>
      </c>
      <c r="E115" s="43" t="s">
        <v>65</v>
      </c>
      <c r="F115" s="15">
        <v>60412</v>
      </c>
      <c r="G115" s="15">
        <v>119134</v>
      </c>
      <c r="H115" s="15">
        <v>5846</v>
      </c>
      <c r="I115" s="16"/>
      <c r="J115" s="16"/>
      <c r="K115" s="16">
        <v>730</v>
      </c>
      <c r="L115" s="16">
        <v>4</v>
      </c>
      <c r="M115" s="16" t="s">
        <v>96</v>
      </c>
      <c r="N115" s="16" t="s">
        <v>613</v>
      </c>
      <c r="O115" s="72" t="s">
        <v>614</v>
      </c>
      <c r="P115" s="16"/>
      <c r="Q115" s="16" t="s">
        <v>507</v>
      </c>
      <c r="R115" s="16" t="s">
        <v>507</v>
      </c>
      <c r="S115" s="16" t="s">
        <v>507</v>
      </c>
      <c r="T115" s="16" t="s">
        <v>70</v>
      </c>
      <c r="U115" s="16"/>
      <c r="V115" s="17">
        <v>1</v>
      </c>
      <c r="W115" s="16"/>
      <c r="X115" s="16"/>
      <c r="Y115" s="16" t="s">
        <v>71</v>
      </c>
      <c r="Z115" s="18"/>
      <c r="AA115" s="19">
        <v>4</v>
      </c>
      <c r="AB115" s="20"/>
      <c r="AC115" s="19">
        <f>+AA115+1</f>
        <v>5</v>
      </c>
      <c r="AD115" s="20"/>
      <c r="AE115" s="19">
        <f>+AA115*2</f>
        <v>8</v>
      </c>
      <c r="AF115" s="16"/>
      <c r="AG115" s="16"/>
      <c r="AH115" s="16"/>
      <c r="AI115" s="16"/>
      <c r="AJ115" s="17">
        <f>78.96+68.01/2+112.96+1.93/2</f>
        <v>226.89000000000001</v>
      </c>
      <c r="AK115" s="21"/>
      <c r="AL115" s="22">
        <v>364.5</v>
      </c>
      <c r="AM115" s="22">
        <f>+(78.96+68.1)/AL115</f>
        <v>0.40345679012345681</v>
      </c>
      <c r="AN115" s="22">
        <f>+AJ115/AL115</f>
        <v>0.62246913580246921</v>
      </c>
      <c r="AO115" s="22"/>
      <c r="AP115" s="22">
        <f>+(7*48337+38639*8+4*28998+4*19335)/23*AJ115</f>
        <v>8294338.8117391299</v>
      </c>
      <c r="AQ115" s="23">
        <v>40579.06</v>
      </c>
      <c r="AR115" s="22" t="s">
        <v>57</v>
      </c>
      <c r="AS115" s="23" t="s">
        <v>615</v>
      </c>
      <c r="AT115" s="44">
        <v>45138</v>
      </c>
      <c r="AU115" s="24"/>
      <c r="AV115" s="23" t="s">
        <v>616</v>
      </c>
      <c r="AW115" s="13"/>
      <c r="AX115" s="13"/>
      <c r="AY115" s="13"/>
      <c r="AZ115" s="13"/>
      <c r="BA115" s="13"/>
      <c r="BB115" s="13"/>
      <c r="BC115" s="13"/>
      <c r="BD115" s="13"/>
      <c r="BE115" s="13"/>
      <c r="BF115" s="13"/>
      <c r="BG115" s="13"/>
      <c r="BH115" s="14"/>
      <c r="BI115" s="14"/>
      <c r="BJ115" s="14"/>
      <c r="BK115" s="14"/>
      <c r="BL115" s="14"/>
      <c r="BM115" s="14"/>
      <c r="BN115" s="14"/>
      <c r="BO115" s="14"/>
      <c r="BP115" s="14"/>
      <c r="BQ115" s="14"/>
      <c r="BR115" s="14"/>
      <c r="BS115" s="14"/>
      <c r="BT115" s="14"/>
      <c r="BU115" s="14"/>
      <c r="BV115" s="14"/>
      <c r="BW115" s="14"/>
      <c r="IQ115" s="14"/>
      <c r="IR115" s="14"/>
      <c r="IS115" s="14"/>
      <c r="IT115" s="14"/>
      <c r="IU115" s="14"/>
      <c r="IV115" s="14"/>
      <c r="IW115" s="14"/>
    </row>
    <row r="116" spans="2:257" s="2" customFormat="1" ht="51">
      <c r="B116" s="49">
        <v>112</v>
      </c>
      <c r="C116" s="41" t="s">
        <v>617</v>
      </c>
      <c r="D116" s="42">
        <v>45040</v>
      </c>
      <c r="E116" s="43" t="s">
        <v>65</v>
      </c>
      <c r="F116" s="15">
        <v>62208</v>
      </c>
      <c r="G116" s="15"/>
      <c r="H116" s="15">
        <v>21043</v>
      </c>
      <c r="I116" s="16">
        <v>102</v>
      </c>
      <c r="J116" s="16"/>
      <c r="K116" s="16">
        <v>258</v>
      </c>
      <c r="L116" s="16">
        <v>13</v>
      </c>
      <c r="M116" s="16" t="s">
        <v>96</v>
      </c>
      <c r="N116" s="16" t="s">
        <v>618</v>
      </c>
      <c r="O116" s="72" t="s">
        <v>619</v>
      </c>
      <c r="P116" s="16"/>
      <c r="Q116" s="16" t="s">
        <v>620</v>
      </c>
      <c r="R116" s="16" t="s">
        <v>620</v>
      </c>
      <c r="S116" s="16" t="s">
        <v>620</v>
      </c>
      <c r="T116" s="16" t="s">
        <v>621</v>
      </c>
      <c r="U116" s="16"/>
      <c r="V116" s="17">
        <v>1</v>
      </c>
      <c r="W116" s="16"/>
      <c r="X116" s="16"/>
      <c r="Y116" s="16" t="s">
        <v>622</v>
      </c>
      <c r="Z116" s="18"/>
      <c r="AA116" s="19"/>
      <c r="AB116" s="20"/>
      <c r="AC116" s="19"/>
      <c r="AD116" s="20"/>
      <c r="AE116" s="19"/>
      <c r="AF116" s="16"/>
      <c r="AG116" s="16"/>
      <c r="AH116" s="16"/>
      <c r="AI116" s="16"/>
      <c r="AJ116" s="17"/>
      <c r="AK116" s="21">
        <v>220.7</v>
      </c>
      <c r="AL116" s="22">
        <v>644.41999999999996</v>
      </c>
      <c r="AM116" s="22">
        <f>+AK116/AL116</f>
        <v>0.34247850780546851</v>
      </c>
      <c r="AN116" s="22">
        <f>+AK116/AL116</f>
        <v>0.34247850780546851</v>
      </c>
      <c r="AO116" s="22"/>
      <c r="AP116" s="22">
        <v>7690020</v>
      </c>
      <c r="AQ116" s="23">
        <v>34995.370000000003</v>
      </c>
      <c r="AR116" s="22" t="s">
        <v>77</v>
      </c>
      <c r="AS116" s="23" t="s">
        <v>623</v>
      </c>
      <c r="AT116" s="44">
        <v>45138</v>
      </c>
      <c r="AU116" s="24"/>
      <c r="AV116" s="23" t="s">
        <v>624</v>
      </c>
      <c r="AW116" s="13"/>
      <c r="AX116" s="13"/>
      <c r="AY116" s="13"/>
      <c r="AZ116" s="13"/>
      <c r="BA116" s="13"/>
      <c r="BB116" s="13"/>
      <c r="BC116" s="13"/>
      <c r="BD116" s="13"/>
      <c r="BE116" s="13"/>
      <c r="BF116" s="13"/>
      <c r="BG116" s="13"/>
      <c r="BH116" s="14"/>
      <c r="BI116" s="14"/>
      <c r="BJ116" s="14"/>
      <c r="BK116" s="14"/>
      <c r="BL116" s="14"/>
      <c r="BM116" s="14"/>
      <c r="BN116" s="14"/>
      <c r="BO116" s="14"/>
      <c r="BP116" s="14"/>
      <c r="BQ116" s="14"/>
      <c r="BR116" s="14"/>
      <c r="BS116" s="14"/>
      <c r="BT116" s="14"/>
      <c r="BU116" s="14"/>
      <c r="BV116" s="14"/>
      <c r="BW116" s="14"/>
      <c r="IQ116" s="14"/>
      <c r="IR116" s="14"/>
      <c r="IS116" s="14"/>
      <c r="IT116" s="14"/>
      <c r="IU116" s="14"/>
      <c r="IV116" s="14"/>
      <c r="IW116" s="14"/>
    </row>
    <row r="117" spans="2:257" s="2" customFormat="1" ht="76.5">
      <c r="B117" s="49">
        <v>113</v>
      </c>
      <c r="C117" s="41" t="s">
        <v>625</v>
      </c>
      <c r="D117" s="42">
        <v>45029</v>
      </c>
      <c r="E117" s="43" t="s">
        <v>46</v>
      </c>
      <c r="F117" s="15">
        <v>25931</v>
      </c>
      <c r="G117" s="15"/>
      <c r="H117" s="15">
        <v>5998</v>
      </c>
      <c r="I117" s="16"/>
      <c r="J117" s="16"/>
      <c r="K117" s="16">
        <v>105</v>
      </c>
      <c r="L117" s="16">
        <v>2</v>
      </c>
      <c r="M117" s="16" t="s">
        <v>88</v>
      </c>
      <c r="N117" s="16" t="s">
        <v>626</v>
      </c>
      <c r="O117" s="72"/>
      <c r="P117" s="16" t="s">
        <v>627</v>
      </c>
      <c r="Q117" s="16" t="s">
        <v>226</v>
      </c>
      <c r="R117" s="16"/>
      <c r="S117" s="16"/>
      <c r="T117" s="16"/>
      <c r="U117" s="16"/>
      <c r="V117" s="17"/>
      <c r="W117" s="16">
        <v>1</v>
      </c>
      <c r="X117" s="16"/>
      <c r="Y117" s="16" t="s">
        <v>628</v>
      </c>
      <c r="Z117" s="18"/>
      <c r="AA117" s="19"/>
      <c r="AB117" s="20"/>
      <c r="AC117" s="19"/>
      <c r="AD117" s="20"/>
      <c r="AE117" s="19"/>
      <c r="AF117" s="16">
        <f>+(187.06+337.9+16.3/2)</f>
        <v>533.11</v>
      </c>
      <c r="AG117" s="16"/>
      <c r="AH117" s="16">
        <f>(556.31+19.58/2+109.89)-AF117</f>
        <v>142.87999999999988</v>
      </c>
      <c r="AI117" s="16"/>
      <c r="AJ117" s="17"/>
      <c r="AK117" s="21"/>
      <c r="AL117" s="22">
        <v>752.55</v>
      </c>
      <c r="AM117" s="22">
        <f>+(556.31+19.68)/AL117</f>
        <v>0.76538435984319975</v>
      </c>
      <c r="AN117" s="22">
        <f>+(AF117+AH117)/AL117</f>
        <v>0.89826589595375717</v>
      </c>
      <c r="AO117" s="22"/>
      <c r="AP117" s="22">
        <v>39600000</v>
      </c>
      <c r="AQ117" s="23">
        <v>573.17600000000004</v>
      </c>
      <c r="AR117" s="22" t="s">
        <v>57</v>
      </c>
      <c r="AS117" s="23" t="s">
        <v>629</v>
      </c>
      <c r="AT117" s="44">
        <v>45139</v>
      </c>
      <c r="AU117" s="24"/>
      <c r="AV117" s="45">
        <v>45090</v>
      </c>
      <c r="AW117" s="13"/>
      <c r="AX117" s="13"/>
      <c r="AY117" s="13"/>
      <c r="AZ117" s="13"/>
      <c r="BA117" s="13"/>
      <c r="BB117" s="13"/>
      <c r="BC117" s="13"/>
      <c r="BD117" s="13"/>
      <c r="BE117" s="13"/>
      <c r="BF117" s="13"/>
      <c r="BG117" s="13"/>
      <c r="BH117" s="14"/>
      <c r="BI117" s="14"/>
      <c r="BJ117" s="14"/>
      <c r="BK117" s="14"/>
      <c r="BL117" s="14"/>
      <c r="BM117" s="14"/>
      <c r="BN117" s="14"/>
      <c r="BO117" s="14"/>
      <c r="BP117" s="14"/>
      <c r="BQ117" s="14"/>
      <c r="BR117" s="14"/>
      <c r="BS117" s="14"/>
      <c r="BT117" s="14"/>
      <c r="BU117" s="14"/>
      <c r="BV117" s="14"/>
      <c r="BW117" s="14"/>
      <c r="IQ117" s="14"/>
      <c r="IR117" s="14"/>
      <c r="IS117" s="14"/>
      <c r="IT117" s="14"/>
      <c r="IU117" s="14"/>
      <c r="IV117" s="14"/>
      <c r="IW117" s="14"/>
    </row>
    <row r="118" spans="2:257" s="2" customFormat="1" ht="63.75">
      <c r="B118" s="49">
        <v>114</v>
      </c>
      <c r="C118" s="41" t="s">
        <v>630</v>
      </c>
      <c r="D118" s="42">
        <v>44963</v>
      </c>
      <c r="E118" s="43" t="s">
        <v>65</v>
      </c>
      <c r="F118" s="15">
        <v>53538</v>
      </c>
      <c r="G118" s="15">
        <v>1390</v>
      </c>
      <c r="H118" s="15">
        <v>1414</v>
      </c>
      <c r="I118" s="16"/>
      <c r="J118" s="16"/>
      <c r="K118" s="16">
        <v>167</v>
      </c>
      <c r="L118" s="16">
        <v>11</v>
      </c>
      <c r="M118" s="16" t="s">
        <v>96</v>
      </c>
      <c r="N118" s="16" t="s">
        <v>631</v>
      </c>
      <c r="O118" s="72" t="s">
        <v>632</v>
      </c>
      <c r="P118" s="16"/>
      <c r="Q118" s="16" t="s">
        <v>633</v>
      </c>
      <c r="R118" s="16"/>
      <c r="S118" s="16"/>
      <c r="T118" s="16"/>
      <c r="U118" s="16">
        <v>1</v>
      </c>
      <c r="V118" s="17">
        <v>1</v>
      </c>
      <c r="W118" s="16"/>
      <c r="X118" s="16"/>
      <c r="Y118" s="16" t="s">
        <v>44</v>
      </c>
      <c r="Z118" s="18">
        <v>1</v>
      </c>
      <c r="AA118" s="19">
        <v>2</v>
      </c>
      <c r="AB118" s="20">
        <f>1+Z118</f>
        <v>2</v>
      </c>
      <c r="AC118" s="19">
        <f>+AA118+1</f>
        <v>3</v>
      </c>
      <c r="AD118" s="20">
        <f>+Z118*2</f>
        <v>2</v>
      </c>
      <c r="AE118" s="19">
        <f>+AA118*3</f>
        <v>6</v>
      </c>
      <c r="AF118" s="16">
        <f>89+2.16/2</f>
        <v>90.08</v>
      </c>
      <c r="AG118" s="16"/>
      <c r="AH118" s="16"/>
      <c r="AI118" s="16"/>
      <c r="AJ118" s="17">
        <f>61.2+3.42/2</f>
        <v>62.910000000000004</v>
      </c>
      <c r="AK118" s="21"/>
      <c r="AL118" s="22">
        <v>310.8</v>
      </c>
      <c r="AM118" s="22">
        <f>+(89+2.16+61.2+3.42)/AL118</f>
        <v>0.50122265122265119</v>
      </c>
      <c r="AN118" s="22">
        <f>+(AF118+AJ118)/AL118</f>
        <v>0.49224581724581723</v>
      </c>
      <c r="AO118" s="22">
        <f>+(12+16+5)/(4+4+1)</f>
        <v>3.6666666666666665</v>
      </c>
      <c r="AP118" s="22">
        <f>462900+((2*48337+38639*3+28998*4+10*19335)/19*AJ118)</f>
        <v>2191047.6331578949</v>
      </c>
      <c r="AQ118" s="23">
        <v>59841.58</v>
      </c>
      <c r="AR118" s="22" t="s">
        <v>57</v>
      </c>
      <c r="AS118" s="23" t="s">
        <v>634</v>
      </c>
      <c r="AT118" s="44">
        <v>45140</v>
      </c>
      <c r="AU118" s="24"/>
      <c r="AV118" s="23" t="s">
        <v>635</v>
      </c>
      <c r="AW118" s="13"/>
      <c r="AX118" s="13"/>
      <c r="AY118" s="13"/>
      <c r="AZ118" s="13"/>
      <c r="BA118" s="13"/>
      <c r="BB118" s="13"/>
      <c r="BC118" s="13"/>
      <c r="BD118" s="13"/>
      <c r="BE118" s="13"/>
      <c r="BF118" s="13"/>
      <c r="BG118" s="13"/>
      <c r="BH118" s="14"/>
      <c r="BI118" s="14"/>
      <c r="BJ118" s="14"/>
      <c r="BK118" s="14"/>
      <c r="BL118" s="14"/>
      <c r="BM118" s="14"/>
      <c r="BN118" s="14"/>
      <c r="BO118" s="14"/>
      <c r="BP118" s="14"/>
      <c r="BQ118" s="14"/>
      <c r="BR118" s="14"/>
      <c r="BS118" s="14"/>
      <c r="BT118" s="14"/>
      <c r="BU118" s="14"/>
      <c r="BV118" s="14"/>
      <c r="BW118" s="14"/>
      <c r="IQ118" s="14"/>
      <c r="IR118" s="14"/>
      <c r="IS118" s="14"/>
      <c r="IT118" s="14"/>
      <c r="IU118" s="14"/>
      <c r="IV118" s="14"/>
      <c r="IW118" s="14"/>
    </row>
    <row r="119" spans="2:257" s="25" customFormat="1" ht="51">
      <c r="B119" s="73">
        <v>115</v>
      </c>
      <c r="C119" s="67">
        <v>554258</v>
      </c>
      <c r="D119" s="93">
        <v>45120</v>
      </c>
      <c r="E119" s="92" t="s">
        <v>46</v>
      </c>
      <c r="F119" s="30">
        <v>14791</v>
      </c>
      <c r="G119" s="30">
        <v>105826</v>
      </c>
      <c r="H119" s="30">
        <v>1202</v>
      </c>
      <c r="I119" s="31"/>
      <c r="J119" s="31"/>
      <c r="K119" s="31">
        <v>20</v>
      </c>
      <c r="L119" s="31">
        <v>16</v>
      </c>
      <c r="M119" s="31" t="s">
        <v>40</v>
      </c>
      <c r="N119" s="31" t="s">
        <v>636</v>
      </c>
      <c r="O119" s="31" t="s">
        <v>637</v>
      </c>
      <c r="P119" s="31"/>
      <c r="Q119" s="31" t="s">
        <v>638</v>
      </c>
      <c r="R119" s="31"/>
      <c r="S119" s="31"/>
      <c r="T119" s="31"/>
      <c r="U119" s="31">
        <v>1</v>
      </c>
      <c r="V119" s="31"/>
      <c r="W119" s="31"/>
      <c r="X119" s="31"/>
      <c r="Y119" s="31" t="s">
        <v>71</v>
      </c>
      <c r="Z119" s="32">
        <v>2</v>
      </c>
      <c r="AA119" s="32"/>
      <c r="AB119" s="32">
        <f>+Z119+1</f>
        <v>3</v>
      </c>
      <c r="AC119" s="32"/>
      <c r="AD119" s="32">
        <f>+Z119*2</f>
        <v>4</v>
      </c>
      <c r="AE119" s="32"/>
      <c r="AF119" s="31"/>
      <c r="AG119" s="31"/>
      <c r="AH119" s="31">
        <f>105.1+7.9/2+10.55</f>
        <v>119.6</v>
      </c>
      <c r="AI119" s="31"/>
      <c r="AJ119" s="31"/>
      <c r="AK119" s="33"/>
      <c r="AL119" s="33">
        <v>286.95</v>
      </c>
      <c r="AM119" s="33">
        <f>+(105.1+7.9)/AL119</f>
        <v>0.39379682871580418</v>
      </c>
      <c r="AN119" s="33">
        <f>+AH119/AL119</f>
        <v>0.41679735145495733</v>
      </c>
      <c r="AO119" s="33"/>
      <c r="AP119" s="33">
        <f>+(48337+5*38639+7*28998+10*19335)/23*AH119</f>
        <v>3316913.6</v>
      </c>
      <c r="AQ119" s="34">
        <v>27103.98</v>
      </c>
      <c r="AR119" s="33" t="s">
        <v>57</v>
      </c>
      <c r="AS119" s="34" t="s">
        <v>639</v>
      </c>
      <c r="AT119" s="35">
        <v>45141</v>
      </c>
      <c r="AU119" s="36"/>
      <c r="AV119" s="94">
        <v>45125</v>
      </c>
      <c r="AW119" s="38"/>
      <c r="AX119" s="38"/>
      <c r="AY119" s="38"/>
      <c r="AZ119" s="38"/>
      <c r="BA119" s="38"/>
      <c r="BB119" s="38"/>
      <c r="BC119" s="38"/>
      <c r="BD119" s="38"/>
      <c r="BE119" s="38"/>
      <c r="BF119" s="38"/>
      <c r="BG119" s="38"/>
      <c r="BH119" s="39"/>
      <c r="BI119" s="39"/>
      <c r="BJ119" s="39"/>
      <c r="BK119" s="39"/>
      <c r="BL119" s="39"/>
      <c r="BM119" s="39"/>
      <c r="BN119" s="39"/>
      <c r="BO119" s="39"/>
      <c r="BP119" s="39"/>
      <c r="BQ119" s="39"/>
      <c r="BR119" s="39"/>
      <c r="BS119" s="39"/>
      <c r="BT119" s="39"/>
      <c r="BU119" s="39"/>
      <c r="BV119" s="39"/>
      <c r="BW119" s="39"/>
      <c r="IQ119" s="39"/>
      <c r="IR119" s="39"/>
      <c r="IS119" s="39"/>
      <c r="IT119" s="39"/>
      <c r="IU119" s="39"/>
      <c r="IV119" s="39"/>
      <c r="IW119" s="39"/>
    </row>
    <row r="120" spans="2:257" s="2" customFormat="1" ht="76.5">
      <c r="B120" s="49">
        <v>117</v>
      </c>
      <c r="C120" s="41">
        <v>553983</v>
      </c>
      <c r="D120" s="42">
        <v>45110</v>
      </c>
      <c r="E120" s="43" t="s">
        <v>46</v>
      </c>
      <c r="F120" s="15">
        <v>57955</v>
      </c>
      <c r="G120" s="15">
        <v>166428</v>
      </c>
      <c r="H120" s="15">
        <v>33775</v>
      </c>
      <c r="I120" s="16">
        <v>326</v>
      </c>
      <c r="J120" s="16"/>
      <c r="K120" s="16">
        <v>4</v>
      </c>
      <c r="L120" s="16">
        <v>14</v>
      </c>
      <c r="M120" s="16" t="s">
        <v>190</v>
      </c>
      <c r="N120" s="16" t="s">
        <v>640</v>
      </c>
      <c r="O120" s="72" t="s">
        <v>641</v>
      </c>
      <c r="P120" s="16"/>
      <c r="Q120" s="16" t="s">
        <v>642</v>
      </c>
      <c r="R120" s="16"/>
      <c r="S120" s="16"/>
      <c r="T120" s="16"/>
      <c r="U120" s="16">
        <v>2</v>
      </c>
      <c r="V120" s="17"/>
      <c r="W120" s="16"/>
      <c r="X120" s="16"/>
      <c r="Y120" s="16" t="s">
        <v>44</v>
      </c>
      <c r="Z120" s="18">
        <f>3+3</f>
        <v>6</v>
      </c>
      <c r="AA120" s="19"/>
      <c r="AB120" s="20">
        <f>1+1+Z120</f>
        <v>8</v>
      </c>
      <c r="AC120" s="19"/>
      <c r="AD120" s="20">
        <f>+Z120*2</f>
        <v>12</v>
      </c>
      <c r="AE120" s="19"/>
      <c r="AF120" s="16"/>
      <c r="AG120" s="16"/>
      <c r="AH120" s="16">
        <f>177.53+42.51/2</f>
        <v>198.785</v>
      </c>
      <c r="AI120" s="16"/>
      <c r="AJ120" s="17"/>
      <c r="AK120" s="21"/>
      <c r="AL120" s="22">
        <v>539.41999999999996</v>
      </c>
      <c r="AM120" s="22">
        <f>+(177.53+42.51)/AL120</f>
        <v>0.40791961736680138</v>
      </c>
      <c r="AN120" s="22">
        <f>+AH120/AL120</f>
        <v>0.36851618404953473</v>
      </c>
      <c r="AO120" s="22">
        <f>+(18+12)/(6+3)</f>
        <v>3.3333333333333335</v>
      </c>
      <c r="AP120" s="22">
        <f>+(8*38639+28998*12)/20*AH120</f>
        <v>6530961.9040000001</v>
      </c>
      <c r="AQ120" s="23">
        <v>95762.84</v>
      </c>
      <c r="AR120" s="22" t="s">
        <v>51</v>
      </c>
      <c r="AS120" s="23" t="s">
        <v>643</v>
      </c>
      <c r="AT120" s="44">
        <v>45148</v>
      </c>
      <c r="AU120" s="24"/>
      <c r="AV120" s="45">
        <v>45113</v>
      </c>
      <c r="AW120" s="13"/>
      <c r="AX120" s="13"/>
      <c r="AY120" s="13"/>
      <c r="AZ120" s="13"/>
      <c r="BA120" s="13"/>
      <c r="BB120" s="13"/>
      <c r="BC120" s="13"/>
      <c r="BD120" s="13"/>
      <c r="BE120" s="13"/>
      <c r="BF120" s="13"/>
      <c r="BG120" s="13"/>
      <c r="BH120" s="14"/>
      <c r="BI120" s="14"/>
      <c r="BJ120" s="14"/>
      <c r="BK120" s="14"/>
      <c r="BL120" s="14"/>
      <c r="BM120" s="14"/>
      <c r="BN120" s="14"/>
      <c r="BO120" s="14"/>
      <c r="BP120" s="14"/>
      <c r="BQ120" s="14"/>
      <c r="BR120" s="14"/>
      <c r="BS120" s="14"/>
      <c r="BT120" s="14"/>
      <c r="BU120" s="14"/>
      <c r="BV120" s="14"/>
      <c r="BW120" s="14"/>
      <c r="IQ120" s="14"/>
      <c r="IR120" s="14"/>
      <c r="IS120" s="14"/>
      <c r="IT120" s="14"/>
      <c r="IU120" s="14"/>
      <c r="IV120" s="14"/>
      <c r="IW120" s="14"/>
    </row>
    <row r="121" spans="2:257" s="2" customFormat="1" ht="51">
      <c r="B121" s="49">
        <v>116</v>
      </c>
      <c r="C121" s="58" t="s">
        <v>644</v>
      </c>
      <c r="D121" s="42">
        <v>44852</v>
      </c>
      <c r="E121" s="43" t="s">
        <v>46</v>
      </c>
      <c r="F121" s="15">
        <v>44522</v>
      </c>
      <c r="G121" s="15">
        <v>142041</v>
      </c>
      <c r="H121" s="15">
        <v>32170</v>
      </c>
      <c r="I121" s="16">
        <v>2</v>
      </c>
      <c r="J121" s="16"/>
      <c r="K121" s="16"/>
      <c r="L121" s="16">
        <v>78</v>
      </c>
      <c r="M121" s="16" t="s">
        <v>299</v>
      </c>
      <c r="N121" s="16" t="s">
        <v>89</v>
      </c>
      <c r="O121" s="72" t="s">
        <v>645</v>
      </c>
      <c r="P121" s="16"/>
      <c r="Q121" s="16" t="s">
        <v>372</v>
      </c>
      <c r="R121" s="16"/>
      <c r="S121" s="16"/>
      <c r="T121" s="16"/>
      <c r="U121" s="16">
        <v>4</v>
      </c>
      <c r="V121" s="17">
        <v>4</v>
      </c>
      <c r="W121" s="16"/>
      <c r="X121" s="16"/>
      <c r="Y121" s="16" t="s">
        <v>44</v>
      </c>
      <c r="Z121" s="18">
        <f>1+1+1+1</f>
        <v>4</v>
      </c>
      <c r="AA121" s="19">
        <f>1+1+1+1</f>
        <v>4</v>
      </c>
      <c r="AB121" s="20"/>
      <c r="AC121" s="19"/>
      <c r="AD121" s="20">
        <f>+Z121*2</f>
        <v>8</v>
      </c>
      <c r="AE121" s="19">
        <f>+AA121*2</f>
        <v>8</v>
      </c>
      <c r="AF121" s="16">
        <f>80.91+69.9/2</f>
        <v>115.86</v>
      </c>
      <c r="AG121" s="16"/>
      <c r="AH121" s="16"/>
      <c r="AI121" s="16"/>
      <c r="AJ121" s="17">
        <f>149.63+79.81/2</f>
        <v>189.535</v>
      </c>
      <c r="AK121" s="21"/>
      <c r="AL121" s="22">
        <v>2017.54</v>
      </c>
      <c r="AM121" s="22">
        <f>+(80.91+69.9+149.63+79.81)/AL121</f>
        <v>0.18847209968575593</v>
      </c>
      <c r="AN121" s="22">
        <f>+(AF121+AJ121)/AL121</f>
        <v>0.15136998522953696</v>
      </c>
      <c r="AO121" s="22"/>
      <c r="AP121" s="22">
        <f>320000+210000</f>
        <v>530000</v>
      </c>
      <c r="AQ121" s="23">
        <v>42058.17</v>
      </c>
      <c r="AR121" s="22" t="s">
        <v>57</v>
      </c>
      <c r="AS121" s="23" t="s">
        <v>646</v>
      </c>
      <c r="AT121" s="44">
        <v>45148</v>
      </c>
      <c r="AU121" s="24"/>
      <c r="AV121" s="45">
        <v>44917</v>
      </c>
      <c r="AW121" s="13"/>
      <c r="AX121" s="13"/>
      <c r="AY121" s="13"/>
      <c r="AZ121" s="13"/>
      <c r="BA121" s="13"/>
      <c r="BB121" s="13"/>
      <c r="BC121" s="13"/>
      <c r="BD121" s="13"/>
      <c r="BE121" s="13"/>
      <c r="BF121" s="13"/>
      <c r="BG121" s="13"/>
      <c r="BH121" s="14"/>
      <c r="BI121" s="14"/>
      <c r="BJ121" s="14"/>
      <c r="BK121" s="14"/>
      <c r="BL121" s="14"/>
      <c r="BM121" s="14"/>
      <c r="BN121" s="14"/>
      <c r="BO121" s="14"/>
      <c r="BP121" s="14"/>
      <c r="BQ121" s="14"/>
      <c r="BR121" s="14"/>
      <c r="BS121" s="14"/>
      <c r="BT121" s="14"/>
      <c r="BU121" s="14"/>
      <c r="BV121" s="14"/>
      <c r="BW121" s="14"/>
      <c r="IQ121" s="14"/>
      <c r="IR121" s="14"/>
      <c r="IS121" s="14"/>
      <c r="IT121" s="14"/>
      <c r="IU121" s="14"/>
      <c r="IV121" s="14"/>
      <c r="IW121" s="14"/>
    </row>
    <row r="122" spans="2:257" s="2" customFormat="1" ht="76.5">
      <c r="B122" s="49">
        <v>119</v>
      </c>
      <c r="C122" s="41">
        <v>554509</v>
      </c>
      <c r="D122" s="42">
        <v>45132</v>
      </c>
      <c r="E122" s="43" t="s">
        <v>65</v>
      </c>
      <c r="F122" s="95">
        <v>37307</v>
      </c>
      <c r="G122" s="96">
        <v>116827</v>
      </c>
      <c r="H122" s="15">
        <v>1611</v>
      </c>
      <c r="I122" s="16"/>
      <c r="J122" s="16"/>
      <c r="K122" s="16">
        <v>753</v>
      </c>
      <c r="L122" s="16">
        <v>1</v>
      </c>
      <c r="M122" s="16" t="s">
        <v>190</v>
      </c>
      <c r="N122" s="16" t="s">
        <v>647</v>
      </c>
      <c r="O122" s="72" t="s">
        <v>648</v>
      </c>
      <c r="P122" s="16"/>
      <c r="Q122" s="16" t="s">
        <v>120</v>
      </c>
      <c r="R122" s="16" t="s">
        <v>120</v>
      </c>
      <c r="S122" s="16" t="s">
        <v>120</v>
      </c>
      <c r="T122" s="16" t="s">
        <v>70</v>
      </c>
      <c r="U122" s="16"/>
      <c r="V122" s="17">
        <v>2</v>
      </c>
      <c r="W122" s="16">
        <v>1</v>
      </c>
      <c r="X122" s="16"/>
      <c r="Y122" s="16" t="s">
        <v>44</v>
      </c>
      <c r="Z122" s="18">
        <v>1</v>
      </c>
      <c r="AA122" s="19">
        <f>1+1</f>
        <v>2</v>
      </c>
      <c r="AB122" s="20">
        <f>+Z122+1</f>
        <v>2</v>
      </c>
      <c r="AC122" s="19">
        <f>+AA122+1+1</f>
        <v>4</v>
      </c>
      <c r="AD122" s="20">
        <f>+Z122*2</f>
        <v>2</v>
      </c>
      <c r="AE122" s="19">
        <f>+AA122*2</f>
        <v>4</v>
      </c>
      <c r="AF122" s="16"/>
      <c r="AG122" s="16"/>
      <c r="AH122" s="16">
        <v>57.6</v>
      </c>
      <c r="AI122" s="16"/>
      <c r="AJ122" s="17">
        <f>69+4.5/2+63.4+4.5/2</f>
        <v>136.9</v>
      </c>
      <c r="AK122" s="21"/>
      <c r="AL122" s="22">
        <v>267.54000000000002</v>
      </c>
      <c r="AM122" s="22">
        <f>+(57.6+69+4.5)/AL122</f>
        <v>0.49002018389773488</v>
      </c>
      <c r="AN122" s="22">
        <f>+(AH122+AJ122)/AL122</f>
        <v>0.72699409434103301</v>
      </c>
      <c r="AO122" s="22">
        <f>+(21+8)/(7+2)</f>
        <v>3.2222222222222223</v>
      </c>
      <c r="AP122" s="22">
        <f>+((5*48337+8*38639+6*28998+2*19335)/21*AJ122)+35000</f>
        <v>5011999.5</v>
      </c>
      <c r="AQ122" s="23">
        <v>50795.01</v>
      </c>
      <c r="AR122" s="22" t="s">
        <v>51</v>
      </c>
      <c r="AS122" s="23" t="s">
        <v>649</v>
      </c>
      <c r="AT122" s="44">
        <v>45152</v>
      </c>
      <c r="AU122" s="24"/>
      <c r="AV122" s="45">
        <v>45165</v>
      </c>
      <c r="AW122" s="13"/>
      <c r="AX122" s="13"/>
      <c r="AY122" s="13"/>
      <c r="AZ122" s="13"/>
      <c r="BA122" s="13"/>
      <c r="BB122" s="13"/>
      <c r="BC122" s="13"/>
      <c r="BD122" s="13"/>
      <c r="BE122" s="13"/>
      <c r="BF122" s="13"/>
      <c r="BG122" s="13"/>
      <c r="BH122" s="14"/>
      <c r="BI122" s="14"/>
      <c r="BJ122" s="14"/>
      <c r="BK122" s="14"/>
      <c r="BL122" s="14"/>
      <c r="BM122" s="14"/>
      <c r="BN122" s="14"/>
      <c r="BO122" s="14"/>
      <c r="BP122" s="14"/>
      <c r="BQ122" s="14"/>
      <c r="BR122" s="14"/>
      <c r="BS122" s="14"/>
      <c r="BT122" s="14"/>
      <c r="BU122" s="14"/>
      <c r="BV122" s="14"/>
      <c r="BW122" s="14"/>
      <c r="IQ122" s="14"/>
      <c r="IR122" s="14"/>
      <c r="IS122" s="14"/>
      <c r="IT122" s="14"/>
      <c r="IU122" s="14"/>
      <c r="IV122" s="14"/>
      <c r="IW122" s="14"/>
    </row>
    <row r="123" spans="2:257" s="25" customFormat="1" ht="38.25">
      <c r="B123" s="49">
        <v>118</v>
      </c>
      <c r="C123" s="67">
        <v>554762</v>
      </c>
      <c r="D123" s="70">
        <v>45141</v>
      </c>
      <c r="E123" s="48" t="s">
        <v>46</v>
      </c>
      <c r="F123" s="30">
        <v>12358</v>
      </c>
      <c r="G123" s="30">
        <v>103820</v>
      </c>
      <c r="H123" s="30">
        <v>3286</v>
      </c>
      <c r="I123" s="31"/>
      <c r="J123" s="31"/>
      <c r="K123" s="31">
        <v>147</v>
      </c>
      <c r="L123" s="31">
        <v>4</v>
      </c>
      <c r="M123" s="31" t="s">
        <v>190</v>
      </c>
      <c r="N123" s="31" t="s">
        <v>650</v>
      </c>
      <c r="O123" s="31" t="s">
        <v>651</v>
      </c>
      <c r="P123" s="31"/>
      <c r="Q123" s="31" t="s">
        <v>120</v>
      </c>
      <c r="R123" s="31"/>
      <c r="S123" s="31"/>
      <c r="T123" s="31"/>
      <c r="U123" s="31"/>
      <c r="V123" s="31"/>
      <c r="W123" s="31"/>
      <c r="X123" s="31"/>
      <c r="Y123" s="31"/>
      <c r="Z123" s="32"/>
      <c r="AA123" s="32"/>
      <c r="AB123" s="32"/>
      <c r="AC123" s="32"/>
      <c r="AD123" s="32"/>
      <c r="AE123" s="32"/>
      <c r="AF123" s="31">
        <f>86+8.2/2</f>
        <v>90.1</v>
      </c>
      <c r="AG123" s="31"/>
      <c r="AH123" s="31">
        <f>74.2+14.9/2+28.5</f>
        <v>110.15</v>
      </c>
      <c r="AI123" s="31"/>
      <c r="AJ123" s="31"/>
      <c r="AK123" s="33"/>
      <c r="AL123" s="33">
        <v>286.14999999999998</v>
      </c>
      <c r="AM123" s="33">
        <f>+(86+8.2+74.2+14.9)/AL123</f>
        <v>0.64057312598287619</v>
      </c>
      <c r="AN123" s="33">
        <f>+(AF123+AH123)/AL123</f>
        <v>0.6998077931154989</v>
      </c>
      <c r="AO123" s="33"/>
      <c r="AP123" s="33">
        <f>+(5*48337+9*38639+28998*5+2*19335)/21*AH123</f>
        <v>4055072.5904761907</v>
      </c>
      <c r="AQ123" s="34">
        <v>107064.77</v>
      </c>
      <c r="AR123" s="33" t="s">
        <v>57</v>
      </c>
      <c r="AS123" s="34" t="s">
        <v>652</v>
      </c>
      <c r="AT123" s="35">
        <v>45152</v>
      </c>
      <c r="AU123" s="36"/>
      <c r="AV123" s="94">
        <v>45141</v>
      </c>
      <c r="AW123" s="38"/>
      <c r="AX123" s="38"/>
      <c r="AY123" s="38"/>
      <c r="AZ123" s="38"/>
      <c r="BA123" s="38"/>
      <c r="BB123" s="38"/>
      <c r="BC123" s="38"/>
      <c r="BD123" s="38"/>
      <c r="BE123" s="38"/>
      <c r="BF123" s="38"/>
      <c r="BG123" s="38"/>
      <c r="BH123" s="39"/>
      <c r="BI123" s="39"/>
      <c r="BJ123" s="39"/>
      <c r="BK123" s="39"/>
      <c r="BL123" s="39"/>
      <c r="BM123" s="39"/>
      <c r="BN123" s="39"/>
      <c r="BO123" s="39"/>
      <c r="BP123" s="39"/>
      <c r="BQ123" s="39"/>
      <c r="BR123" s="39"/>
      <c r="BS123" s="39"/>
      <c r="BT123" s="39"/>
      <c r="BU123" s="39"/>
      <c r="BV123" s="39"/>
      <c r="BW123" s="39"/>
      <c r="IQ123" s="39"/>
      <c r="IR123" s="39"/>
      <c r="IS123" s="39"/>
      <c r="IT123" s="39"/>
      <c r="IU123" s="39"/>
      <c r="IV123" s="39"/>
      <c r="IW123" s="39"/>
    </row>
    <row r="124" spans="2:257" s="25" customFormat="1" ht="51">
      <c r="B124" s="49">
        <v>120</v>
      </c>
      <c r="C124" s="67" t="s">
        <v>653</v>
      </c>
      <c r="D124" s="70">
        <v>45121</v>
      </c>
      <c r="E124" s="48" t="s">
        <v>46</v>
      </c>
      <c r="F124" s="30">
        <v>56302</v>
      </c>
      <c r="G124" s="30">
        <v>165034</v>
      </c>
      <c r="H124" s="30">
        <v>10201</v>
      </c>
      <c r="I124" s="31"/>
      <c r="J124" s="31"/>
      <c r="K124" s="31">
        <v>342</v>
      </c>
      <c r="L124" s="31">
        <v>5</v>
      </c>
      <c r="M124" s="31" t="s">
        <v>66</v>
      </c>
      <c r="N124" s="31" t="s">
        <v>654</v>
      </c>
      <c r="O124" s="31" t="s">
        <v>655</v>
      </c>
      <c r="P124" s="31"/>
      <c r="Q124" s="31" t="s">
        <v>50</v>
      </c>
      <c r="R124" s="31"/>
      <c r="S124" s="31"/>
      <c r="T124" s="31"/>
      <c r="U124" s="31">
        <v>1</v>
      </c>
      <c r="V124" s="31"/>
      <c r="W124" s="31"/>
      <c r="X124" s="31"/>
      <c r="Y124" s="31" t="s">
        <v>62</v>
      </c>
      <c r="Z124" s="32"/>
      <c r="AA124" s="32"/>
      <c r="AB124" s="32"/>
      <c r="AC124" s="32"/>
      <c r="AD124" s="32"/>
      <c r="AE124" s="32"/>
      <c r="AF124" s="31"/>
      <c r="AG124" s="31">
        <f>681.76+14.84/2</f>
        <v>689.18</v>
      </c>
      <c r="AH124" s="31"/>
      <c r="AI124" s="31">
        <f>216.7+33.88/2</f>
        <v>233.64</v>
      </c>
      <c r="AJ124" s="31"/>
      <c r="AK124" s="33"/>
      <c r="AL124" s="33">
        <v>948.74</v>
      </c>
      <c r="AM124" s="33">
        <v>0.86</v>
      </c>
      <c r="AN124" s="33">
        <f>+(AG124+AI124)/AL124</f>
        <v>0.9726795539346923</v>
      </c>
      <c r="AO124" s="33"/>
      <c r="AP124" s="33">
        <f>+AI124*38639</f>
        <v>9027615.959999999</v>
      </c>
      <c r="AQ124" s="34">
        <v>67926.240000000005</v>
      </c>
      <c r="AR124" s="33" t="s">
        <v>77</v>
      </c>
      <c r="AS124" s="34" t="s">
        <v>656</v>
      </c>
      <c r="AT124" s="35">
        <v>45153</v>
      </c>
      <c r="AU124" s="36"/>
      <c r="AV124" s="94">
        <v>45148</v>
      </c>
      <c r="AW124" s="38"/>
      <c r="AX124" s="38"/>
      <c r="AY124" s="38"/>
      <c r="AZ124" s="38"/>
      <c r="BA124" s="38"/>
      <c r="BB124" s="38"/>
      <c r="BC124" s="38"/>
      <c r="BD124" s="38"/>
      <c r="BE124" s="38"/>
      <c r="BF124" s="38"/>
      <c r="BG124" s="38"/>
      <c r="BH124" s="39"/>
      <c r="BI124" s="39"/>
      <c r="BJ124" s="39"/>
      <c r="BK124" s="39"/>
      <c r="BL124" s="39"/>
      <c r="BM124" s="39"/>
      <c r="BN124" s="39"/>
      <c r="BO124" s="39"/>
      <c r="BP124" s="39"/>
      <c r="BQ124" s="39"/>
      <c r="BR124" s="39"/>
      <c r="BS124" s="39"/>
      <c r="BT124" s="39"/>
      <c r="BU124" s="39"/>
      <c r="BV124" s="39"/>
      <c r="BW124" s="39"/>
      <c r="IQ124" s="39"/>
      <c r="IR124" s="39"/>
      <c r="IS124" s="39"/>
      <c r="IT124" s="39"/>
      <c r="IU124" s="39"/>
      <c r="IV124" s="39"/>
      <c r="IW124" s="39"/>
    </row>
    <row r="125" spans="2:257" s="2" customFormat="1" ht="63.75">
      <c r="B125" s="49">
        <v>121</v>
      </c>
      <c r="C125" s="41" t="s">
        <v>657</v>
      </c>
      <c r="D125" s="42">
        <v>45057</v>
      </c>
      <c r="E125" s="43" t="s">
        <v>117</v>
      </c>
      <c r="F125" s="15">
        <v>60897</v>
      </c>
      <c r="G125" s="15"/>
      <c r="H125" s="15">
        <v>34023</v>
      </c>
      <c r="I125" s="16"/>
      <c r="J125" s="16"/>
      <c r="K125" s="16"/>
      <c r="L125" s="16"/>
      <c r="M125" s="16" t="s">
        <v>431</v>
      </c>
      <c r="N125" s="16" t="s">
        <v>658</v>
      </c>
      <c r="O125" s="72" t="s">
        <v>280</v>
      </c>
      <c r="P125" s="16"/>
      <c r="Q125" s="16" t="s">
        <v>659</v>
      </c>
      <c r="R125" s="16" t="s">
        <v>659</v>
      </c>
      <c r="S125" s="16" t="s">
        <v>659</v>
      </c>
      <c r="T125" s="16" t="s">
        <v>70</v>
      </c>
      <c r="U125" s="16"/>
      <c r="V125" s="17">
        <v>4</v>
      </c>
      <c r="W125" s="16">
        <v>1</v>
      </c>
      <c r="X125" s="16"/>
      <c r="Y125" s="16" t="s">
        <v>44</v>
      </c>
      <c r="Z125" s="18">
        <v>2</v>
      </c>
      <c r="AA125" s="19">
        <f>1+1+1+1</f>
        <v>4</v>
      </c>
      <c r="AB125" s="20">
        <f>+Z125+1</f>
        <v>3</v>
      </c>
      <c r="AC125" s="19">
        <f>+AA125+1+1+1+1</f>
        <v>8</v>
      </c>
      <c r="AD125" s="20">
        <f>+Z125*2</f>
        <v>4</v>
      </c>
      <c r="AE125" s="19">
        <f>+AA125*2</f>
        <v>8</v>
      </c>
      <c r="AF125" s="16">
        <f>59+5.6/2</f>
        <v>61.8</v>
      </c>
      <c r="AG125" s="16"/>
      <c r="AH125" s="16"/>
      <c r="AI125" s="16"/>
      <c r="AJ125" s="17">
        <f>162.38+105.3/2+139.38+42.36/2+7.5/2</f>
        <v>379.34</v>
      </c>
      <c r="AK125" s="21"/>
      <c r="AL125" s="22">
        <v>2400</v>
      </c>
      <c r="AM125" s="22">
        <f>+(59+5.6+182.38+105.3+7.5)/AL125</f>
        <v>0.14990833333333331</v>
      </c>
      <c r="AN125" s="22">
        <f>+(AF125+AJ125)/AL125</f>
        <v>0.18380833333333332</v>
      </c>
      <c r="AO125" s="22"/>
      <c r="AP125" s="22">
        <f>+((11*48337+6*38639+4*28998+19335*1)/22*AJ125)+(767006.24+418082.29+476119.53+110087.32+359408.75)</f>
        <v>17629639.908181816</v>
      </c>
      <c r="AQ125" s="23">
        <v>370740.71</v>
      </c>
      <c r="AR125" s="22" t="s">
        <v>57</v>
      </c>
      <c r="AS125" s="23" t="s">
        <v>660</v>
      </c>
      <c r="AT125" s="44">
        <v>45153</v>
      </c>
      <c r="AU125" s="24"/>
      <c r="AV125" s="23" t="s">
        <v>661</v>
      </c>
      <c r="AW125" s="13"/>
      <c r="AX125" s="13"/>
      <c r="AY125" s="13"/>
      <c r="AZ125" s="13"/>
      <c r="BA125" s="13"/>
      <c r="BB125" s="13"/>
      <c r="BC125" s="13"/>
      <c r="BD125" s="13"/>
      <c r="BE125" s="13"/>
      <c r="BF125" s="13"/>
      <c r="BG125" s="13"/>
      <c r="BH125" s="14"/>
      <c r="BI125" s="14"/>
      <c r="BJ125" s="14"/>
      <c r="BK125" s="14"/>
      <c r="BL125" s="14"/>
      <c r="BM125" s="14"/>
      <c r="BN125" s="14"/>
      <c r="BO125" s="14"/>
      <c r="BP125" s="14"/>
      <c r="BQ125" s="14"/>
      <c r="BR125" s="14"/>
      <c r="BS125" s="14"/>
      <c r="BT125" s="14"/>
      <c r="BU125" s="14"/>
      <c r="BV125" s="14"/>
      <c r="BW125" s="14"/>
      <c r="IQ125" s="14"/>
      <c r="IR125" s="14"/>
      <c r="IS125" s="14"/>
      <c r="IT125" s="14"/>
      <c r="IU125" s="14"/>
      <c r="IV125" s="14"/>
      <c r="IW125" s="14"/>
    </row>
    <row r="126" spans="2:257" s="25" customFormat="1" ht="76.5">
      <c r="B126" s="49">
        <v>123</v>
      </c>
      <c r="C126" s="67">
        <v>554612</v>
      </c>
      <c r="D126" s="70">
        <v>45134</v>
      </c>
      <c r="E126" s="48" t="s">
        <v>402</v>
      </c>
      <c r="F126" s="30">
        <v>10116</v>
      </c>
      <c r="G126" s="30">
        <v>101197</v>
      </c>
      <c r="H126" s="30">
        <v>2643</v>
      </c>
      <c r="I126" s="31"/>
      <c r="J126" s="31"/>
      <c r="K126" s="31">
        <v>778</v>
      </c>
      <c r="L126" s="31">
        <v>8</v>
      </c>
      <c r="M126" s="31" t="s">
        <v>190</v>
      </c>
      <c r="N126" s="31" t="s">
        <v>662</v>
      </c>
      <c r="O126" s="31" t="s">
        <v>663</v>
      </c>
      <c r="P126" s="31"/>
      <c r="Q126" s="31" t="s">
        <v>120</v>
      </c>
      <c r="R126" s="31" t="s">
        <v>120</v>
      </c>
      <c r="S126" s="31" t="s">
        <v>120</v>
      </c>
      <c r="T126" s="31" t="s">
        <v>70</v>
      </c>
      <c r="U126" s="31">
        <f>1+1+1+1</f>
        <v>4</v>
      </c>
      <c r="V126" s="31">
        <v>1</v>
      </c>
      <c r="W126" s="31"/>
      <c r="X126" s="31"/>
      <c r="Y126" s="31" t="s">
        <v>44</v>
      </c>
      <c r="Z126" s="32">
        <f>1+2+1</f>
        <v>4</v>
      </c>
      <c r="AA126" s="32">
        <v>2</v>
      </c>
      <c r="AB126" s="32">
        <f>+Z126+1+1</f>
        <v>6</v>
      </c>
      <c r="AC126" s="32">
        <f>+AA126+1</f>
        <v>3</v>
      </c>
      <c r="AD126" s="32">
        <f>+Z126*2</f>
        <v>8</v>
      </c>
      <c r="AE126" s="32">
        <f>+AA126*2</f>
        <v>4</v>
      </c>
      <c r="AF126" s="31">
        <f>76+29-34.8-12.25</f>
        <v>57.95</v>
      </c>
      <c r="AG126" s="31"/>
      <c r="AH126" s="31">
        <f>28.16/2+52.03+3.2/2</f>
        <v>67.709999999999994</v>
      </c>
      <c r="AI126" s="31"/>
      <c r="AJ126" s="31">
        <f>39.25+33.3</f>
        <v>72.55</v>
      </c>
      <c r="AK126" s="33"/>
      <c r="AL126" s="33">
        <v>264.51</v>
      </c>
      <c r="AM126" s="33">
        <f>+(76+29-34.8-12.25+31.3+28.16+39.25)/AL126</f>
        <v>0.59226494272428265</v>
      </c>
      <c r="AN126" s="33">
        <f>+(AF126+AH126+AJ126)/AL126</f>
        <v>0.74934785074288301</v>
      </c>
      <c r="AO126" s="33"/>
      <c r="AP126" s="33">
        <f>+(6*48337+7*38639+8*28998+19335*2)/23*(AJ126+AH126)</f>
        <v>5068563.4234782606</v>
      </c>
      <c r="AQ126" s="34">
        <v>75015.240000000005</v>
      </c>
      <c r="AR126" s="33" t="s">
        <v>57</v>
      </c>
      <c r="AS126" s="34" t="s">
        <v>664</v>
      </c>
      <c r="AT126" s="35">
        <v>45154</v>
      </c>
      <c r="AU126" s="36"/>
      <c r="AV126" s="94" t="s">
        <v>665</v>
      </c>
      <c r="AW126" s="38"/>
      <c r="AX126" s="38"/>
      <c r="AY126" s="38"/>
      <c r="AZ126" s="38"/>
      <c r="BA126" s="38"/>
      <c r="BB126" s="38"/>
      <c r="BC126" s="38"/>
      <c r="BD126" s="38"/>
      <c r="BE126" s="38"/>
      <c r="BF126" s="38"/>
      <c r="BG126" s="38"/>
      <c r="BH126" s="39"/>
      <c r="BI126" s="39"/>
      <c r="BJ126" s="39"/>
      <c r="BK126" s="39"/>
      <c r="BL126" s="39"/>
      <c r="BM126" s="39"/>
      <c r="BN126" s="39"/>
      <c r="BO126" s="39"/>
      <c r="BP126" s="39"/>
      <c r="BQ126" s="39"/>
      <c r="BR126" s="39"/>
      <c r="BS126" s="39"/>
      <c r="BT126" s="39"/>
      <c r="BU126" s="39"/>
      <c r="BV126" s="39"/>
      <c r="BW126" s="39"/>
      <c r="IQ126" s="39"/>
      <c r="IR126" s="39"/>
      <c r="IS126" s="39"/>
      <c r="IT126" s="39"/>
      <c r="IU126" s="39"/>
      <c r="IV126" s="39"/>
      <c r="IW126" s="39"/>
    </row>
    <row r="127" spans="2:257" s="2" customFormat="1" ht="51">
      <c r="B127" s="49">
        <v>122</v>
      </c>
      <c r="C127" s="41" t="s">
        <v>666</v>
      </c>
      <c r="D127" s="42">
        <v>45091</v>
      </c>
      <c r="E127" s="43" t="s">
        <v>46</v>
      </c>
      <c r="F127" s="15">
        <v>49364</v>
      </c>
      <c r="G127" s="15">
        <v>159595</v>
      </c>
      <c r="H127" s="15">
        <v>32649</v>
      </c>
      <c r="I127" s="16">
        <v>324</v>
      </c>
      <c r="J127" s="16"/>
      <c r="K127" s="16"/>
      <c r="L127" s="16">
        <v>39</v>
      </c>
      <c r="M127" s="16" t="s">
        <v>206</v>
      </c>
      <c r="N127" s="16" t="s">
        <v>667</v>
      </c>
      <c r="O127" s="72" t="s">
        <v>668</v>
      </c>
      <c r="P127" s="16"/>
      <c r="Q127" s="16" t="s">
        <v>669</v>
      </c>
      <c r="R127" s="16"/>
      <c r="S127" s="16"/>
      <c r="T127" s="16"/>
      <c r="U127" s="16">
        <v>1</v>
      </c>
      <c r="V127" s="17"/>
      <c r="W127" s="16"/>
      <c r="X127" s="16"/>
      <c r="Y127" s="16" t="s">
        <v>71</v>
      </c>
      <c r="Z127" s="18">
        <v>3</v>
      </c>
      <c r="AA127" s="19"/>
      <c r="AB127" s="20">
        <f>+Z127+1</f>
        <v>4</v>
      </c>
      <c r="AC127" s="19"/>
      <c r="AD127" s="20">
        <f>+Z127*2</f>
        <v>6</v>
      </c>
      <c r="AE127" s="19"/>
      <c r="AF127" s="16"/>
      <c r="AG127" s="16"/>
      <c r="AH127" s="16">
        <v>77.94</v>
      </c>
      <c r="AI127" s="16"/>
      <c r="AJ127" s="17"/>
      <c r="AK127" s="21"/>
      <c r="AL127" s="22">
        <v>394.79</v>
      </c>
      <c r="AM127" s="22">
        <f>+AH127/AL127</f>
        <v>0.19742141391625925</v>
      </c>
      <c r="AN127" s="22">
        <f>+AH127/AL127</f>
        <v>0.19742141391625925</v>
      </c>
      <c r="AO127" s="22"/>
      <c r="AP127" s="22">
        <f>+(2*48337+38639*4+28998*4+19335*9)/19*AH127</f>
        <v>2220211.1463157893</v>
      </c>
      <c r="AQ127" s="23">
        <v>34607</v>
      </c>
      <c r="AR127" s="22" t="s">
        <v>57</v>
      </c>
      <c r="AS127" s="23" t="s">
        <v>670</v>
      </c>
      <c r="AT127" s="44">
        <v>45154</v>
      </c>
      <c r="AU127" s="24"/>
      <c r="AV127" s="45">
        <v>45149</v>
      </c>
      <c r="AW127" s="13"/>
      <c r="AX127" s="13"/>
      <c r="AY127" s="13"/>
      <c r="AZ127" s="13"/>
      <c r="BA127" s="13"/>
      <c r="BB127" s="13"/>
      <c r="BC127" s="13"/>
      <c r="BD127" s="13"/>
      <c r="BE127" s="13"/>
      <c r="BF127" s="13"/>
      <c r="BG127" s="13"/>
      <c r="BH127" s="14"/>
      <c r="BI127" s="14"/>
      <c r="BJ127" s="14"/>
      <c r="BK127" s="14"/>
      <c r="BL127" s="14"/>
      <c r="BM127" s="14"/>
      <c r="BN127" s="14"/>
      <c r="BO127" s="14"/>
      <c r="BP127" s="14"/>
      <c r="BQ127" s="14"/>
      <c r="BR127" s="14"/>
      <c r="BS127" s="14"/>
      <c r="BT127" s="14"/>
      <c r="BU127" s="14"/>
      <c r="BV127" s="14"/>
      <c r="BW127" s="14"/>
      <c r="IQ127" s="14"/>
      <c r="IR127" s="14"/>
      <c r="IS127" s="14"/>
      <c r="IT127" s="14"/>
      <c r="IU127" s="14"/>
      <c r="IV127" s="14"/>
      <c r="IW127" s="14"/>
    </row>
    <row r="128" spans="2:257" s="2" customFormat="1" ht="38.25">
      <c r="B128" s="49">
        <v>124</v>
      </c>
      <c r="C128" s="58">
        <v>546736</v>
      </c>
      <c r="D128" s="42">
        <v>44855</v>
      </c>
      <c r="E128" s="43" t="s">
        <v>65</v>
      </c>
      <c r="F128" s="15">
        <v>33750</v>
      </c>
      <c r="G128" s="15">
        <v>1414</v>
      </c>
      <c r="H128" s="15">
        <v>4714</v>
      </c>
      <c r="I128" s="16"/>
      <c r="J128" s="16"/>
      <c r="K128" s="16">
        <v>91</v>
      </c>
      <c r="L128" s="16">
        <v>5</v>
      </c>
      <c r="M128" s="16" t="s">
        <v>40</v>
      </c>
      <c r="N128" s="16" t="s">
        <v>671</v>
      </c>
      <c r="O128" s="72" t="s">
        <v>672</v>
      </c>
      <c r="P128" s="16"/>
      <c r="Q128" s="16" t="s">
        <v>672</v>
      </c>
      <c r="R128" s="16" t="s">
        <v>672</v>
      </c>
      <c r="S128" s="16" t="s">
        <v>672</v>
      </c>
      <c r="T128" s="16" t="s">
        <v>123</v>
      </c>
      <c r="U128" s="16"/>
      <c r="V128" s="17">
        <v>1</v>
      </c>
      <c r="W128" s="16"/>
      <c r="X128" s="16"/>
      <c r="Y128" s="16" t="s">
        <v>62</v>
      </c>
      <c r="Z128" s="18"/>
      <c r="AA128" s="19"/>
      <c r="AB128" s="20"/>
      <c r="AC128" s="19"/>
      <c r="AD128" s="20"/>
      <c r="AE128" s="19"/>
      <c r="AF128" s="16"/>
      <c r="AG128" s="16"/>
      <c r="AH128" s="16"/>
      <c r="AI128" s="16"/>
      <c r="AJ128" s="17"/>
      <c r="AK128" s="21">
        <f>166.74+3.94</f>
        <v>170.68</v>
      </c>
      <c r="AL128" s="22">
        <v>127.21</v>
      </c>
      <c r="AM128" s="22"/>
      <c r="AN128" s="22">
        <f>+AK128/AL128</f>
        <v>1.3417184183633364</v>
      </c>
      <c r="AO128" s="22"/>
      <c r="AP128" s="22">
        <v>100000</v>
      </c>
      <c r="AQ128" s="23">
        <v>39234.730000000003</v>
      </c>
      <c r="AR128" s="22" t="s">
        <v>115</v>
      </c>
      <c r="AS128" s="23" t="s">
        <v>673</v>
      </c>
      <c r="AT128" s="44">
        <v>45160</v>
      </c>
      <c r="AU128" s="24"/>
      <c r="AV128" s="45" t="s">
        <v>674</v>
      </c>
      <c r="AW128" s="13"/>
      <c r="AX128" s="13"/>
      <c r="AY128" s="13"/>
      <c r="AZ128" s="13"/>
      <c r="BA128" s="13"/>
      <c r="BB128" s="13"/>
      <c r="BC128" s="13"/>
      <c r="BD128" s="13"/>
      <c r="BE128" s="13"/>
      <c r="BF128" s="13"/>
      <c r="BG128" s="13"/>
      <c r="BH128" s="14"/>
      <c r="BI128" s="14"/>
      <c r="BJ128" s="14"/>
      <c r="BK128" s="14"/>
      <c r="BL128" s="14"/>
      <c r="BM128" s="14"/>
      <c r="BN128" s="14"/>
      <c r="BO128" s="14"/>
      <c r="BP128" s="14"/>
      <c r="BQ128" s="14"/>
      <c r="BR128" s="14"/>
      <c r="BS128" s="14"/>
      <c r="BT128" s="14"/>
      <c r="BU128" s="14"/>
      <c r="BV128" s="14"/>
      <c r="BW128" s="14"/>
      <c r="IQ128" s="14"/>
      <c r="IR128" s="14"/>
      <c r="IS128" s="14"/>
      <c r="IT128" s="14"/>
      <c r="IU128" s="14"/>
      <c r="IV128" s="14"/>
      <c r="IW128" s="14"/>
    </row>
    <row r="129" spans="2:257" s="2" customFormat="1" ht="38.25">
      <c r="B129" s="49">
        <v>126</v>
      </c>
      <c r="C129" s="41" t="s">
        <v>675</v>
      </c>
      <c r="D129" s="42">
        <v>45090</v>
      </c>
      <c r="E129" s="43" t="s">
        <v>65</v>
      </c>
      <c r="F129" s="15">
        <v>14742</v>
      </c>
      <c r="G129" s="15">
        <v>105819</v>
      </c>
      <c r="H129" s="15">
        <v>3135</v>
      </c>
      <c r="I129" s="16"/>
      <c r="J129" s="16"/>
      <c r="K129" s="16">
        <v>72</v>
      </c>
      <c r="L129" s="16">
        <v>1</v>
      </c>
      <c r="M129" s="16" t="s">
        <v>96</v>
      </c>
      <c r="N129" s="16" t="s">
        <v>676</v>
      </c>
      <c r="O129" s="72" t="s">
        <v>458</v>
      </c>
      <c r="P129" s="16"/>
      <c r="Q129" s="16" t="s">
        <v>43</v>
      </c>
      <c r="R129" s="16" t="s">
        <v>43</v>
      </c>
      <c r="S129" s="16" t="s">
        <v>43</v>
      </c>
      <c r="T129" s="16" t="s">
        <v>459</v>
      </c>
      <c r="U129" s="16"/>
      <c r="V129" s="17">
        <v>1</v>
      </c>
      <c r="W129" s="16"/>
      <c r="X129" s="16"/>
      <c r="Y129" s="16" t="s">
        <v>677</v>
      </c>
      <c r="Z129" s="18"/>
      <c r="AA129" s="19"/>
      <c r="AB129" s="20"/>
      <c r="AC129" s="19"/>
      <c r="AD129" s="20"/>
      <c r="AE129" s="19"/>
      <c r="AF129" s="16"/>
      <c r="AG129" s="16"/>
      <c r="AH129" s="16"/>
      <c r="AI129" s="16"/>
      <c r="AJ129" s="17"/>
      <c r="AK129" s="21">
        <f>322.07+146.4</f>
        <v>468.47</v>
      </c>
      <c r="AL129" s="22">
        <v>325.2</v>
      </c>
      <c r="AM129" s="22">
        <v>1</v>
      </c>
      <c r="AN129" s="22">
        <f>+AK129/AL129</f>
        <v>1.4405596555965561</v>
      </c>
      <c r="AO129" s="22"/>
      <c r="AP129" s="22">
        <v>38384015.719999999</v>
      </c>
      <c r="AQ129" s="23">
        <v>67628.59</v>
      </c>
      <c r="AR129" s="22" t="s">
        <v>57</v>
      </c>
      <c r="AS129" s="23" t="s">
        <v>678</v>
      </c>
      <c r="AT129" s="44">
        <v>45163</v>
      </c>
      <c r="AU129" s="44">
        <v>45679</v>
      </c>
      <c r="AV129" s="23" t="s">
        <v>679</v>
      </c>
      <c r="AW129" s="13"/>
      <c r="AX129" s="13"/>
      <c r="AY129" s="13"/>
      <c r="AZ129" s="13"/>
      <c r="BA129" s="13"/>
      <c r="BB129" s="13"/>
      <c r="BC129" s="13"/>
      <c r="BD129" s="13"/>
      <c r="BE129" s="13"/>
      <c r="BF129" s="13"/>
      <c r="BG129" s="13"/>
      <c r="BH129" s="14"/>
      <c r="BI129" s="14"/>
      <c r="BJ129" s="14"/>
      <c r="BK129" s="14"/>
      <c r="BL129" s="14"/>
      <c r="BM129" s="14"/>
      <c r="BN129" s="14"/>
      <c r="BO129" s="14"/>
      <c r="BP129" s="14"/>
      <c r="BQ129" s="14"/>
      <c r="BR129" s="14"/>
      <c r="BS129" s="14"/>
      <c r="BT129" s="14"/>
      <c r="BU129" s="14"/>
      <c r="BV129" s="14"/>
      <c r="BW129" s="14"/>
      <c r="IQ129" s="14"/>
      <c r="IR129" s="14"/>
      <c r="IS129" s="14"/>
      <c r="IT129" s="14"/>
      <c r="IU129" s="14"/>
      <c r="IV129" s="14"/>
      <c r="IW129" s="14"/>
    </row>
    <row r="130" spans="2:257" s="2" customFormat="1" ht="38.25">
      <c r="B130" s="49">
        <v>125</v>
      </c>
      <c r="C130" s="41" t="s">
        <v>680</v>
      </c>
      <c r="D130" s="42">
        <v>45070</v>
      </c>
      <c r="E130" s="43" t="s">
        <v>65</v>
      </c>
      <c r="F130" s="15">
        <v>30078</v>
      </c>
      <c r="G130" s="15">
        <v>128395</v>
      </c>
      <c r="H130" s="15">
        <v>6449</v>
      </c>
      <c r="I130" s="16"/>
      <c r="J130" s="16"/>
      <c r="K130" s="16">
        <v>7</v>
      </c>
      <c r="L130" s="16">
        <v>13</v>
      </c>
      <c r="M130" s="16" t="s">
        <v>40</v>
      </c>
      <c r="N130" s="16" t="s">
        <v>681</v>
      </c>
      <c r="O130" s="72" t="s">
        <v>409</v>
      </c>
      <c r="P130" s="16"/>
      <c r="Q130" s="16" t="s">
        <v>43</v>
      </c>
      <c r="R130" s="16"/>
      <c r="S130" s="16"/>
      <c r="T130" s="16"/>
      <c r="U130" s="16"/>
      <c r="V130" s="17">
        <v>2</v>
      </c>
      <c r="W130" s="16"/>
      <c r="X130" s="16"/>
      <c r="Y130" s="16" t="s">
        <v>62</v>
      </c>
      <c r="Z130" s="18"/>
      <c r="AA130" s="19"/>
      <c r="AB130" s="20"/>
      <c r="AC130" s="19"/>
      <c r="AD130" s="20"/>
      <c r="AE130" s="19"/>
      <c r="AF130" s="16"/>
      <c r="AG130" s="16">
        <v>230.2</v>
      </c>
      <c r="AH130" s="16"/>
      <c r="AI130" s="16"/>
      <c r="AJ130" s="17"/>
      <c r="AK130" s="21">
        <f>162.48+80.28/2</f>
        <v>202.62</v>
      </c>
      <c r="AL130" s="22">
        <v>230.2</v>
      </c>
      <c r="AM130" s="22">
        <f>+(230.2+162.48)/AL130</f>
        <v>1.705821025195482</v>
      </c>
      <c r="AN130" s="22">
        <f>+(AK130+AG130)/AL130</f>
        <v>1.8801911381407472</v>
      </c>
      <c r="AO130" s="22"/>
      <c r="AP130" s="22">
        <f>+AK130*38639</f>
        <v>7829034.1800000006</v>
      </c>
      <c r="AQ130" s="23">
        <v>40224.04</v>
      </c>
      <c r="AR130" s="22" t="s">
        <v>57</v>
      </c>
      <c r="AS130" s="23" t="s">
        <v>682</v>
      </c>
      <c r="AT130" s="44">
        <v>45163</v>
      </c>
      <c r="AU130" s="24"/>
      <c r="AV130" s="45">
        <v>45155</v>
      </c>
      <c r="AW130" s="13"/>
      <c r="AX130" s="13"/>
      <c r="AY130" s="13"/>
      <c r="AZ130" s="13"/>
      <c r="BA130" s="13"/>
      <c r="BB130" s="13"/>
      <c r="BC130" s="13"/>
      <c r="BD130" s="13"/>
      <c r="BE130" s="13"/>
      <c r="BF130" s="13"/>
      <c r="BG130" s="13"/>
      <c r="BH130" s="14"/>
      <c r="BI130" s="14"/>
      <c r="BJ130" s="14"/>
      <c r="BK130" s="14"/>
      <c r="BL130" s="14"/>
      <c r="BM130" s="14"/>
      <c r="BN130" s="14"/>
      <c r="BO130" s="14"/>
      <c r="BP130" s="14"/>
      <c r="BQ130" s="14"/>
      <c r="BR130" s="14"/>
      <c r="BS130" s="14"/>
      <c r="BT130" s="14"/>
      <c r="BU130" s="14"/>
      <c r="BV130" s="14"/>
      <c r="BW130" s="14"/>
      <c r="IQ130" s="14"/>
      <c r="IR130" s="14"/>
      <c r="IS130" s="14"/>
      <c r="IT130" s="14"/>
      <c r="IU130" s="14"/>
      <c r="IV130" s="14"/>
      <c r="IW130" s="14"/>
    </row>
    <row r="131" spans="2:257" s="2" customFormat="1" ht="51">
      <c r="B131" s="49">
        <v>128</v>
      </c>
      <c r="C131" s="41" t="s">
        <v>683</v>
      </c>
      <c r="D131" s="42">
        <v>45077</v>
      </c>
      <c r="E131" s="43" t="s">
        <v>65</v>
      </c>
      <c r="F131" s="15">
        <v>13841</v>
      </c>
      <c r="G131" s="15">
        <v>101927</v>
      </c>
      <c r="H131" s="15">
        <v>1149</v>
      </c>
      <c r="I131" s="16"/>
      <c r="J131" s="16"/>
      <c r="K131" s="16">
        <v>114</v>
      </c>
      <c r="L131" s="16">
        <v>7</v>
      </c>
      <c r="M131" s="16" t="s">
        <v>40</v>
      </c>
      <c r="N131" s="16" t="s">
        <v>684</v>
      </c>
      <c r="O131" s="72" t="s">
        <v>685</v>
      </c>
      <c r="P131" s="16"/>
      <c r="Q131" s="16" t="s">
        <v>357</v>
      </c>
      <c r="R131" s="16" t="s">
        <v>357</v>
      </c>
      <c r="S131" s="16" t="s">
        <v>357</v>
      </c>
      <c r="T131" s="16" t="s">
        <v>686</v>
      </c>
      <c r="U131" s="16">
        <v>1</v>
      </c>
      <c r="V131" s="17">
        <v>3</v>
      </c>
      <c r="W131" s="16"/>
      <c r="X131" s="16"/>
      <c r="Y131" s="16" t="s">
        <v>44</v>
      </c>
      <c r="Z131" s="18"/>
      <c r="AA131" s="19"/>
      <c r="AB131" s="20"/>
      <c r="AC131" s="19"/>
      <c r="AD131" s="20"/>
      <c r="AE131" s="19"/>
      <c r="AF131" s="16"/>
      <c r="AG131" s="16"/>
      <c r="AH131" s="16">
        <v>138.30000000000001</v>
      </c>
      <c r="AI131" s="16"/>
      <c r="AJ131" s="17">
        <f>246.6+31.25/2+139.9+3.6/2-AH131</f>
        <v>265.625</v>
      </c>
      <c r="AK131" s="21"/>
      <c r="AL131" s="22">
        <v>311.3</v>
      </c>
      <c r="AM131" s="22">
        <f>+(108.3+139.3+12.5+18.75)/AL131</f>
        <v>0.89575971731448767</v>
      </c>
      <c r="AN131" s="22">
        <f>+(AH131+AJ131)/AL131</f>
        <v>1.2975425634436235</v>
      </c>
      <c r="AO131" s="22">
        <f>+(8+12)/(4+4)</f>
        <v>2.5</v>
      </c>
      <c r="AP131" s="22">
        <f>+(1*48337+15*38639+5*28998+3*19335)/22*AJ131</f>
        <v>10032378.551136363</v>
      </c>
      <c r="AQ131" s="23">
        <v>127791.56</v>
      </c>
      <c r="AR131" s="22" t="s">
        <v>57</v>
      </c>
      <c r="AS131" s="23" t="s">
        <v>687</v>
      </c>
      <c r="AT131" s="44">
        <v>45163</v>
      </c>
      <c r="AU131" s="24"/>
      <c r="AV131" s="23" t="s">
        <v>688</v>
      </c>
      <c r="AW131" s="13"/>
      <c r="AX131" s="13"/>
      <c r="AY131" s="13"/>
      <c r="AZ131" s="13"/>
      <c r="BA131" s="13"/>
      <c r="BB131" s="13"/>
      <c r="BC131" s="13"/>
      <c r="BD131" s="13"/>
      <c r="BE131" s="13"/>
      <c r="BF131" s="13"/>
      <c r="BG131" s="13"/>
      <c r="BH131" s="14"/>
      <c r="BI131" s="14"/>
      <c r="BJ131" s="14"/>
      <c r="BK131" s="14"/>
      <c r="BL131" s="14"/>
      <c r="BM131" s="14"/>
      <c r="BN131" s="14"/>
      <c r="BO131" s="14"/>
      <c r="BP131" s="14"/>
      <c r="BQ131" s="14"/>
      <c r="BR131" s="14"/>
      <c r="BS131" s="14"/>
      <c r="BT131" s="14"/>
      <c r="BU131" s="14"/>
      <c r="BV131" s="14"/>
      <c r="BW131" s="14"/>
      <c r="IQ131" s="14"/>
      <c r="IR131" s="14"/>
      <c r="IS131" s="14"/>
      <c r="IT131" s="14"/>
      <c r="IU131" s="14"/>
      <c r="IV131" s="14"/>
      <c r="IW131" s="14"/>
    </row>
    <row r="132" spans="2:257" s="25" customFormat="1" ht="89.25">
      <c r="B132" s="49">
        <v>127</v>
      </c>
      <c r="C132" s="67">
        <v>554614</v>
      </c>
      <c r="D132" s="70">
        <v>45134</v>
      </c>
      <c r="E132" s="48" t="s">
        <v>65</v>
      </c>
      <c r="F132" s="30">
        <v>11247</v>
      </c>
      <c r="G132" s="30">
        <v>112646</v>
      </c>
      <c r="H132" s="30">
        <v>3381</v>
      </c>
      <c r="I132" s="31"/>
      <c r="J132" s="31"/>
      <c r="K132" s="31">
        <v>711</v>
      </c>
      <c r="L132" s="31">
        <v>2</v>
      </c>
      <c r="M132" s="31" t="s">
        <v>190</v>
      </c>
      <c r="N132" s="31" t="s">
        <v>689</v>
      </c>
      <c r="O132" s="31" t="s">
        <v>690</v>
      </c>
      <c r="P132" s="31"/>
      <c r="Q132" s="16" t="s">
        <v>120</v>
      </c>
      <c r="R132" s="16" t="s">
        <v>120</v>
      </c>
      <c r="S132" s="16" t="s">
        <v>120</v>
      </c>
      <c r="T132" s="31" t="s">
        <v>691</v>
      </c>
      <c r="U132" s="31"/>
      <c r="V132" s="31">
        <v>2</v>
      </c>
      <c r="W132" s="31"/>
      <c r="X132" s="31"/>
      <c r="Y132" s="31" t="s">
        <v>44</v>
      </c>
      <c r="Z132" s="32">
        <f>2+2</f>
        <v>4</v>
      </c>
      <c r="AA132" s="32">
        <f>2+2</f>
        <v>4</v>
      </c>
      <c r="AB132" s="32">
        <f>+Z132+1+1</f>
        <v>6</v>
      </c>
      <c r="AC132" s="32">
        <f>+AA132+1+1</f>
        <v>6</v>
      </c>
      <c r="AD132" s="32">
        <f>+Z132*2</f>
        <v>8</v>
      </c>
      <c r="AE132" s="32">
        <f>+AA132*2</f>
        <v>8</v>
      </c>
      <c r="AF132" s="31">
        <f>40+40</f>
        <v>80</v>
      </c>
      <c r="AG132" s="31"/>
      <c r="AH132" s="31">
        <v>167.5</v>
      </c>
      <c r="AI132" s="31"/>
      <c r="AJ132" s="31">
        <f>40+46.8+46.8/2</f>
        <v>110.19999999999999</v>
      </c>
      <c r="AK132" s="33"/>
      <c r="AL132" s="33">
        <v>779.4</v>
      </c>
      <c r="AM132" s="33">
        <f>+(AF132+AH132+40+46.8)/AL132</f>
        <v>0.42891968180651785</v>
      </c>
      <c r="AN132" s="33">
        <f>+(AF132+AH132+AJ132)/AL132</f>
        <v>0.45894277649473952</v>
      </c>
      <c r="AO132" s="33">
        <f>+(18+12)/(6+3)</f>
        <v>3.3333333333333335</v>
      </c>
      <c r="AP132" s="33">
        <f>+((5*48337+38639*7+28998*7+19335*2)/21*AJ132)+(AH132*28998)</f>
        <v>8812893.7047619037</v>
      </c>
      <c r="AQ132" s="34">
        <v>102164.95</v>
      </c>
      <c r="AR132" s="33" t="s">
        <v>57</v>
      </c>
      <c r="AS132" s="34" t="s">
        <v>692</v>
      </c>
      <c r="AT132" s="35">
        <v>45163</v>
      </c>
      <c r="AU132" s="36"/>
      <c r="AV132" s="94">
        <v>45141</v>
      </c>
      <c r="AW132" s="38"/>
      <c r="AX132" s="38"/>
      <c r="AY132" s="38"/>
      <c r="AZ132" s="38"/>
      <c r="BA132" s="38"/>
      <c r="BB132" s="38"/>
      <c r="BC132" s="38"/>
      <c r="BD132" s="38"/>
      <c r="BE132" s="38"/>
      <c r="BF132" s="38"/>
      <c r="BG132" s="38"/>
      <c r="BH132" s="39"/>
      <c r="BI132" s="39"/>
      <c r="BJ132" s="39"/>
      <c r="BK132" s="39"/>
      <c r="BL132" s="39"/>
      <c r="BM132" s="39"/>
      <c r="BN132" s="39"/>
      <c r="BO132" s="39"/>
      <c r="BP132" s="39"/>
      <c r="BQ132" s="39"/>
      <c r="BR132" s="39"/>
      <c r="BS132" s="39"/>
      <c r="BT132" s="39"/>
      <c r="BU132" s="39"/>
      <c r="BV132" s="39"/>
      <c r="BW132" s="39"/>
      <c r="IQ132" s="39"/>
      <c r="IR132" s="39"/>
      <c r="IS132" s="39"/>
      <c r="IT132" s="39"/>
      <c r="IU132" s="39"/>
      <c r="IV132" s="39"/>
      <c r="IW132" s="39"/>
    </row>
    <row r="133" spans="2:257" s="25" customFormat="1" ht="63.75">
      <c r="B133" s="49">
        <v>129</v>
      </c>
      <c r="C133" s="67" t="s">
        <v>693</v>
      </c>
      <c r="D133" s="47">
        <v>45149</v>
      </c>
      <c r="E133" s="48" t="s">
        <v>65</v>
      </c>
      <c r="F133" s="30">
        <v>62135</v>
      </c>
      <c r="G133" s="30">
        <v>169822</v>
      </c>
      <c r="H133" s="30">
        <v>34127</v>
      </c>
      <c r="I133" s="31"/>
      <c r="J133" s="31"/>
      <c r="K133" s="31">
        <v>6</v>
      </c>
      <c r="L133" s="31">
        <v>2</v>
      </c>
      <c r="M133" s="31" t="s">
        <v>206</v>
      </c>
      <c r="N133" s="31" t="s">
        <v>694</v>
      </c>
      <c r="O133" s="31" t="s">
        <v>695</v>
      </c>
      <c r="P133" s="31"/>
      <c r="Q133" s="31" t="s">
        <v>372</v>
      </c>
      <c r="R133" s="31" t="s">
        <v>372</v>
      </c>
      <c r="S133" s="31" t="s">
        <v>372</v>
      </c>
      <c r="T133" s="31" t="s">
        <v>696</v>
      </c>
      <c r="U133" s="31"/>
      <c r="V133" s="31">
        <v>1</v>
      </c>
      <c r="W133" s="31"/>
      <c r="X133" s="31"/>
      <c r="Y133" s="31" t="s">
        <v>71</v>
      </c>
      <c r="Z133" s="32"/>
      <c r="AA133" s="32">
        <v>3</v>
      </c>
      <c r="AB133" s="32"/>
      <c r="AC133" s="32">
        <f>+AA133+1+1</f>
        <v>5</v>
      </c>
      <c r="AD133" s="32"/>
      <c r="AE133" s="32">
        <f>+AA133*2</f>
        <v>6</v>
      </c>
      <c r="AF133" s="31"/>
      <c r="AG133" s="31"/>
      <c r="AH133" s="31"/>
      <c r="AI133" s="31"/>
      <c r="AJ133" s="31">
        <f>246.7+51.82/2</f>
        <v>272.61</v>
      </c>
      <c r="AK133" s="33"/>
      <c r="AL133" s="33">
        <v>800.32</v>
      </c>
      <c r="AM133" s="33">
        <f>+(248.7+51.82)/AL133</f>
        <v>0.37549980007996797</v>
      </c>
      <c r="AN133" s="33">
        <f>+AJ133/AL133</f>
        <v>0.34062624950019993</v>
      </c>
      <c r="AO133" s="33"/>
      <c r="AP133" s="33">
        <f>+(48337+11*38639+3*28998+6*19335)/21*AJ133</f>
        <v>8780248.8428571429</v>
      </c>
      <c r="AQ133" s="34">
        <v>39059.89</v>
      </c>
      <c r="AR133" s="33" t="s">
        <v>57</v>
      </c>
      <c r="AS133" s="34" t="s">
        <v>697</v>
      </c>
      <c r="AT133" s="35">
        <v>45166</v>
      </c>
      <c r="AU133" s="36"/>
      <c r="AV133" s="94">
        <v>45155</v>
      </c>
      <c r="AW133" s="38"/>
      <c r="AX133" s="38"/>
      <c r="AY133" s="38"/>
      <c r="AZ133" s="38"/>
      <c r="BA133" s="38"/>
      <c r="BB133" s="38"/>
      <c r="BC133" s="38"/>
      <c r="BD133" s="38"/>
      <c r="BE133" s="38"/>
      <c r="BF133" s="38"/>
      <c r="BG133" s="38"/>
      <c r="BH133" s="39"/>
      <c r="BI133" s="39"/>
      <c r="BJ133" s="39"/>
      <c r="BK133" s="39"/>
      <c r="BL133" s="39"/>
      <c r="BM133" s="39"/>
      <c r="BN133" s="39"/>
      <c r="BO133" s="39"/>
      <c r="BP133" s="39"/>
      <c r="BQ133" s="39"/>
      <c r="BR133" s="39"/>
      <c r="BS133" s="39"/>
      <c r="BT133" s="39"/>
      <c r="BU133" s="39"/>
      <c r="BV133" s="39"/>
      <c r="BW133" s="39"/>
      <c r="IQ133" s="39"/>
      <c r="IR133" s="39"/>
      <c r="IS133" s="39"/>
      <c r="IT133" s="39"/>
      <c r="IU133" s="39"/>
      <c r="IV133" s="39"/>
      <c r="IW133" s="39"/>
    </row>
    <row r="134" spans="2:257" s="25" customFormat="1" ht="63.75">
      <c r="B134" s="49">
        <v>130</v>
      </c>
      <c r="C134" s="67">
        <v>555109</v>
      </c>
      <c r="D134" s="70">
        <v>45156</v>
      </c>
      <c r="E134" s="48" t="s">
        <v>46</v>
      </c>
      <c r="F134" s="30">
        <v>47761</v>
      </c>
      <c r="G134" s="30">
        <v>158433</v>
      </c>
      <c r="H134" s="30">
        <v>9307</v>
      </c>
      <c r="I134" s="31"/>
      <c r="J134" s="31"/>
      <c r="K134" s="31">
        <v>508</v>
      </c>
      <c r="L134" s="31">
        <v>17</v>
      </c>
      <c r="M134" s="31" t="s">
        <v>190</v>
      </c>
      <c r="N134" s="31" t="s">
        <v>698</v>
      </c>
      <c r="O134" s="31" t="s">
        <v>699</v>
      </c>
      <c r="P134" s="31"/>
      <c r="Q134" s="16" t="s">
        <v>700</v>
      </c>
      <c r="R134" s="16"/>
      <c r="S134" s="16"/>
      <c r="T134" s="31"/>
      <c r="U134" s="31">
        <v>2</v>
      </c>
      <c r="V134" s="31"/>
      <c r="W134" s="31"/>
      <c r="X134" s="31"/>
      <c r="Y134" s="31" t="s">
        <v>62</v>
      </c>
      <c r="Z134" s="32"/>
      <c r="AA134" s="32"/>
      <c r="AB134" s="32"/>
      <c r="AC134" s="32"/>
      <c r="AD134" s="32"/>
      <c r="AE134" s="32"/>
      <c r="AF134" s="31"/>
      <c r="AG134" s="31">
        <f>79.24+24.81/2</f>
        <v>91.644999999999996</v>
      </c>
      <c r="AH134" s="31"/>
      <c r="AI134" s="31">
        <v>116.21</v>
      </c>
      <c r="AJ134" s="31"/>
      <c r="AK134" s="33"/>
      <c r="AL134" s="33">
        <v>220.26</v>
      </c>
      <c r="AM134" s="33">
        <f>+(79.24+24.81+AI134)/AL134</f>
        <v>1</v>
      </c>
      <c r="AN134" s="33">
        <f>+(AG134+AI134)/AL134</f>
        <v>0.94368019613184417</v>
      </c>
      <c r="AO134" s="33"/>
      <c r="AP134" s="33">
        <f>+AI134*38639</f>
        <v>4490238.1899999995</v>
      </c>
      <c r="AQ134" s="34">
        <v>41586.14</v>
      </c>
      <c r="AR134" s="33" t="s">
        <v>57</v>
      </c>
      <c r="AS134" s="34" t="s">
        <v>701</v>
      </c>
      <c r="AT134" s="35">
        <v>45167</v>
      </c>
      <c r="AU134" s="36"/>
      <c r="AV134" s="94">
        <v>45160</v>
      </c>
      <c r="AW134" s="38"/>
      <c r="AX134" s="38"/>
      <c r="AY134" s="38"/>
      <c r="AZ134" s="38"/>
      <c r="BA134" s="38"/>
      <c r="BB134" s="38"/>
      <c r="BC134" s="38"/>
      <c r="BD134" s="38"/>
      <c r="BE134" s="38"/>
      <c r="BF134" s="38"/>
      <c r="BG134" s="38"/>
      <c r="BH134" s="39"/>
      <c r="BI134" s="39"/>
      <c r="BJ134" s="39"/>
      <c r="BK134" s="39"/>
      <c r="BL134" s="39"/>
      <c r="BM134" s="39"/>
      <c r="BN134" s="39"/>
      <c r="BO134" s="39"/>
      <c r="BP134" s="39"/>
      <c r="BQ134" s="39"/>
      <c r="BR134" s="39"/>
      <c r="BS134" s="39"/>
      <c r="BT134" s="39"/>
      <c r="BU134" s="39"/>
      <c r="BV134" s="39"/>
      <c r="BW134" s="39"/>
      <c r="IQ134" s="39"/>
      <c r="IR134" s="39"/>
      <c r="IS134" s="39"/>
      <c r="IT134" s="39"/>
      <c r="IU134" s="39"/>
      <c r="IV134" s="39"/>
      <c r="IW134" s="39"/>
    </row>
    <row r="135" spans="2:257" s="25" customFormat="1" ht="38.25">
      <c r="B135" s="49">
        <v>131</v>
      </c>
      <c r="C135" s="97" t="s">
        <v>702</v>
      </c>
      <c r="D135" s="98">
        <v>45021</v>
      </c>
      <c r="E135" s="99" t="s">
        <v>65</v>
      </c>
      <c r="F135" s="30" t="s">
        <v>703</v>
      </c>
      <c r="G135" s="30" t="s">
        <v>704</v>
      </c>
      <c r="H135" s="30" t="s">
        <v>705</v>
      </c>
      <c r="I135" s="31"/>
      <c r="J135" s="31"/>
      <c r="K135" s="79">
        <v>184</v>
      </c>
      <c r="L135" s="31" t="s">
        <v>706</v>
      </c>
      <c r="M135" s="79" t="s">
        <v>40</v>
      </c>
      <c r="N135" s="31" t="s">
        <v>707</v>
      </c>
      <c r="O135" s="31" t="s">
        <v>708</v>
      </c>
      <c r="P135" s="79" t="s">
        <v>709</v>
      </c>
      <c r="Q135" s="16" t="s">
        <v>50</v>
      </c>
      <c r="R135" s="16" t="s">
        <v>50</v>
      </c>
      <c r="S135" s="16" t="s">
        <v>50</v>
      </c>
      <c r="T135" s="31" t="s">
        <v>710</v>
      </c>
      <c r="U135" s="31"/>
      <c r="V135" s="31">
        <v>1</v>
      </c>
      <c r="W135" s="31"/>
      <c r="X135" s="31"/>
      <c r="Y135" s="31" t="s">
        <v>711</v>
      </c>
      <c r="Z135" s="32"/>
      <c r="AA135" s="32"/>
      <c r="AB135" s="32"/>
      <c r="AC135" s="32"/>
      <c r="AD135" s="32"/>
      <c r="AE135" s="32"/>
      <c r="AF135" s="31"/>
      <c r="AG135" s="31"/>
      <c r="AH135" s="31"/>
      <c r="AI135" s="31"/>
      <c r="AJ135" s="31"/>
      <c r="AK135" s="33">
        <f>228.9+5066.9</f>
        <v>5295.7999999999993</v>
      </c>
      <c r="AL135" s="33">
        <v>1019.85</v>
      </c>
      <c r="AM135" s="33">
        <v>0.96499999999999997</v>
      </c>
      <c r="AN135" s="33">
        <v>2.3889999999999998</v>
      </c>
      <c r="AO135" s="33"/>
      <c r="AP135" s="33">
        <v>53410037.25</v>
      </c>
      <c r="AQ135" s="34">
        <v>12726.3</v>
      </c>
      <c r="AR135" s="100" t="s">
        <v>77</v>
      </c>
      <c r="AS135" s="34" t="s">
        <v>712</v>
      </c>
      <c r="AT135" s="35">
        <v>45174</v>
      </c>
      <c r="AU135" s="36"/>
      <c r="AV135" s="101">
        <v>45145</v>
      </c>
      <c r="AW135" s="38"/>
      <c r="AX135" s="38"/>
      <c r="AY135" s="38"/>
      <c r="AZ135" s="38"/>
      <c r="BA135" s="38"/>
      <c r="BB135" s="38"/>
      <c r="BC135" s="38"/>
      <c r="BD135" s="38"/>
      <c r="BE135" s="38"/>
      <c r="BF135" s="38"/>
      <c r="BG135" s="38"/>
      <c r="BH135" s="39"/>
      <c r="BI135" s="39"/>
      <c r="BJ135" s="39"/>
      <c r="BK135" s="39"/>
      <c r="BL135" s="39"/>
      <c r="BM135" s="39"/>
      <c r="BN135" s="39"/>
      <c r="BO135" s="39"/>
      <c r="BP135" s="39"/>
      <c r="BQ135" s="39"/>
      <c r="BR135" s="39"/>
      <c r="BS135" s="39"/>
      <c r="BT135" s="39"/>
      <c r="BU135" s="39"/>
      <c r="BV135" s="39"/>
      <c r="BW135" s="39"/>
      <c r="IQ135" s="39"/>
      <c r="IR135" s="39"/>
      <c r="IS135" s="39"/>
      <c r="IT135" s="39"/>
      <c r="IU135" s="39"/>
      <c r="IV135" s="39"/>
      <c r="IW135" s="39"/>
    </row>
    <row r="136" spans="2:257" s="25" customFormat="1" ht="76.5">
      <c r="B136" s="49">
        <v>132</v>
      </c>
      <c r="C136" s="97" t="s">
        <v>713</v>
      </c>
      <c r="D136" s="98">
        <v>45077</v>
      </c>
      <c r="E136" s="99" t="s">
        <v>46</v>
      </c>
      <c r="F136" s="30">
        <v>53165</v>
      </c>
      <c r="G136" s="30">
        <v>162590</v>
      </c>
      <c r="H136" s="30">
        <v>9810</v>
      </c>
      <c r="I136" s="31"/>
      <c r="J136" s="31"/>
      <c r="K136" s="79">
        <v>341</v>
      </c>
      <c r="L136" s="31">
        <v>7</v>
      </c>
      <c r="M136" s="79" t="s">
        <v>190</v>
      </c>
      <c r="N136" s="31" t="s">
        <v>714</v>
      </c>
      <c r="O136" s="31" t="s">
        <v>715</v>
      </c>
      <c r="P136" s="79"/>
      <c r="Q136" s="31" t="s">
        <v>421</v>
      </c>
      <c r="R136" s="31"/>
      <c r="S136" s="31"/>
      <c r="T136" s="31"/>
      <c r="U136" s="31">
        <f>1+1</f>
        <v>2</v>
      </c>
      <c r="V136" s="31"/>
      <c r="W136" s="31"/>
      <c r="X136" s="31"/>
      <c r="Y136" s="31" t="s">
        <v>44</v>
      </c>
      <c r="Z136" s="32">
        <f>4+1+1+1</f>
        <v>7</v>
      </c>
      <c r="AA136" s="32"/>
      <c r="AB136" s="32">
        <f>+Z136+2+1</f>
        <v>10</v>
      </c>
      <c r="AC136" s="32"/>
      <c r="AD136" s="32">
        <f>+Z136*2</f>
        <v>14</v>
      </c>
      <c r="AE136" s="32"/>
      <c r="AF136" s="31"/>
      <c r="AG136" s="31"/>
      <c r="AH136" s="31"/>
      <c r="AI136" s="31">
        <f>115.25+48.52/2+104.22+2.65/2</f>
        <v>245.05499999999998</v>
      </c>
      <c r="AJ136" s="31"/>
      <c r="AK136" s="33"/>
      <c r="AL136" s="33">
        <v>408.82</v>
      </c>
      <c r="AM136" s="33">
        <f>+(115.25+48.52)/AL136</f>
        <v>0.40059194755638183</v>
      </c>
      <c r="AN136" s="33">
        <f>+(AI136)/AL136</f>
        <v>0.59942028276503101</v>
      </c>
      <c r="AO136" s="33"/>
      <c r="AP136" s="33">
        <f>+(6*67063+6*53635+6*40232+2*26825)/20*AI136</f>
        <v>12488370.382499998</v>
      </c>
      <c r="AQ136" s="34">
        <v>134109.07</v>
      </c>
      <c r="AR136" s="100" t="s">
        <v>57</v>
      </c>
      <c r="AS136" s="34" t="s">
        <v>716</v>
      </c>
      <c r="AT136" s="35">
        <v>45176</v>
      </c>
      <c r="AU136" s="36"/>
      <c r="AV136" s="102">
        <v>45169</v>
      </c>
      <c r="AW136" s="38"/>
      <c r="AX136" s="38"/>
      <c r="AY136" s="38"/>
      <c r="AZ136" s="38"/>
      <c r="BA136" s="38"/>
      <c r="BB136" s="38"/>
      <c r="BC136" s="38"/>
      <c r="BD136" s="38"/>
      <c r="BE136" s="38"/>
      <c r="BF136" s="38"/>
      <c r="BG136" s="38"/>
      <c r="BH136" s="39"/>
      <c r="BI136" s="39"/>
      <c r="BJ136" s="39"/>
      <c r="BK136" s="39"/>
      <c r="BL136" s="39"/>
      <c r="BM136" s="39"/>
      <c r="BN136" s="39"/>
      <c r="BO136" s="39"/>
      <c r="BP136" s="39"/>
      <c r="BQ136" s="39"/>
      <c r="BR136" s="39"/>
      <c r="BS136" s="39"/>
      <c r="BT136" s="39"/>
      <c r="BU136" s="39"/>
      <c r="BV136" s="39"/>
      <c r="BW136" s="39"/>
      <c r="IQ136" s="39"/>
      <c r="IR136" s="39"/>
      <c r="IS136" s="39"/>
      <c r="IT136" s="39"/>
      <c r="IU136" s="39"/>
      <c r="IV136" s="39"/>
      <c r="IW136" s="39"/>
    </row>
    <row r="137" spans="2:257" s="25" customFormat="1" ht="51">
      <c r="B137" s="68">
        <v>133</v>
      </c>
      <c r="C137" s="55">
        <v>554510</v>
      </c>
      <c r="D137" s="61">
        <v>45132</v>
      </c>
      <c r="E137" s="103" t="s">
        <v>46</v>
      </c>
      <c r="F137" s="31">
        <v>57253</v>
      </c>
      <c r="G137" s="31">
        <v>128073</v>
      </c>
      <c r="H137" s="31">
        <v>20203</v>
      </c>
      <c r="I137" s="31"/>
      <c r="J137" s="31"/>
      <c r="K137" s="31">
        <v>365</v>
      </c>
      <c r="L137" s="31">
        <v>1</v>
      </c>
      <c r="M137" s="31" t="s">
        <v>190</v>
      </c>
      <c r="N137" s="31" t="s">
        <v>717</v>
      </c>
      <c r="O137" s="31" t="s">
        <v>718</v>
      </c>
      <c r="P137" s="31"/>
      <c r="Q137" s="31" t="s">
        <v>120</v>
      </c>
      <c r="R137" s="31"/>
      <c r="S137" s="31"/>
      <c r="T137" s="31"/>
      <c r="U137" s="31">
        <v>1</v>
      </c>
      <c r="V137" s="31"/>
      <c r="W137" s="31"/>
      <c r="X137" s="31"/>
      <c r="Y137" s="31" t="s">
        <v>719</v>
      </c>
      <c r="Z137" s="31"/>
      <c r="AA137" s="31"/>
      <c r="AB137" s="31"/>
      <c r="AC137" s="31"/>
      <c r="AD137" s="31"/>
      <c r="AE137" s="31"/>
      <c r="AF137" s="31">
        <f>341.24+31/2+290.85+132.58/2-AG137</f>
        <v>713.88</v>
      </c>
      <c r="AG137" s="31"/>
      <c r="AH137" s="31"/>
      <c r="AI137" s="104"/>
      <c r="AJ137" s="104">
        <v>150</v>
      </c>
      <c r="AK137" s="104"/>
      <c r="AL137" s="104">
        <v>3589</v>
      </c>
      <c r="AM137" s="104">
        <f>+(536.09+193.51+150)/AL137</f>
        <v>0.24508219559765951</v>
      </c>
      <c r="AN137" s="104">
        <f>+(AF137+AJ137)/AL137</f>
        <v>0.24070214544441348</v>
      </c>
      <c r="AO137" s="104">
        <f>+(2+18+12+6)/(1+6+3+1)</f>
        <v>3.4545454545454546</v>
      </c>
      <c r="AP137" s="105">
        <f>+AJ137*53635</f>
        <v>8045250</v>
      </c>
      <c r="AQ137" s="106">
        <v>85804.56</v>
      </c>
      <c r="AR137" s="36" t="s">
        <v>57</v>
      </c>
      <c r="AS137" s="36" t="s">
        <v>720</v>
      </c>
      <c r="AT137" s="107">
        <v>45177</v>
      </c>
      <c r="AU137" s="104"/>
      <c r="AV137" s="108">
        <v>45134</v>
      </c>
      <c r="AW137" s="109"/>
      <c r="AX137" s="109"/>
      <c r="AY137" s="109"/>
      <c r="AZ137" s="109"/>
      <c r="BA137" s="109"/>
      <c r="BB137" s="109"/>
      <c r="BC137" s="109"/>
      <c r="BD137" s="109"/>
      <c r="BE137" s="109"/>
      <c r="BF137" s="39"/>
      <c r="BG137" s="39"/>
      <c r="BH137" s="39"/>
      <c r="BI137" s="39"/>
      <c r="BJ137" s="39"/>
      <c r="BK137" s="39"/>
      <c r="BL137" s="39"/>
      <c r="BM137" s="39"/>
      <c r="BN137" s="39"/>
      <c r="BO137" s="39"/>
      <c r="BP137" s="39"/>
      <c r="BQ137" s="39"/>
      <c r="BR137" s="39"/>
      <c r="BS137" s="39"/>
      <c r="BT137" s="39"/>
      <c r="BU137" s="39"/>
      <c r="IO137" s="39"/>
      <c r="IP137" s="39"/>
      <c r="IQ137" s="39"/>
      <c r="IR137" s="39"/>
      <c r="IS137" s="39"/>
      <c r="IT137" s="39"/>
      <c r="IU137" s="39"/>
      <c r="IV137" s="39"/>
      <c r="IW137" s="39"/>
    </row>
    <row r="138" spans="2:257" s="2" customFormat="1" ht="51">
      <c r="B138" s="49">
        <v>137</v>
      </c>
      <c r="C138" s="41" t="s">
        <v>721</v>
      </c>
      <c r="D138" s="42">
        <v>45065</v>
      </c>
      <c r="E138" s="43" t="s">
        <v>65</v>
      </c>
      <c r="F138" s="15">
        <v>32699</v>
      </c>
      <c r="G138" s="15">
        <v>795</v>
      </c>
      <c r="H138" s="15">
        <v>684</v>
      </c>
      <c r="I138" s="16"/>
      <c r="J138" s="16"/>
      <c r="K138" s="16">
        <v>101</v>
      </c>
      <c r="L138" s="16">
        <v>21</v>
      </c>
      <c r="M138" s="16" t="s">
        <v>40</v>
      </c>
      <c r="N138" s="16" t="s">
        <v>722</v>
      </c>
      <c r="O138" s="72"/>
      <c r="P138" s="16" t="s">
        <v>723</v>
      </c>
      <c r="Q138" s="16" t="s">
        <v>724</v>
      </c>
      <c r="R138" s="16" t="s">
        <v>724</v>
      </c>
      <c r="S138" s="16" t="s">
        <v>724</v>
      </c>
      <c r="T138" s="16" t="s">
        <v>725</v>
      </c>
      <c r="U138" s="16"/>
      <c r="V138" s="17">
        <f>6*3+5</f>
        <v>23</v>
      </c>
      <c r="W138" s="16"/>
      <c r="X138" s="16"/>
      <c r="Y138" s="16" t="s">
        <v>44</v>
      </c>
      <c r="Z138" s="18"/>
      <c r="AA138" s="19">
        <f>1*V138</f>
        <v>23</v>
      </c>
      <c r="AB138" s="20"/>
      <c r="AC138" s="19">
        <f>+AA138+23*1</f>
        <v>46</v>
      </c>
      <c r="AD138" s="20"/>
      <c r="AE138" s="19">
        <f>+AA138*2</f>
        <v>46</v>
      </c>
      <c r="AF138" s="16"/>
      <c r="AG138" s="16"/>
      <c r="AH138" s="16"/>
      <c r="AI138" s="16"/>
      <c r="AJ138" s="17">
        <f>1854.86+377.51/2</f>
        <v>2043.6149999999998</v>
      </c>
      <c r="AK138" s="21"/>
      <c r="AL138" s="22">
        <v>623.04</v>
      </c>
      <c r="AM138" s="22">
        <v>0.72</v>
      </c>
      <c r="AN138" s="22">
        <f>2.5-0.11</f>
        <v>2.39</v>
      </c>
      <c r="AO138" s="22"/>
      <c r="AP138" s="22">
        <f>350000+((9*67063+53635*8+4*40232+26825*1)/21*AJ138)</f>
        <v>119113226</v>
      </c>
      <c r="AQ138" s="23">
        <v>289289.8</v>
      </c>
      <c r="AR138" s="22" t="s">
        <v>726</v>
      </c>
      <c r="AS138" s="23" t="s">
        <v>727</v>
      </c>
      <c r="AT138" s="44">
        <v>45181</v>
      </c>
      <c r="AU138" s="24"/>
      <c r="AV138" s="45">
        <v>45154</v>
      </c>
      <c r="AW138" s="13"/>
      <c r="AX138" s="13"/>
      <c r="AY138" s="13"/>
      <c r="AZ138" s="13"/>
      <c r="BA138" s="13"/>
      <c r="BB138" s="13"/>
      <c r="BC138" s="13"/>
      <c r="BD138" s="13"/>
      <c r="BE138" s="13"/>
      <c r="BF138" s="13"/>
      <c r="BG138" s="13"/>
      <c r="BH138" s="14"/>
      <c r="BI138" s="14"/>
      <c r="BJ138" s="14"/>
      <c r="BK138" s="14"/>
      <c r="BL138" s="14"/>
      <c r="BM138" s="14"/>
      <c r="BN138" s="14"/>
      <c r="BO138" s="14"/>
      <c r="BP138" s="14"/>
      <c r="BQ138" s="14"/>
      <c r="BR138" s="14"/>
      <c r="BS138" s="14"/>
      <c r="BT138" s="14"/>
      <c r="BU138" s="14"/>
      <c r="BV138" s="14"/>
      <c r="BW138" s="14"/>
      <c r="IQ138" s="14"/>
      <c r="IR138" s="14"/>
      <c r="IS138" s="14"/>
      <c r="IT138" s="14"/>
      <c r="IU138" s="14"/>
      <c r="IV138" s="14"/>
      <c r="IW138" s="14"/>
    </row>
    <row r="139" spans="2:257" s="25" customFormat="1" ht="38.25">
      <c r="B139" s="68">
        <v>134</v>
      </c>
      <c r="C139" s="67" t="s">
        <v>728</v>
      </c>
      <c r="D139" s="47">
        <v>45125</v>
      </c>
      <c r="E139" s="48" t="s">
        <v>46</v>
      </c>
      <c r="F139" s="30">
        <v>21397</v>
      </c>
      <c r="G139" s="30">
        <v>111614</v>
      </c>
      <c r="H139" s="30">
        <v>1736</v>
      </c>
      <c r="I139" s="31"/>
      <c r="J139" s="31"/>
      <c r="K139" s="31">
        <v>776</v>
      </c>
      <c r="L139" s="31">
        <v>1</v>
      </c>
      <c r="M139" s="31" t="s">
        <v>96</v>
      </c>
      <c r="N139" s="31" t="s">
        <v>729</v>
      </c>
      <c r="O139" s="31" t="s">
        <v>730</v>
      </c>
      <c r="P139" s="31"/>
      <c r="Q139" s="31" t="s">
        <v>113</v>
      </c>
      <c r="R139" s="31"/>
      <c r="S139" s="31"/>
      <c r="T139" s="31"/>
      <c r="U139" s="31"/>
      <c r="V139" s="31"/>
      <c r="W139" s="31"/>
      <c r="X139" s="31"/>
      <c r="Y139" s="31" t="s">
        <v>44</v>
      </c>
      <c r="Z139" s="32"/>
      <c r="AA139" s="32"/>
      <c r="AB139" s="32"/>
      <c r="AC139" s="32"/>
      <c r="AD139" s="32"/>
      <c r="AE139" s="32"/>
      <c r="AF139" s="31">
        <f>540.1+64.7/2</f>
        <v>572.45000000000005</v>
      </c>
      <c r="AG139" s="31"/>
      <c r="AH139" s="31">
        <f>29.57+34.6</f>
        <v>64.17</v>
      </c>
      <c r="AI139" s="31"/>
      <c r="AJ139" s="31"/>
      <c r="AK139" s="33"/>
      <c r="AL139" s="33">
        <v>648</v>
      </c>
      <c r="AM139" s="33">
        <f>0.75-0.06</f>
        <v>0.69</v>
      </c>
      <c r="AN139" s="33">
        <f>+(AF139+AH139)/AL139</f>
        <v>0.98243827160493824</v>
      </c>
      <c r="AO139" s="33"/>
      <c r="AP139" s="33">
        <f>+(6*53635+40232*6+9*26825)/21*AH139</f>
        <v>2458710.2185714287</v>
      </c>
      <c r="AQ139" s="34">
        <v>25992.04</v>
      </c>
      <c r="AR139" s="33" t="s">
        <v>115</v>
      </c>
      <c r="AS139" s="34" t="s">
        <v>731</v>
      </c>
      <c r="AT139" s="35">
        <v>45180</v>
      </c>
      <c r="AU139" s="36"/>
      <c r="AV139" s="94">
        <v>45170</v>
      </c>
      <c r="AW139" s="38"/>
      <c r="AX139" s="38"/>
      <c r="AY139" s="38"/>
      <c r="AZ139" s="38"/>
      <c r="BA139" s="38"/>
      <c r="BB139" s="38"/>
      <c r="BC139" s="38"/>
      <c r="BD139" s="38"/>
      <c r="BE139" s="38"/>
      <c r="BF139" s="38"/>
      <c r="BG139" s="38"/>
      <c r="BH139" s="39"/>
      <c r="BI139" s="39"/>
      <c r="BJ139" s="39"/>
      <c r="BK139" s="39"/>
      <c r="BL139" s="39"/>
      <c r="BM139" s="39"/>
      <c r="BN139" s="39"/>
      <c r="BO139" s="39"/>
      <c r="BP139" s="39"/>
      <c r="BQ139" s="39"/>
      <c r="BR139" s="39"/>
      <c r="BS139" s="39"/>
      <c r="BT139" s="39"/>
      <c r="BU139" s="39"/>
      <c r="BV139" s="39"/>
      <c r="BW139" s="39"/>
      <c r="IQ139" s="39"/>
      <c r="IR139" s="39"/>
      <c r="IS139" s="39"/>
      <c r="IT139" s="39"/>
      <c r="IU139" s="39"/>
      <c r="IV139" s="39"/>
      <c r="IW139" s="39"/>
    </row>
    <row r="140" spans="2:257" s="25" customFormat="1" ht="38.25">
      <c r="B140" s="66">
        <v>135</v>
      </c>
      <c r="C140" s="27" t="s">
        <v>732</v>
      </c>
      <c r="D140" s="47">
        <v>45112</v>
      </c>
      <c r="E140" s="48" t="s">
        <v>65</v>
      </c>
      <c r="F140" s="30">
        <v>62131</v>
      </c>
      <c r="G140" s="30">
        <v>140040</v>
      </c>
      <c r="H140" s="30">
        <v>31770</v>
      </c>
      <c r="I140" s="31">
        <v>327</v>
      </c>
      <c r="J140" s="31"/>
      <c r="K140" s="31">
        <v>1</v>
      </c>
      <c r="L140" s="31">
        <v>8</v>
      </c>
      <c r="M140" s="31" t="s">
        <v>96</v>
      </c>
      <c r="N140" s="31" t="s">
        <v>733</v>
      </c>
      <c r="O140" s="31" t="s">
        <v>490</v>
      </c>
      <c r="P140" s="31"/>
      <c r="Q140" s="31" t="s">
        <v>357</v>
      </c>
      <c r="R140" s="31" t="s">
        <v>357</v>
      </c>
      <c r="S140" s="31" t="s">
        <v>357</v>
      </c>
      <c r="T140" s="31" t="s">
        <v>490</v>
      </c>
      <c r="U140" s="31"/>
      <c r="V140" s="31">
        <v>2</v>
      </c>
      <c r="W140" s="31"/>
      <c r="X140" s="31"/>
      <c r="Y140" s="31" t="s">
        <v>44</v>
      </c>
      <c r="Z140" s="32"/>
      <c r="AA140" s="32">
        <f>2+2</f>
        <v>4</v>
      </c>
      <c r="AB140" s="32"/>
      <c r="AC140" s="32">
        <f>+AA140+1+1</f>
        <v>6</v>
      </c>
      <c r="AD140" s="32"/>
      <c r="AE140" s="32">
        <f>+AA140*2</f>
        <v>8</v>
      </c>
      <c r="AF140" s="31"/>
      <c r="AG140" s="31"/>
      <c r="AH140" s="31"/>
      <c r="AI140" s="31"/>
      <c r="AJ140" s="31">
        <f>133.5+4.9/2</f>
        <v>135.94999999999999</v>
      </c>
      <c r="AK140" s="33"/>
      <c r="AL140" s="33">
        <v>378.25</v>
      </c>
      <c r="AM140" s="33">
        <f>+(133.5+4.9)/AL140</f>
        <v>0.36589557171183079</v>
      </c>
      <c r="AN140" s="33">
        <f>+AJ140/AL140</f>
        <v>0.35941837409120947</v>
      </c>
      <c r="AO140" s="33">
        <f>+(2+21+4)/(1+7+1)</f>
        <v>3</v>
      </c>
      <c r="AP140" s="33">
        <f>+(6*53635+11*40232+26825*3)/20*AJ140</f>
        <v>5742779.5074999994</v>
      </c>
      <c r="AQ140" s="34">
        <v>21468.13</v>
      </c>
      <c r="AR140" s="33" t="s">
        <v>57</v>
      </c>
      <c r="AS140" s="34" t="s">
        <v>734</v>
      </c>
      <c r="AT140" s="35">
        <v>45180</v>
      </c>
      <c r="AU140" s="36"/>
      <c r="AV140" s="37" t="s">
        <v>735</v>
      </c>
      <c r="AW140" s="38"/>
      <c r="AX140" s="38"/>
      <c r="AY140" s="38"/>
      <c r="AZ140" s="38"/>
      <c r="BA140" s="38"/>
      <c r="BB140" s="38"/>
      <c r="BC140" s="38"/>
      <c r="BD140" s="38"/>
      <c r="BE140" s="38"/>
      <c r="BF140" s="38"/>
      <c r="BG140" s="38"/>
      <c r="BH140" s="39"/>
      <c r="BI140" s="39"/>
      <c r="BJ140" s="39"/>
      <c r="BK140" s="39"/>
      <c r="BL140" s="39"/>
      <c r="BM140" s="39"/>
      <c r="BN140" s="39"/>
      <c r="BO140" s="39"/>
      <c r="BP140" s="39"/>
      <c r="BQ140" s="39"/>
      <c r="BR140" s="39"/>
      <c r="BS140" s="39"/>
      <c r="BT140" s="39"/>
      <c r="BU140" s="39"/>
      <c r="BV140" s="39"/>
      <c r="BW140" s="39"/>
      <c r="IQ140" s="39"/>
      <c r="IR140" s="39"/>
      <c r="IS140" s="39"/>
      <c r="IT140" s="39"/>
      <c r="IU140" s="39"/>
      <c r="IV140" s="39"/>
      <c r="IW140" s="39"/>
    </row>
    <row r="141" spans="2:257" s="2" customFormat="1" ht="38.25">
      <c r="B141" s="49">
        <v>136</v>
      </c>
      <c r="C141" s="41" t="s">
        <v>736</v>
      </c>
      <c r="D141" s="42">
        <v>45132</v>
      </c>
      <c r="E141" s="43" t="s">
        <v>46</v>
      </c>
      <c r="F141" s="95">
        <v>37938</v>
      </c>
      <c r="G141" s="96">
        <v>137075</v>
      </c>
      <c r="H141" s="15">
        <v>7961</v>
      </c>
      <c r="I141" s="16"/>
      <c r="J141" s="16"/>
      <c r="K141" s="16">
        <v>24</v>
      </c>
      <c r="L141" s="16">
        <v>25</v>
      </c>
      <c r="M141" s="16" t="s">
        <v>190</v>
      </c>
      <c r="N141" s="16" t="s">
        <v>737</v>
      </c>
      <c r="O141" s="72" t="s">
        <v>738</v>
      </c>
      <c r="P141" s="16"/>
      <c r="Q141" s="16" t="s">
        <v>506</v>
      </c>
      <c r="R141" s="16"/>
      <c r="S141" s="16"/>
      <c r="T141" s="16"/>
      <c r="U141" s="16">
        <v>1</v>
      </c>
      <c r="V141" s="17"/>
      <c r="W141" s="16"/>
      <c r="X141" s="16"/>
      <c r="Y141" s="16" t="s">
        <v>71</v>
      </c>
      <c r="Z141" s="18">
        <f>3+1</f>
        <v>4</v>
      </c>
      <c r="AA141" s="19"/>
      <c r="AB141" s="20">
        <f>+Z141+1</f>
        <v>5</v>
      </c>
      <c r="AC141" s="19"/>
      <c r="AD141" s="20">
        <f>+Z141*2</f>
        <v>8</v>
      </c>
      <c r="AE141" s="19"/>
      <c r="AF141" s="16">
        <v>76.31</v>
      </c>
      <c r="AG141" s="16"/>
      <c r="AH141" s="16">
        <f>72.39+19/2</f>
        <v>81.89</v>
      </c>
      <c r="AI141" s="16"/>
      <c r="AJ141" s="17"/>
      <c r="AK141" s="21"/>
      <c r="AL141" s="22">
        <v>211.6</v>
      </c>
      <c r="AM141" s="22"/>
      <c r="AN141" s="22">
        <f>+(AF141+AH141)/AL141</f>
        <v>0.74763705103969746</v>
      </c>
      <c r="AO141" s="22"/>
      <c r="AP141" s="22">
        <f>+(5*67063+4*53635+6*40232+26825*5)/20*AH141</f>
        <v>3788935.6540000001</v>
      </c>
      <c r="AQ141" s="23">
        <v>41607.03</v>
      </c>
      <c r="AR141" s="22" t="s">
        <v>57</v>
      </c>
      <c r="AS141" s="23" t="s">
        <v>739</v>
      </c>
      <c r="AT141" s="44">
        <v>45180</v>
      </c>
      <c r="AU141" s="24"/>
      <c r="AV141" s="45">
        <v>45176</v>
      </c>
      <c r="AW141" s="13"/>
      <c r="AX141" s="13"/>
      <c r="AY141" s="13"/>
      <c r="AZ141" s="13"/>
      <c r="BA141" s="13"/>
      <c r="BB141" s="13"/>
      <c r="BC141" s="13"/>
      <c r="BD141" s="13"/>
      <c r="BE141" s="13"/>
      <c r="BF141" s="13"/>
      <c r="BG141" s="13"/>
      <c r="BH141" s="14"/>
      <c r="BI141" s="14"/>
      <c r="BJ141" s="14"/>
      <c r="BK141" s="14"/>
      <c r="BL141" s="14"/>
      <c r="BM141" s="14"/>
      <c r="BN141" s="14"/>
      <c r="BO141" s="14"/>
      <c r="BP141" s="14"/>
      <c r="BQ141" s="14"/>
      <c r="BR141" s="14"/>
      <c r="BS141" s="14"/>
      <c r="BT141" s="14"/>
      <c r="BU141" s="14"/>
      <c r="BV141" s="14"/>
      <c r="BW141" s="14"/>
      <c r="IQ141" s="14"/>
      <c r="IR141" s="14"/>
      <c r="IS141" s="14"/>
      <c r="IT141" s="14"/>
      <c r="IU141" s="14"/>
      <c r="IV141" s="14"/>
      <c r="IW141" s="14"/>
    </row>
    <row r="142" spans="2:257" s="2" customFormat="1" ht="102">
      <c r="B142" s="64">
        <v>138</v>
      </c>
      <c r="C142" s="41" t="s">
        <v>740</v>
      </c>
      <c r="D142" s="42">
        <v>45092</v>
      </c>
      <c r="E142" s="43" t="s">
        <v>65</v>
      </c>
      <c r="F142" s="15">
        <v>59815</v>
      </c>
      <c r="G142" s="15">
        <v>138346</v>
      </c>
      <c r="H142" s="15">
        <v>31712</v>
      </c>
      <c r="I142" s="16"/>
      <c r="J142" s="16"/>
      <c r="K142" s="16"/>
      <c r="L142" s="16"/>
      <c r="M142" s="16" t="s">
        <v>206</v>
      </c>
      <c r="N142" s="16" t="s">
        <v>741</v>
      </c>
      <c r="O142" s="72" t="s">
        <v>742</v>
      </c>
      <c r="P142" s="16"/>
      <c r="Q142" s="16" t="s">
        <v>743</v>
      </c>
      <c r="R142" s="16" t="s">
        <v>743</v>
      </c>
      <c r="S142" s="16" t="s">
        <v>743</v>
      </c>
      <c r="T142" s="16" t="s">
        <v>70</v>
      </c>
      <c r="U142" s="16"/>
      <c r="V142" s="17">
        <v>1</v>
      </c>
      <c r="W142" s="16"/>
      <c r="X142" s="16"/>
      <c r="Y142" s="16" t="s">
        <v>71</v>
      </c>
      <c r="Z142" s="18"/>
      <c r="AA142" s="19"/>
      <c r="AB142" s="20"/>
      <c r="AC142" s="19"/>
      <c r="AD142" s="20"/>
      <c r="AE142" s="19"/>
      <c r="AF142" s="16"/>
      <c r="AG142" s="16"/>
      <c r="AH142" s="16"/>
      <c r="AI142" s="16"/>
      <c r="AJ142" s="17">
        <f>143.5+142.72/2+111.03+18.27/2</f>
        <v>335.02499999999998</v>
      </c>
      <c r="AK142" s="21"/>
      <c r="AL142" s="22">
        <v>1145.3399999999999</v>
      </c>
      <c r="AM142" s="22">
        <f>+(143.5+142.72)/AL142</f>
        <v>0.2498995931339166</v>
      </c>
      <c r="AN142" s="22">
        <f>+AJ142/AL142</f>
        <v>0.29251139399654252</v>
      </c>
      <c r="AO142" s="22">
        <f>+(3+10+15)/(3+5+5)</f>
        <v>2.1538461538461537</v>
      </c>
      <c r="AP142" s="22">
        <f>+(9*67063+6*53635+6*40232+26825*10)/31*AJ142</f>
        <v>15508620.660483871</v>
      </c>
      <c r="AQ142" s="23">
        <v>259286.34</v>
      </c>
      <c r="AR142" s="22" t="s">
        <v>57</v>
      </c>
      <c r="AS142" s="23" t="s">
        <v>744</v>
      </c>
      <c r="AT142" s="44">
        <v>45181</v>
      </c>
      <c r="AU142" s="24"/>
      <c r="AV142" s="45" t="s">
        <v>745</v>
      </c>
      <c r="AW142" s="13"/>
      <c r="AX142" s="13"/>
      <c r="AY142" s="13"/>
      <c r="AZ142" s="13"/>
      <c r="BA142" s="13"/>
      <c r="BB142" s="13"/>
      <c r="BC142" s="13"/>
      <c r="BD142" s="13"/>
      <c r="BE142" s="13"/>
      <c r="BF142" s="13"/>
      <c r="BG142" s="13"/>
      <c r="BH142" s="14"/>
      <c r="BI142" s="14"/>
      <c r="BJ142" s="14"/>
      <c r="BK142" s="14"/>
      <c r="BL142" s="14"/>
      <c r="BM142" s="14"/>
      <c r="BN142" s="14"/>
      <c r="BO142" s="14"/>
      <c r="BP142" s="14"/>
      <c r="BQ142" s="14"/>
      <c r="BR142" s="14"/>
      <c r="BS142" s="14"/>
      <c r="BT142" s="14"/>
      <c r="BU142" s="14"/>
      <c r="BV142" s="14"/>
      <c r="BW142" s="14"/>
      <c r="IQ142" s="14"/>
      <c r="IR142" s="14"/>
      <c r="IS142" s="14"/>
      <c r="IT142" s="14"/>
      <c r="IU142" s="14"/>
      <c r="IV142" s="14"/>
      <c r="IW142" s="14"/>
    </row>
    <row r="143" spans="2:257" s="2" customFormat="1" ht="127.5">
      <c r="B143" s="49">
        <v>140</v>
      </c>
      <c r="C143" s="58" t="s">
        <v>746</v>
      </c>
      <c r="D143" s="42">
        <v>44375</v>
      </c>
      <c r="E143" s="43" t="s">
        <v>46</v>
      </c>
      <c r="F143" s="15">
        <v>39111</v>
      </c>
      <c r="G143" s="15">
        <v>137961</v>
      </c>
      <c r="H143" s="15">
        <v>20396</v>
      </c>
      <c r="I143" s="16">
        <v>62</v>
      </c>
      <c r="J143" s="16">
        <v>62</v>
      </c>
      <c r="K143" s="16">
        <v>434</v>
      </c>
      <c r="L143" s="16">
        <v>13</v>
      </c>
      <c r="M143" s="16" t="s">
        <v>110</v>
      </c>
      <c r="N143" s="16" t="s">
        <v>747</v>
      </c>
      <c r="O143" s="72" t="s">
        <v>748</v>
      </c>
      <c r="P143" s="16"/>
      <c r="Q143" s="16" t="s">
        <v>499</v>
      </c>
      <c r="R143" s="16"/>
      <c r="S143" s="16"/>
      <c r="T143" s="16"/>
      <c r="U143" s="16">
        <v>2</v>
      </c>
      <c r="V143" s="17"/>
      <c r="W143" s="16"/>
      <c r="X143" s="16"/>
      <c r="Y143" s="16" t="s">
        <v>44</v>
      </c>
      <c r="Z143" s="18">
        <f>2+3</f>
        <v>5</v>
      </c>
      <c r="AA143" s="19"/>
      <c r="AB143" s="20">
        <f>+Z143+1+1</f>
        <v>7</v>
      </c>
      <c r="AC143" s="19"/>
      <c r="AD143" s="20">
        <f>+Z143*2</f>
        <v>10</v>
      </c>
      <c r="AE143" s="19"/>
      <c r="AF143" s="16"/>
      <c r="AG143" s="16"/>
      <c r="AH143" s="16">
        <f>182+44.3/2+147.7</f>
        <v>351.85</v>
      </c>
      <c r="AI143" s="16"/>
      <c r="AJ143" s="17"/>
      <c r="AK143" s="21"/>
      <c r="AL143" s="22">
        <v>468.11</v>
      </c>
      <c r="AM143" s="22">
        <f>+(182+44.3)/AL143</f>
        <v>0.48343338104291728</v>
      </c>
      <c r="AN143" s="22">
        <f>+AH143/AL143</f>
        <v>0.75163957189549468</v>
      </c>
      <c r="AO143" s="22">
        <f>+(1+6+12+8)/(1+3+4+2)</f>
        <v>2.7</v>
      </c>
      <c r="AP143" s="22">
        <f>+(8*67063+53635*9+40232*4+2*26825)/23*AH143</f>
        <v>18874411.932608698</v>
      </c>
      <c r="AQ143" s="23">
        <v>200141.89</v>
      </c>
      <c r="AR143" s="22" t="s">
        <v>35</v>
      </c>
      <c r="AS143" s="23" t="s">
        <v>749</v>
      </c>
      <c r="AT143" s="44">
        <v>45184</v>
      </c>
      <c r="AU143" s="24"/>
      <c r="AV143" s="45">
        <v>45177</v>
      </c>
      <c r="AW143" s="13"/>
      <c r="AX143" s="13"/>
      <c r="AY143" s="13"/>
      <c r="AZ143" s="13"/>
      <c r="BA143" s="13"/>
      <c r="BB143" s="13"/>
      <c r="BC143" s="13"/>
      <c r="BD143" s="13"/>
      <c r="BE143" s="13"/>
      <c r="BF143" s="13"/>
      <c r="BG143" s="13"/>
      <c r="BH143" s="14"/>
      <c r="BI143" s="14"/>
      <c r="BJ143" s="14"/>
      <c r="BK143" s="14"/>
      <c r="BL143" s="14"/>
      <c r="BM143" s="14"/>
      <c r="BN143" s="14"/>
      <c r="BO143" s="14"/>
      <c r="BP143" s="14"/>
      <c r="BQ143" s="14"/>
      <c r="BR143" s="14"/>
      <c r="BS143" s="14"/>
      <c r="BT143" s="14"/>
      <c r="BU143" s="14"/>
      <c r="BV143" s="14"/>
      <c r="BW143" s="14"/>
      <c r="IQ143" s="14"/>
      <c r="IR143" s="14"/>
      <c r="IS143" s="14"/>
      <c r="IT143" s="14"/>
      <c r="IU143" s="14"/>
      <c r="IV143" s="14"/>
      <c r="IW143" s="14"/>
    </row>
    <row r="144" spans="2:257" s="2" customFormat="1" ht="76.5">
      <c r="B144" s="110">
        <v>139</v>
      </c>
      <c r="C144" s="58">
        <v>555151</v>
      </c>
      <c r="D144" s="42">
        <v>45160</v>
      </c>
      <c r="E144" s="42" t="s">
        <v>39</v>
      </c>
      <c r="F144" s="15">
        <v>-52586</v>
      </c>
      <c r="G144" s="15">
        <v>162135</v>
      </c>
      <c r="H144" s="15">
        <v>33133</v>
      </c>
      <c r="I144" s="16">
        <v>310</v>
      </c>
      <c r="J144" s="16"/>
      <c r="K144" s="16">
        <v>2</v>
      </c>
      <c r="L144" s="16">
        <v>19</v>
      </c>
      <c r="M144" s="16" t="s">
        <v>249</v>
      </c>
      <c r="N144" s="16" t="s">
        <v>750</v>
      </c>
      <c r="O144" s="16" t="s">
        <v>751</v>
      </c>
      <c r="P144" s="16" t="s">
        <v>752</v>
      </c>
      <c r="Q144" s="16" t="s">
        <v>753</v>
      </c>
      <c r="R144" s="16" t="s">
        <v>753</v>
      </c>
      <c r="S144" s="16" t="s">
        <v>753</v>
      </c>
      <c r="T144" s="16" t="s">
        <v>751</v>
      </c>
      <c r="U144" s="16"/>
      <c r="V144" s="17">
        <f>1+1+1</f>
        <v>3</v>
      </c>
      <c r="W144" s="16"/>
      <c r="X144" s="16"/>
      <c r="Y144" s="16" t="s">
        <v>44</v>
      </c>
      <c r="Z144" s="18"/>
      <c r="AA144" s="19">
        <f>2*V144</f>
        <v>6</v>
      </c>
      <c r="AB144" s="20"/>
      <c r="AC144" s="19">
        <f>+AA144+V144</f>
        <v>9</v>
      </c>
      <c r="AD144" s="20"/>
      <c r="AE144" s="19">
        <f>+AA144*2</f>
        <v>12</v>
      </c>
      <c r="AF144" s="16"/>
      <c r="AG144" s="16"/>
      <c r="AH144" s="16"/>
      <c r="AI144" s="16"/>
      <c r="AJ144" s="17">
        <f>17.45/2+125.06+34.41/2+63.85</f>
        <v>214.84</v>
      </c>
      <c r="AK144" s="21"/>
      <c r="AL144" s="22">
        <v>492.6</v>
      </c>
      <c r="AM144" s="22">
        <f>+(17.45+125.06+34.41+63.85)/AL144</f>
        <v>0.4887738530247665</v>
      </c>
      <c r="AN144" s="22">
        <f>+AJ144/AL144</f>
        <v>0.43613479496548924</v>
      </c>
      <c r="AO144" s="22">
        <f>+(2+24+12)/(1+8+2)</f>
        <v>3.4545454545454546</v>
      </c>
      <c r="AP144" s="22">
        <f>+(3*21938+17546*4+13161*7+5*8775)/19*AJ144</f>
        <v>3075604.2105263155</v>
      </c>
      <c r="AQ144" s="23">
        <v>5469</v>
      </c>
      <c r="AR144" s="22" t="s">
        <v>165</v>
      </c>
      <c r="AS144" s="23" t="s">
        <v>754</v>
      </c>
      <c r="AT144" s="44">
        <v>45184</v>
      </c>
      <c r="AU144" s="24"/>
      <c r="AV144" s="45" t="s">
        <v>755</v>
      </c>
      <c r="AW144" s="13"/>
      <c r="AX144" s="13"/>
      <c r="AY144" s="13"/>
      <c r="AZ144" s="13"/>
      <c r="BA144" s="13"/>
      <c r="BB144" s="13"/>
      <c r="BC144" s="13"/>
      <c r="BD144" s="13"/>
      <c r="BE144" s="13"/>
      <c r="BF144" s="13"/>
      <c r="BG144" s="13"/>
      <c r="BH144" s="14"/>
      <c r="BI144" s="14"/>
      <c r="BJ144" s="14"/>
      <c r="BK144" s="14"/>
      <c r="BL144" s="14"/>
      <c r="BM144" s="14"/>
      <c r="BN144" s="14"/>
      <c r="BO144" s="14"/>
      <c r="BP144" s="14"/>
      <c r="BQ144" s="14"/>
      <c r="BR144" s="14"/>
      <c r="BS144" s="14"/>
      <c r="BT144" s="14"/>
      <c r="BU144" s="14"/>
      <c r="BV144" s="14"/>
      <c r="BW144" s="14"/>
      <c r="IQ144" s="14"/>
      <c r="IR144" s="14"/>
      <c r="IS144" s="14"/>
      <c r="IT144" s="14"/>
      <c r="IU144" s="14"/>
      <c r="IV144" s="14"/>
      <c r="IW144" s="14"/>
    </row>
    <row r="145" spans="2:257" s="25" customFormat="1" ht="89.25">
      <c r="B145" s="49">
        <v>141</v>
      </c>
      <c r="C145" s="97">
        <v>555438</v>
      </c>
      <c r="D145" s="98">
        <v>45173</v>
      </c>
      <c r="E145" s="99" t="s">
        <v>117</v>
      </c>
      <c r="F145" s="30">
        <v>38325</v>
      </c>
      <c r="G145" s="30">
        <v>137340</v>
      </c>
      <c r="H145" s="30">
        <v>8018</v>
      </c>
      <c r="I145" s="31"/>
      <c r="J145" s="31"/>
      <c r="K145" s="79">
        <v>630</v>
      </c>
      <c r="L145" s="31">
        <v>2</v>
      </c>
      <c r="M145" s="79" t="s">
        <v>96</v>
      </c>
      <c r="N145" s="31" t="s">
        <v>756</v>
      </c>
      <c r="O145" s="31" t="s">
        <v>757</v>
      </c>
      <c r="P145" s="79"/>
      <c r="Q145" s="31" t="s">
        <v>758</v>
      </c>
      <c r="R145" s="31" t="s">
        <v>758</v>
      </c>
      <c r="S145" s="31" t="s">
        <v>758</v>
      </c>
      <c r="T145" s="31" t="s">
        <v>759</v>
      </c>
      <c r="U145" s="31"/>
      <c r="V145" s="31"/>
      <c r="W145" s="31">
        <v>1</v>
      </c>
      <c r="X145" s="31"/>
      <c r="Y145" s="31" t="s">
        <v>71</v>
      </c>
      <c r="Z145" s="32">
        <f>2+1</f>
        <v>3</v>
      </c>
      <c r="AA145" s="32">
        <v>1</v>
      </c>
      <c r="AB145" s="32">
        <f>+Z145+1</f>
        <v>4</v>
      </c>
      <c r="AC145" s="32"/>
      <c r="AD145" s="32">
        <f>+Z145*2</f>
        <v>6</v>
      </c>
      <c r="AE145" s="32">
        <f>+AA145*2</f>
        <v>2</v>
      </c>
      <c r="AF145" s="31">
        <f>65.26+13.13/2+14.35+10.53+11/2</f>
        <v>102.205</v>
      </c>
      <c r="AG145" s="31"/>
      <c r="AH145" s="31"/>
      <c r="AI145" s="31"/>
      <c r="AJ145" s="31">
        <v>16.77</v>
      </c>
      <c r="AK145" s="33"/>
      <c r="AL145" s="33">
        <v>187.39</v>
      </c>
      <c r="AM145" s="33">
        <v>0.61</v>
      </c>
      <c r="AN145" s="33">
        <f>+(AF145+AJ145)/AL145</f>
        <v>0.6349058114093602</v>
      </c>
      <c r="AO145" s="33">
        <f>+(2+21+8)/(1+7+2)</f>
        <v>3.1</v>
      </c>
      <c r="AP145" s="33">
        <f>+(3*67063+9*53635+9*40232+2*26825)/23*AJ145</f>
        <v>801782.44956521736</v>
      </c>
      <c r="AQ145" s="34">
        <v>25099.119999999999</v>
      </c>
      <c r="AR145" s="100" t="s">
        <v>57</v>
      </c>
      <c r="AS145" s="34" t="s">
        <v>760</v>
      </c>
      <c r="AT145" s="35">
        <v>45210</v>
      </c>
      <c r="AU145" s="36"/>
      <c r="AV145" s="102" t="s">
        <v>761</v>
      </c>
      <c r="AW145" s="38"/>
      <c r="AX145" s="38"/>
      <c r="AY145" s="38"/>
      <c r="AZ145" s="38"/>
      <c r="BA145" s="38"/>
      <c r="BB145" s="38"/>
      <c r="BC145" s="38"/>
      <c r="BD145" s="38"/>
      <c r="BE145" s="38"/>
      <c r="BF145" s="38"/>
      <c r="BG145" s="38"/>
      <c r="BH145" s="39"/>
      <c r="BI145" s="39"/>
      <c r="BJ145" s="39"/>
      <c r="BK145" s="39"/>
      <c r="BL145" s="39"/>
      <c r="BM145" s="39"/>
      <c r="BN145" s="39"/>
      <c r="BO145" s="39"/>
      <c r="BP145" s="39"/>
      <c r="BQ145" s="39"/>
      <c r="BR145" s="39"/>
      <c r="BS145" s="39"/>
      <c r="BT145" s="39"/>
      <c r="BU145" s="39"/>
      <c r="BV145" s="39"/>
      <c r="BW145" s="39"/>
      <c r="IQ145" s="39"/>
      <c r="IR145" s="39"/>
      <c r="IS145" s="39"/>
      <c r="IT145" s="39"/>
      <c r="IU145" s="39"/>
      <c r="IV145" s="39"/>
      <c r="IW145" s="39"/>
    </row>
    <row r="146" spans="2:257" s="25" customFormat="1" ht="114.75">
      <c r="B146" s="49">
        <v>142</v>
      </c>
      <c r="C146" s="97" t="s">
        <v>762</v>
      </c>
      <c r="D146" s="98">
        <v>45139</v>
      </c>
      <c r="E146" s="99" t="s">
        <v>46</v>
      </c>
      <c r="F146" s="30">
        <v>7221</v>
      </c>
      <c r="G146" s="30">
        <v>50463</v>
      </c>
      <c r="H146" s="30">
        <v>261</v>
      </c>
      <c r="I146" s="31"/>
      <c r="J146" s="31"/>
      <c r="K146" s="79">
        <v>753</v>
      </c>
      <c r="L146" s="31">
        <v>13</v>
      </c>
      <c r="M146" s="79" t="s">
        <v>96</v>
      </c>
      <c r="N146" s="31" t="s">
        <v>763</v>
      </c>
      <c r="O146" s="31" t="s">
        <v>764</v>
      </c>
      <c r="P146" s="79"/>
      <c r="Q146" s="31" t="s">
        <v>765</v>
      </c>
      <c r="R146" s="31"/>
      <c r="S146" s="31"/>
      <c r="T146" s="31"/>
      <c r="U146" s="31">
        <v>4</v>
      </c>
      <c r="V146" s="31"/>
      <c r="W146" s="31"/>
      <c r="X146" s="31"/>
      <c r="Y146" s="31" t="s">
        <v>44</v>
      </c>
      <c r="Z146" s="32">
        <f>1+1+1+2</f>
        <v>5</v>
      </c>
      <c r="AA146" s="32"/>
      <c r="AB146" s="32">
        <f>+Z146+1+1+1+1+1</f>
        <v>10</v>
      </c>
      <c r="AC146" s="32"/>
      <c r="AD146" s="32">
        <f>+Z146*2</f>
        <v>10</v>
      </c>
      <c r="AE146" s="32"/>
      <c r="AF146" s="31"/>
      <c r="AG146" s="31"/>
      <c r="AH146" s="31">
        <f>189.96+4.9/2+55.75+33.86/2</f>
        <v>265.08999999999997</v>
      </c>
      <c r="AI146" s="31"/>
      <c r="AJ146" s="31"/>
      <c r="AK146" s="33"/>
      <c r="AL146" s="33">
        <v>610.25</v>
      </c>
      <c r="AM146" s="33">
        <f>+(189.96+4.9+55.75+33.86)/AL146</f>
        <v>0.46615321589512498</v>
      </c>
      <c r="AN146" s="33">
        <f>+AH146/AL146</f>
        <v>0.43439573945104459</v>
      </c>
      <c r="AO146" s="33"/>
      <c r="AP146" s="33">
        <f>+(2*67063+53635*5+40232*4+9*26825)/20*AH146+(3538381)</f>
        <v>14203667.442999998</v>
      </c>
      <c r="AQ146" s="34">
        <v>244360.11</v>
      </c>
      <c r="AR146" s="100" t="s">
        <v>57</v>
      </c>
      <c r="AS146" s="34" t="s">
        <v>766</v>
      </c>
      <c r="AT146" s="35">
        <v>45210</v>
      </c>
      <c r="AU146" s="35">
        <v>45404</v>
      </c>
      <c r="AV146" s="102">
        <v>45183</v>
      </c>
      <c r="AW146" s="38"/>
      <c r="AX146" s="38"/>
      <c r="AY146" s="38"/>
      <c r="AZ146" s="38"/>
      <c r="BA146" s="38"/>
      <c r="BB146" s="38"/>
      <c r="BC146" s="38"/>
      <c r="BD146" s="38"/>
      <c r="BE146" s="38"/>
      <c r="BF146" s="38"/>
      <c r="BG146" s="38"/>
      <c r="BH146" s="39"/>
      <c r="BI146" s="39"/>
      <c r="BJ146" s="39"/>
      <c r="BK146" s="39"/>
      <c r="BL146" s="39"/>
      <c r="BM146" s="39"/>
      <c r="BN146" s="39"/>
      <c r="BO146" s="39"/>
      <c r="BP146" s="39"/>
      <c r="BQ146" s="39"/>
      <c r="BR146" s="39"/>
      <c r="BS146" s="39"/>
      <c r="BT146" s="39"/>
      <c r="BU146" s="39"/>
      <c r="BV146" s="39"/>
      <c r="BW146" s="39"/>
      <c r="IQ146" s="39"/>
      <c r="IR146" s="39"/>
      <c r="IS146" s="39"/>
      <c r="IT146" s="39"/>
      <c r="IU146" s="39"/>
      <c r="IV146" s="39"/>
      <c r="IW146" s="39"/>
    </row>
    <row r="147" spans="2:257" s="2" customFormat="1" ht="51">
      <c r="B147" s="49">
        <v>144</v>
      </c>
      <c r="C147" s="41" t="s">
        <v>767</v>
      </c>
      <c r="D147" s="42">
        <v>45098</v>
      </c>
      <c r="E147" s="43" t="s">
        <v>65</v>
      </c>
      <c r="F147" s="15">
        <v>23921</v>
      </c>
      <c r="G147" s="15">
        <v>50319</v>
      </c>
      <c r="H147" s="15">
        <v>3052</v>
      </c>
      <c r="I147" s="16"/>
      <c r="J147" s="16"/>
      <c r="K147" s="16">
        <v>778</v>
      </c>
      <c r="L147" s="16">
        <v>13</v>
      </c>
      <c r="M147" s="16" t="s">
        <v>96</v>
      </c>
      <c r="N147" s="16" t="s">
        <v>768</v>
      </c>
      <c r="O147" s="72" t="s">
        <v>769</v>
      </c>
      <c r="P147" s="16"/>
      <c r="Q147" s="16" t="s">
        <v>770</v>
      </c>
      <c r="R147" s="16"/>
      <c r="S147" s="16"/>
      <c r="T147" s="16"/>
      <c r="U147" s="16"/>
      <c r="V147" s="17">
        <v>1</v>
      </c>
      <c r="W147" s="16"/>
      <c r="X147" s="16"/>
      <c r="Y147" s="16" t="s">
        <v>71</v>
      </c>
      <c r="Z147" s="18"/>
      <c r="AA147" s="19">
        <v>1</v>
      </c>
      <c r="AB147" s="20"/>
      <c r="AC147" s="19">
        <f>+AA147</f>
        <v>1</v>
      </c>
      <c r="AD147" s="20"/>
      <c r="AE147" s="19">
        <f>+AA147*2</f>
        <v>2</v>
      </c>
      <c r="AF147" s="16"/>
      <c r="AG147" s="16"/>
      <c r="AH147" s="16"/>
      <c r="AI147" s="16"/>
      <c r="AJ147" s="17">
        <v>46.84</v>
      </c>
      <c r="AK147" s="21"/>
      <c r="AL147" s="22">
        <v>392.04</v>
      </c>
      <c r="AM147" s="22">
        <f>+AJ147/AL147</f>
        <v>0.11947760432608917</v>
      </c>
      <c r="AN147" s="22">
        <f>+AJ147/AL147</f>
        <v>0.11947760432608917</v>
      </c>
      <c r="AO147" s="22"/>
      <c r="AP147" s="22">
        <v>400000</v>
      </c>
      <c r="AQ147" s="23">
        <v>47968.71</v>
      </c>
      <c r="AR147" s="22" t="s">
        <v>77</v>
      </c>
      <c r="AS147" s="23" t="s">
        <v>771</v>
      </c>
      <c r="AT147" s="44">
        <v>45222</v>
      </c>
      <c r="AU147" s="24"/>
      <c r="AV147" s="45">
        <v>45184</v>
      </c>
      <c r="AW147" s="13"/>
      <c r="AX147" s="13"/>
      <c r="AY147" s="13"/>
      <c r="AZ147" s="13"/>
      <c r="BA147" s="13"/>
      <c r="BB147" s="13"/>
      <c r="BC147" s="13"/>
      <c r="BD147" s="13"/>
      <c r="BE147" s="13"/>
      <c r="BF147" s="13"/>
      <c r="BG147" s="13"/>
      <c r="BH147" s="14"/>
      <c r="BI147" s="14"/>
      <c r="BJ147" s="14"/>
      <c r="BK147" s="14"/>
      <c r="BL147" s="14"/>
      <c r="BM147" s="14"/>
      <c r="BN147" s="14"/>
      <c r="BO147" s="14"/>
      <c r="BP147" s="14"/>
      <c r="BQ147" s="14"/>
      <c r="BR147" s="14"/>
      <c r="BS147" s="14"/>
      <c r="BT147" s="14"/>
      <c r="BU147" s="14"/>
      <c r="BV147" s="14"/>
      <c r="BW147" s="14"/>
      <c r="IQ147" s="14"/>
      <c r="IR147" s="14"/>
      <c r="IS147" s="14"/>
      <c r="IT147" s="14"/>
      <c r="IU147" s="14"/>
      <c r="IV147" s="14"/>
      <c r="IW147" s="14"/>
    </row>
    <row r="148" spans="2:257" s="25" customFormat="1" ht="63.75">
      <c r="B148" s="49">
        <v>143</v>
      </c>
      <c r="C148" s="97">
        <v>555715</v>
      </c>
      <c r="D148" s="98">
        <v>44816</v>
      </c>
      <c r="E148" s="99" t="s">
        <v>46</v>
      </c>
      <c r="F148" s="30">
        <v>61097</v>
      </c>
      <c r="G148" s="30">
        <v>169017</v>
      </c>
      <c r="H148" s="30">
        <v>21458</v>
      </c>
      <c r="I148" s="31">
        <v>53</v>
      </c>
      <c r="J148" s="31"/>
      <c r="K148" s="79">
        <v>417</v>
      </c>
      <c r="L148" s="31">
        <v>18</v>
      </c>
      <c r="M148" s="79" t="s">
        <v>66</v>
      </c>
      <c r="N148" s="31" t="s">
        <v>772</v>
      </c>
      <c r="O148" s="31" t="s">
        <v>773</v>
      </c>
      <c r="P148" s="79"/>
      <c r="Q148" s="31" t="s">
        <v>774</v>
      </c>
      <c r="R148" s="31"/>
      <c r="S148" s="31"/>
      <c r="T148" s="31"/>
      <c r="U148" s="31">
        <v>2</v>
      </c>
      <c r="V148" s="31"/>
      <c r="W148" s="31"/>
      <c r="X148" s="31"/>
      <c r="Y148" s="31" t="s">
        <v>44</v>
      </c>
      <c r="Z148" s="32">
        <f>1+2</f>
        <v>3</v>
      </c>
      <c r="AA148" s="32"/>
      <c r="AB148" s="32">
        <f>+Z148+1+1+1</f>
        <v>6</v>
      </c>
      <c r="AC148" s="32"/>
      <c r="AD148" s="32">
        <f>+Z148*2</f>
        <v>6</v>
      </c>
      <c r="AE148" s="32"/>
      <c r="AF148" s="31"/>
      <c r="AG148" s="31"/>
      <c r="AH148" s="31">
        <f>105.81+71.31+2.04/2+1/2</f>
        <v>178.64000000000001</v>
      </c>
      <c r="AI148" s="31"/>
      <c r="AJ148" s="31"/>
      <c r="AK148" s="33"/>
      <c r="AL148" s="33">
        <v>162.85</v>
      </c>
      <c r="AM148" s="33">
        <f>+(105.81+2.04)/AL148</f>
        <v>0.66226588885477444</v>
      </c>
      <c r="AN148" s="33">
        <f>+AH148/AL148</f>
        <v>1.0969603929996932</v>
      </c>
      <c r="AO148" s="33"/>
      <c r="AP148" s="33">
        <f>+(5*67063+53635*5+40232*6+6*26825)/22*AH148</f>
        <v>8167355.8399999999</v>
      </c>
      <c r="AQ148" s="34">
        <v>124325.55</v>
      </c>
      <c r="AR148" s="100" t="s">
        <v>57</v>
      </c>
      <c r="AS148" s="34" t="s">
        <v>775</v>
      </c>
      <c r="AT148" s="35">
        <v>45210</v>
      </c>
      <c r="AU148" s="36"/>
      <c r="AV148" s="102">
        <v>45184</v>
      </c>
      <c r="AW148" s="38"/>
      <c r="AX148" s="38"/>
      <c r="AY148" s="38"/>
      <c r="AZ148" s="38"/>
      <c r="BA148" s="38"/>
      <c r="BB148" s="38"/>
      <c r="BC148" s="38"/>
      <c r="BD148" s="38"/>
      <c r="BE148" s="38"/>
      <c r="BF148" s="38"/>
      <c r="BG148" s="38"/>
      <c r="BH148" s="39"/>
      <c r="BI148" s="39"/>
      <c r="BJ148" s="39"/>
      <c r="BK148" s="39"/>
      <c r="BL148" s="39"/>
      <c r="BM148" s="39"/>
      <c r="BN148" s="39"/>
      <c r="BO148" s="39"/>
      <c r="BP148" s="39"/>
      <c r="BQ148" s="39"/>
      <c r="BR148" s="39"/>
      <c r="BS148" s="39"/>
      <c r="BT148" s="39"/>
      <c r="BU148" s="39"/>
      <c r="BV148" s="39"/>
      <c r="BW148" s="39"/>
      <c r="IQ148" s="39"/>
      <c r="IR148" s="39"/>
      <c r="IS148" s="39"/>
      <c r="IT148" s="39"/>
      <c r="IU148" s="39"/>
      <c r="IV148" s="39"/>
      <c r="IW148" s="39"/>
    </row>
    <row r="149" spans="2:257" s="25" customFormat="1" ht="51">
      <c r="B149" s="49">
        <v>145</v>
      </c>
      <c r="C149" s="97" t="s">
        <v>776</v>
      </c>
      <c r="D149" s="98">
        <v>45140</v>
      </c>
      <c r="E149" s="99" t="s">
        <v>65</v>
      </c>
      <c r="F149" s="30">
        <v>12451</v>
      </c>
      <c r="G149" s="30">
        <v>632</v>
      </c>
      <c r="H149" s="30">
        <v>657</v>
      </c>
      <c r="I149" s="31"/>
      <c r="J149" s="31"/>
      <c r="K149" s="79">
        <v>51</v>
      </c>
      <c r="L149" s="31">
        <v>16</v>
      </c>
      <c r="M149" s="79" t="s">
        <v>40</v>
      </c>
      <c r="N149" s="31" t="s">
        <v>777</v>
      </c>
      <c r="O149" s="31" t="s">
        <v>778</v>
      </c>
      <c r="P149" s="79"/>
      <c r="Q149" s="31" t="s">
        <v>620</v>
      </c>
      <c r="R149" s="31" t="s">
        <v>620</v>
      </c>
      <c r="S149" s="31" t="s">
        <v>620</v>
      </c>
      <c r="T149" s="31" t="s">
        <v>70</v>
      </c>
      <c r="U149" s="31"/>
      <c r="V149" s="31">
        <v>1</v>
      </c>
      <c r="W149" s="31"/>
      <c r="X149" s="31"/>
      <c r="Y149" s="31" t="s">
        <v>71</v>
      </c>
      <c r="Z149" s="32"/>
      <c r="AA149" s="32">
        <v>4</v>
      </c>
      <c r="AB149" s="32"/>
      <c r="AC149" s="32">
        <f>+AA149+3</f>
        <v>7</v>
      </c>
      <c r="AD149" s="32"/>
      <c r="AE149" s="32">
        <f>+AA149*2</f>
        <v>8</v>
      </c>
      <c r="AF149" s="31"/>
      <c r="AG149" s="31"/>
      <c r="AH149" s="31"/>
      <c r="AI149" s="31"/>
      <c r="AJ149" s="31">
        <f>187.15+164.94+40.71/2+35.39/2</f>
        <v>390.14000000000004</v>
      </c>
      <c r="AK149" s="33"/>
      <c r="AL149" s="33">
        <v>489.75</v>
      </c>
      <c r="AM149" s="33">
        <f>+(187.15+40.71)/AL149</f>
        <v>0.46525778458397143</v>
      </c>
      <c r="AN149" s="33">
        <f>+AJ149/AL149</f>
        <v>0.79661051556916807</v>
      </c>
      <c r="AO149" s="33"/>
      <c r="AP149" s="33">
        <f>97250+((11*67063+6*53635+5*40232+1*26825)/23*AJ149)</f>
        <v>21936405.144347828</v>
      </c>
      <c r="AQ149" s="34">
        <v>86476.65</v>
      </c>
      <c r="AR149" s="100" t="s">
        <v>77</v>
      </c>
      <c r="AS149" s="34" t="s">
        <v>779</v>
      </c>
      <c r="AT149" s="35">
        <v>45217</v>
      </c>
      <c r="AU149" s="36"/>
      <c r="AV149" s="102">
        <v>45191</v>
      </c>
      <c r="AW149" s="38"/>
      <c r="AX149" s="38"/>
      <c r="AY149" s="38"/>
      <c r="AZ149" s="38"/>
      <c r="BA149" s="38"/>
      <c r="BB149" s="38"/>
      <c r="BC149" s="38"/>
      <c r="BD149" s="38"/>
      <c r="BE149" s="38"/>
      <c r="BF149" s="38"/>
      <c r="BG149" s="38"/>
      <c r="BH149" s="39"/>
      <c r="BI149" s="39"/>
      <c r="BJ149" s="39"/>
      <c r="BK149" s="39"/>
      <c r="BL149" s="39"/>
      <c r="BM149" s="39"/>
      <c r="BN149" s="39"/>
      <c r="BO149" s="39"/>
      <c r="BP149" s="39"/>
      <c r="BQ149" s="39"/>
      <c r="BR149" s="39"/>
      <c r="BS149" s="39"/>
      <c r="BT149" s="39"/>
      <c r="BU149" s="39"/>
      <c r="BV149" s="39"/>
      <c r="BW149" s="39"/>
      <c r="IQ149" s="39"/>
      <c r="IR149" s="39"/>
      <c r="IS149" s="39"/>
      <c r="IT149" s="39"/>
      <c r="IU149" s="39"/>
      <c r="IV149" s="39"/>
      <c r="IW149" s="39"/>
    </row>
    <row r="150" spans="2:257" s="25" customFormat="1" ht="51">
      <c r="B150" s="49">
        <v>147</v>
      </c>
      <c r="C150" s="97">
        <v>556092</v>
      </c>
      <c r="D150" s="98">
        <v>45197</v>
      </c>
      <c r="E150" s="99" t="s">
        <v>46</v>
      </c>
      <c r="F150" s="30">
        <v>122270</v>
      </c>
      <c r="G150" s="30">
        <v>103603</v>
      </c>
      <c r="H150" s="30">
        <v>314</v>
      </c>
      <c r="I150" s="31"/>
      <c r="J150" s="31"/>
      <c r="K150" s="79">
        <v>143</v>
      </c>
      <c r="L150" s="31">
        <v>7</v>
      </c>
      <c r="M150" s="79" t="s">
        <v>40</v>
      </c>
      <c r="N150" s="31" t="s">
        <v>780</v>
      </c>
      <c r="O150" s="31" t="s">
        <v>781</v>
      </c>
      <c r="P150" s="79"/>
      <c r="Q150" s="31" t="s">
        <v>120</v>
      </c>
      <c r="R150" s="31"/>
      <c r="S150" s="31"/>
      <c r="T150" s="31"/>
      <c r="U150" s="31">
        <v>1</v>
      </c>
      <c r="V150" s="31"/>
      <c r="W150" s="31"/>
      <c r="X150" s="31"/>
      <c r="Y150" s="31" t="s">
        <v>247</v>
      </c>
      <c r="Z150" s="32">
        <v>1</v>
      </c>
      <c r="AA150" s="32"/>
      <c r="AB150" s="32">
        <f>+Z150+1</f>
        <v>2</v>
      </c>
      <c r="AC150" s="32"/>
      <c r="AD150" s="32">
        <f>+Z150*2</f>
        <v>2</v>
      </c>
      <c r="AE150" s="32"/>
      <c r="AF150" s="31"/>
      <c r="AG150" s="31"/>
      <c r="AH150" s="31">
        <f>18.53/2+55.19</f>
        <v>64.454999999999998</v>
      </c>
      <c r="AI150" s="31">
        <v>49.04</v>
      </c>
      <c r="AJ150" s="31"/>
      <c r="AK150" s="33"/>
      <c r="AL150" s="33">
        <v>178.5</v>
      </c>
      <c r="AM150" s="33">
        <f>+(55.19+18.53+49.04)/AL150</f>
        <v>0.68773109243697472</v>
      </c>
      <c r="AN150" s="33">
        <f>+(AH150+AI150)/AL150</f>
        <v>0.63582633053221294</v>
      </c>
      <c r="AO150" s="33">
        <f>+(27/9)</f>
        <v>3</v>
      </c>
      <c r="AP150" s="33">
        <f>+((5*67063+4*53635+9*40232+3*26825)/21*AH150)+(40232*AI150)</f>
        <v>5018991.67</v>
      </c>
      <c r="AQ150" s="34">
        <v>78519.100000000006</v>
      </c>
      <c r="AR150" s="100" t="s">
        <v>57</v>
      </c>
      <c r="AS150" s="34" t="s">
        <v>782</v>
      </c>
      <c r="AT150" s="35">
        <v>45217</v>
      </c>
      <c r="AU150" s="36"/>
      <c r="AV150" s="102">
        <v>45204</v>
      </c>
      <c r="AW150" s="38"/>
      <c r="AX150" s="38"/>
      <c r="AY150" s="38"/>
      <c r="AZ150" s="38"/>
      <c r="BA150" s="38"/>
      <c r="BB150" s="38"/>
      <c r="BC150" s="38"/>
      <c r="BD150" s="38"/>
      <c r="BE150" s="38"/>
      <c r="BF150" s="38"/>
      <c r="BG150" s="38"/>
      <c r="BH150" s="39"/>
      <c r="BI150" s="39"/>
      <c r="BJ150" s="39"/>
      <c r="BK150" s="39"/>
      <c r="BL150" s="39"/>
      <c r="BM150" s="39"/>
      <c r="BN150" s="39"/>
      <c r="BO150" s="39"/>
      <c r="BP150" s="39"/>
      <c r="BQ150" s="39"/>
      <c r="BR150" s="39"/>
      <c r="BS150" s="39"/>
      <c r="BT150" s="39"/>
      <c r="BU150" s="39"/>
      <c r="BV150" s="39"/>
      <c r="BW150" s="39"/>
      <c r="IQ150" s="39"/>
      <c r="IR150" s="39"/>
      <c r="IS150" s="39"/>
      <c r="IT150" s="39"/>
      <c r="IU150" s="39"/>
      <c r="IV150" s="39"/>
      <c r="IW150" s="39"/>
    </row>
    <row r="151" spans="2:257" s="2" customFormat="1" ht="38.25">
      <c r="B151" s="49">
        <v>146</v>
      </c>
      <c r="C151" s="41">
        <v>554448</v>
      </c>
      <c r="D151" s="42">
        <v>45128</v>
      </c>
      <c r="E151" s="43" t="s">
        <v>65</v>
      </c>
      <c r="F151" s="95">
        <v>60040</v>
      </c>
      <c r="G151" s="96">
        <v>168207</v>
      </c>
      <c r="H151" s="15">
        <v>33889</v>
      </c>
      <c r="I151" s="16">
        <v>355</v>
      </c>
      <c r="J151" s="16"/>
      <c r="K151" s="16">
        <v>15</v>
      </c>
      <c r="L151" s="16">
        <v>9</v>
      </c>
      <c r="M151" s="16" t="s">
        <v>783</v>
      </c>
      <c r="N151" s="16" t="s">
        <v>784</v>
      </c>
      <c r="O151" s="72" t="s">
        <v>785</v>
      </c>
      <c r="P151" s="16"/>
      <c r="Q151" s="16" t="s">
        <v>642</v>
      </c>
      <c r="R151" s="16" t="s">
        <v>642</v>
      </c>
      <c r="S151" s="16" t="s">
        <v>642</v>
      </c>
      <c r="T151" s="16" t="s">
        <v>70</v>
      </c>
      <c r="U151" s="16"/>
      <c r="V151" s="17">
        <v>1</v>
      </c>
      <c r="W151" s="16"/>
      <c r="X151" s="16"/>
      <c r="Y151" s="16" t="s">
        <v>786</v>
      </c>
      <c r="Z151" s="18"/>
      <c r="AA151" s="19">
        <v>4</v>
      </c>
      <c r="AB151" s="20"/>
      <c r="AC151" s="19">
        <f>+AA151+1</f>
        <v>5</v>
      </c>
      <c r="AD151" s="20"/>
      <c r="AE151" s="19">
        <f>+AA151*2</f>
        <v>8</v>
      </c>
      <c r="AF151" s="16"/>
      <c r="AG151" s="16"/>
      <c r="AH151" s="16"/>
      <c r="AI151" s="16"/>
      <c r="AJ151" s="17">
        <f>165.03+2.33/2</f>
        <v>166.19499999999999</v>
      </c>
      <c r="AK151" s="21"/>
      <c r="AL151" s="22">
        <v>805.6</v>
      </c>
      <c r="AM151" s="22">
        <f>+(100.2+2.33)/AL151</f>
        <v>0.1272715988083416</v>
      </c>
      <c r="AN151" s="22">
        <f>+AJ151/AL151</f>
        <v>0.20629965243296919</v>
      </c>
      <c r="AO151" s="22">
        <f>+(1+2+21)/(1+1+7)</f>
        <v>2.6666666666666665</v>
      </c>
      <c r="AP151" s="22">
        <f>+(8*67063+9*53635+10*40232+26825*2)/25*AJ151</f>
        <v>9806761.4342</v>
      </c>
      <c r="AQ151" s="23">
        <v>32766.74</v>
      </c>
      <c r="AR151" s="22" t="s">
        <v>51</v>
      </c>
      <c r="AS151" s="23" t="s">
        <v>787</v>
      </c>
      <c r="AT151" s="44">
        <v>45217</v>
      </c>
      <c r="AU151" s="44">
        <v>45541</v>
      </c>
      <c r="AV151" s="45" t="s">
        <v>788</v>
      </c>
      <c r="AW151" s="13"/>
      <c r="AX151" s="13"/>
      <c r="AY151" s="13"/>
      <c r="AZ151" s="13"/>
      <c r="BA151" s="13"/>
      <c r="BB151" s="13"/>
      <c r="BC151" s="13"/>
      <c r="BD151" s="13"/>
      <c r="BE151" s="13"/>
      <c r="BF151" s="13"/>
      <c r="BG151" s="13"/>
      <c r="BH151" s="14"/>
      <c r="BI151" s="14"/>
      <c r="BJ151" s="14"/>
      <c r="BK151" s="14"/>
      <c r="BL151" s="14"/>
      <c r="BM151" s="14"/>
      <c r="BN151" s="14"/>
      <c r="BO151" s="14"/>
      <c r="BP151" s="14"/>
      <c r="BQ151" s="14"/>
      <c r="BR151" s="14"/>
      <c r="BS151" s="14"/>
      <c r="BT151" s="14"/>
      <c r="BU151" s="14"/>
      <c r="BV151" s="14"/>
      <c r="BW151" s="14"/>
      <c r="IQ151" s="14"/>
      <c r="IR151" s="14"/>
      <c r="IS151" s="14"/>
      <c r="IT151" s="14"/>
      <c r="IU151" s="14"/>
      <c r="IV151" s="14"/>
      <c r="IW151" s="14"/>
    </row>
    <row r="152" spans="2:257" s="25" customFormat="1" ht="89.25">
      <c r="B152" s="49">
        <v>148</v>
      </c>
      <c r="C152" s="97">
        <v>556062</v>
      </c>
      <c r="D152" s="98">
        <v>45196</v>
      </c>
      <c r="E152" s="99" t="s">
        <v>46</v>
      </c>
      <c r="F152" s="30">
        <v>15127</v>
      </c>
      <c r="G152" s="30">
        <v>30840</v>
      </c>
      <c r="H152" s="30">
        <v>30840</v>
      </c>
      <c r="I152" s="31">
        <v>324</v>
      </c>
      <c r="J152" s="31"/>
      <c r="K152" s="79"/>
      <c r="L152" s="31">
        <v>24</v>
      </c>
      <c r="M152" s="79" t="s">
        <v>206</v>
      </c>
      <c r="N152" s="31" t="s">
        <v>789</v>
      </c>
      <c r="O152" s="31" t="s">
        <v>790</v>
      </c>
      <c r="P152" s="79"/>
      <c r="Q152" s="31" t="s">
        <v>791</v>
      </c>
      <c r="R152" s="31"/>
      <c r="S152" s="31"/>
      <c r="T152" s="31"/>
      <c r="U152" s="31">
        <v>1</v>
      </c>
      <c r="V152" s="31"/>
      <c r="W152" s="31"/>
      <c r="X152" s="31"/>
      <c r="Y152" s="31" t="s">
        <v>71</v>
      </c>
      <c r="Z152" s="32">
        <f>2+2</f>
        <v>4</v>
      </c>
      <c r="AA152" s="32"/>
      <c r="AB152" s="32">
        <f>+Z152+1+1</f>
        <v>6</v>
      </c>
      <c r="AC152" s="32"/>
      <c r="AD152" s="32">
        <f>+Z152*2</f>
        <v>8</v>
      </c>
      <c r="AE152" s="32"/>
      <c r="AF152" s="31">
        <v>62.95</v>
      </c>
      <c r="AG152" s="31"/>
      <c r="AH152" s="31">
        <f>(58.34+191.74+8.89+17.55+4.38+2.52+10.59+47.92+39.65+30.75+19.28)-AF152</f>
        <v>368.66</v>
      </c>
      <c r="AI152" s="31"/>
      <c r="AJ152" s="31"/>
      <c r="AK152" s="33"/>
      <c r="AL152" s="33">
        <v>2401.6</v>
      </c>
      <c r="AM152" s="33">
        <f>+(58.34+191.74+8.89*2+17.55*2+4.38*2+2.52*2+10.59+47.92*2+39.65*2+30.75*2+19.28*2)/AL152</f>
        <v>0.25089523650899398</v>
      </c>
      <c r="AN152" s="33">
        <f>+(AF152+AH152)/AL152</f>
        <v>0.17971768820786144</v>
      </c>
      <c r="AO152" s="33">
        <f>+(3+32)/(1+8)</f>
        <v>3.8888888888888888</v>
      </c>
      <c r="AP152" s="33">
        <f>+((53635+13*40232+5*26825)/20*AH152)+488700+135668.72</f>
        <v>13726102.728000002</v>
      </c>
      <c r="AQ152" s="34">
        <v>177093.76000000001</v>
      </c>
      <c r="AR152" s="100" t="s">
        <v>792</v>
      </c>
      <c r="AS152" s="34" t="s">
        <v>793</v>
      </c>
      <c r="AT152" s="35">
        <v>45217</v>
      </c>
      <c r="AU152" s="36"/>
      <c r="AV152" s="102">
        <v>45197</v>
      </c>
      <c r="AW152" s="38"/>
      <c r="AX152" s="38"/>
      <c r="AY152" s="38"/>
      <c r="AZ152" s="38"/>
      <c r="BA152" s="38"/>
      <c r="BB152" s="38"/>
      <c r="BC152" s="38"/>
      <c r="BD152" s="38"/>
      <c r="BE152" s="38"/>
      <c r="BF152" s="38"/>
      <c r="BG152" s="38"/>
      <c r="BH152" s="39"/>
      <c r="BI152" s="39"/>
      <c r="BJ152" s="39"/>
      <c r="BK152" s="39"/>
      <c r="BL152" s="39"/>
      <c r="BM152" s="39"/>
      <c r="BN152" s="39"/>
      <c r="BO152" s="39"/>
      <c r="BP152" s="39"/>
      <c r="BQ152" s="39"/>
      <c r="BR152" s="39"/>
      <c r="BS152" s="39"/>
      <c r="BT152" s="39"/>
      <c r="BU152" s="39"/>
      <c r="BV152" s="39"/>
      <c r="BW152" s="39"/>
      <c r="IQ152" s="39"/>
      <c r="IR152" s="39"/>
      <c r="IS152" s="39"/>
      <c r="IT152" s="39"/>
      <c r="IU152" s="39"/>
      <c r="IV152" s="39"/>
      <c r="IW152" s="39"/>
    </row>
    <row r="153" spans="2:257" s="2" customFormat="1" ht="51">
      <c r="B153" s="49">
        <v>149</v>
      </c>
      <c r="C153" s="58" t="s">
        <v>794</v>
      </c>
      <c r="D153" s="42">
        <v>44182</v>
      </c>
      <c r="E153" s="43" t="s">
        <v>65</v>
      </c>
      <c r="F153" s="15">
        <v>14544</v>
      </c>
      <c r="G153" s="15">
        <v>105659</v>
      </c>
      <c r="H153" s="15">
        <v>3290</v>
      </c>
      <c r="I153" s="16"/>
      <c r="J153" s="16"/>
      <c r="K153" s="16">
        <v>138</v>
      </c>
      <c r="L153" s="16">
        <v>7</v>
      </c>
      <c r="M153" s="16" t="s">
        <v>795</v>
      </c>
      <c r="N153" s="16" t="s">
        <v>796</v>
      </c>
      <c r="O153" s="72" t="s">
        <v>797</v>
      </c>
      <c r="P153" s="16"/>
      <c r="Q153" s="16" t="s">
        <v>798</v>
      </c>
      <c r="R153" s="16" t="s">
        <v>798</v>
      </c>
      <c r="S153" s="16" t="s">
        <v>798</v>
      </c>
      <c r="T153" s="16" t="s">
        <v>799</v>
      </c>
      <c r="U153" s="16"/>
      <c r="V153" s="17">
        <v>9</v>
      </c>
      <c r="W153" s="16"/>
      <c r="X153" s="16"/>
      <c r="Y153" s="16" t="s">
        <v>800</v>
      </c>
      <c r="Z153" s="18"/>
      <c r="AA153" s="19">
        <v>8</v>
      </c>
      <c r="AB153" s="20"/>
      <c r="AC153" s="19">
        <f>8+8</f>
        <v>16</v>
      </c>
      <c r="AD153" s="20"/>
      <c r="AE153" s="19">
        <f>+AA153*2</f>
        <v>16</v>
      </c>
      <c r="AF153" s="16"/>
      <c r="AG153" s="16"/>
      <c r="AH153" s="16"/>
      <c r="AI153" s="16"/>
      <c r="AJ153" s="17">
        <f>195.3/2+191.52+21.98/2+191.52+6.8/2+110.49</f>
        <v>605.57000000000005</v>
      </c>
      <c r="AK153" s="21"/>
      <c r="AL153" s="22">
        <v>328</v>
      </c>
      <c r="AM153" s="22">
        <f>+(195.3/AL153)</f>
        <v>0.59542682926829271</v>
      </c>
      <c r="AN153" s="22">
        <f>+AJ153/AL153</f>
        <v>1.8462500000000002</v>
      </c>
      <c r="AO153" s="22"/>
      <c r="AP153" s="22">
        <f>+(4*67063+5*53635+10*40232+26825*2)/21*AJ153</f>
        <v>28617421.490000002</v>
      </c>
      <c r="AQ153" s="23">
        <v>100098.82</v>
      </c>
      <c r="AR153" s="22" t="s">
        <v>57</v>
      </c>
      <c r="AS153" s="23" t="s">
        <v>801</v>
      </c>
      <c r="AT153" s="44">
        <v>45224</v>
      </c>
      <c r="AU153" s="24"/>
      <c r="AV153" s="23" t="s">
        <v>802</v>
      </c>
      <c r="AW153" s="13"/>
      <c r="AX153" s="13"/>
      <c r="AY153" s="13"/>
      <c r="AZ153" s="13"/>
      <c r="BA153" s="13"/>
      <c r="BB153" s="13"/>
      <c r="BC153" s="13"/>
      <c r="BD153" s="13"/>
      <c r="BE153" s="13"/>
      <c r="BF153" s="13"/>
      <c r="BG153" s="13"/>
      <c r="BH153" s="14"/>
      <c r="BI153" s="14"/>
      <c r="BJ153" s="14"/>
      <c r="BK153" s="14"/>
      <c r="BL153" s="14"/>
      <c r="BM153" s="14"/>
      <c r="BN153" s="14"/>
      <c r="BO153" s="14"/>
      <c r="BP153" s="14"/>
      <c r="BQ153" s="14"/>
      <c r="BR153" s="14"/>
      <c r="BS153" s="14"/>
      <c r="BT153" s="14"/>
      <c r="BU153" s="14"/>
      <c r="BV153" s="14"/>
      <c r="BW153" s="14"/>
      <c r="IQ153" s="14"/>
      <c r="IR153" s="14"/>
      <c r="IS153" s="14"/>
      <c r="IT153" s="14"/>
      <c r="IU153" s="14"/>
      <c r="IV153" s="14"/>
      <c r="IW153" s="14"/>
    </row>
    <row r="154" spans="2:257" s="25" customFormat="1" ht="89.25">
      <c r="B154" s="49">
        <v>150</v>
      </c>
      <c r="C154" s="97">
        <v>555783</v>
      </c>
      <c r="D154" s="98">
        <v>45183</v>
      </c>
      <c r="E154" s="99" t="s">
        <v>310</v>
      </c>
      <c r="F154" s="30">
        <v>56891</v>
      </c>
      <c r="G154" s="30"/>
      <c r="H154" s="30">
        <v>33652</v>
      </c>
      <c r="I154" s="31">
        <v>310</v>
      </c>
      <c r="J154" s="31"/>
      <c r="K154" s="79">
        <v>3</v>
      </c>
      <c r="L154" s="31">
        <v>1</v>
      </c>
      <c r="M154" s="79" t="s">
        <v>206</v>
      </c>
      <c r="N154" s="31" t="s">
        <v>89</v>
      </c>
      <c r="O154" s="31" t="s">
        <v>803</v>
      </c>
      <c r="P154" s="79"/>
      <c r="Q154" s="31" t="s">
        <v>758</v>
      </c>
      <c r="R154" s="31" t="s">
        <v>758</v>
      </c>
      <c r="S154" s="31" t="s">
        <v>758</v>
      </c>
      <c r="T154" s="31" t="s">
        <v>804</v>
      </c>
      <c r="U154" s="31"/>
      <c r="V154" s="31"/>
      <c r="W154" s="31">
        <v>1</v>
      </c>
      <c r="X154" s="31"/>
      <c r="Y154" s="31" t="s">
        <v>71</v>
      </c>
      <c r="Z154" s="32">
        <v>2</v>
      </c>
      <c r="AA154" s="32"/>
      <c r="AB154" s="32">
        <f>+Z154+1</f>
        <v>3</v>
      </c>
      <c r="AC154" s="32"/>
      <c r="AD154" s="32">
        <f>+Z154*2</f>
        <v>4</v>
      </c>
      <c r="AE154" s="32"/>
      <c r="AF154" s="111">
        <f>155.25+38.32/2</f>
        <v>174.41</v>
      </c>
      <c r="AG154" s="31"/>
      <c r="AH154" s="31">
        <f>16.37+46.85/2</f>
        <v>39.795000000000002</v>
      </c>
      <c r="AI154" s="31"/>
      <c r="AJ154" s="31"/>
      <c r="AK154" s="33"/>
      <c r="AL154" s="112">
        <v>826.93</v>
      </c>
      <c r="AM154" s="33">
        <f>+(155.25+38.03+16.37+46.85)/AL154</f>
        <v>0.31018344962693339</v>
      </c>
      <c r="AN154" s="33">
        <f>+(AF154+AH154)/AL154</f>
        <v>0.25903643597402443</v>
      </c>
      <c r="AO154" s="33"/>
      <c r="AP154" s="33"/>
      <c r="AQ154" s="34">
        <v>33399.160000000003</v>
      </c>
      <c r="AR154" s="100" t="s">
        <v>805</v>
      </c>
      <c r="AS154" s="113" t="s">
        <v>806</v>
      </c>
      <c r="AT154" s="35">
        <v>45226</v>
      </c>
      <c r="AU154" s="36"/>
      <c r="AV154" s="102" t="s">
        <v>807</v>
      </c>
      <c r="AW154" s="38"/>
      <c r="AX154" s="38"/>
      <c r="AY154" s="38"/>
      <c r="AZ154" s="38"/>
      <c r="BA154" s="38"/>
      <c r="BB154" s="38"/>
      <c r="BC154" s="38"/>
      <c r="BD154" s="38"/>
      <c r="BE154" s="38"/>
      <c r="BF154" s="38"/>
      <c r="BG154" s="38"/>
      <c r="BH154" s="39"/>
      <c r="BI154" s="39"/>
      <c r="BJ154" s="39"/>
      <c r="BK154" s="39"/>
      <c r="BL154" s="39"/>
      <c r="BM154" s="39"/>
      <c r="BN154" s="39"/>
      <c r="BO154" s="39"/>
      <c r="BP154" s="39"/>
      <c r="BQ154" s="39"/>
      <c r="BR154" s="39"/>
      <c r="BS154" s="39"/>
      <c r="BT154" s="39"/>
      <c r="BU154" s="39"/>
      <c r="BV154" s="39"/>
      <c r="BW154" s="39"/>
      <c r="IQ154" s="39"/>
      <c r="IR154" s="39"/>
      <c r="IS154" s="39"/>
      <c r="IT154" s="39"/>
      <c r="IU154" s="39"/>
      <c r="IV154" s="39"/>
      <c r="IW154" s="39"/>
    </row>
    <row r="155" spans="2:257" s="25" customFormat="1" ht="51">
      <c r="B155" s="49">
        <v>151</v>
      </c>
      <c r="C155" s="97">
        <v>555557</v>
      </c>
      <c r="D155" s="98">
        <v>45175</v>
      </c>
      <c r="E155" s="99" t="s">
        <v>65</v>
      </c>
      <c r="F155" s="30">
        <v>20586</v>
      </c>
      <c r="G155" s="30">
        <v>110026</v>
      </c>
      <c r="H155" s="30">
        <v>3300</v>
      </c>
      <c r="I155" s="31"/>
      <c r="J155" s="31"/>
      <c r="K155" s="79">
        <v>318</v>
      </c>
      <c r="L155" s="31">
        <v>7</v>
      </c>
      <c r="M155" s="79" t="s">
        <v>96</v>
      </c>
      <c r="N155" s="31" t="s">
        <v>808</v>
      </c>
      <c r="O155" s="31" t="s">
        <v>809</v>
      </c>
      <c r="P155" s="79" t="s">
        <v>810</v>
      </c>
      <c r="Q155" s="31" t="s">
        <v>811</v>
      </c>
      <c r="R155" s="31" t="s">
        <v>811</v>
      </c>
      <c r="S155" s="31" t="s">
        <v>811</v>
      </c>
      <c r="T155" s="31" t="s">
        <v>70</v>
      </c>
      <c r="U155" s="31"/>
      <c r="V155" s="31">
        <v>1</v>
      </c>
      <c r="W155" s="31"/>
      <c r="X155" s="31"/>
      <c r="Y155" s="31" t="s">
        <v>62</v>
      </c>
      <c r="Z155" s="32"/>
      <c r="AA155" s="32"/>
      <c r="AB155" s="32"/>
      <c r="AC155" s="32"/>
      <c r="AD155" s="32"/>
      <c r="AE155" s="32"/>
      <c r="AF155" s="31"/>
      <c r="AG155" s="31"/>
      <c r="AH155" s="31"/>
      <c r="AI155" s="31"/>
      <c r="AJ155" s="31"/>
      <c r="AK155" s="33">
        <v>552.27</v>
      </c>
      <c r="AL155" s="33">
        <v>742.2</v>
      </c>
      <c r="AM155" s="33">
        <f>+AK155/AL155</f>
        <v>0.74409862570735641</v>
      </c>
      <c r="AN155" s="33">
        <f>+AM155</f>
        <v>0.74409862570735641</v>
      </c>
      <c r="AO155" s="33"/>
      <c r="AP155" s="33">
        <f>+AK155*53635</f>
        <v>29621001.449999999</v>
      </c>
      <c r="AQ155" s="34">
        <v>111385.3</v>
      </c>
      <c r="AR155" s="100" t="s">
        <v>57</v>
      </c>
      <c r="AS155" s="34" t="s">
        <v>812</v>
      </c>
      <c r="AT155" s="35">
        <v>45231</v>
      </c>
      <c r="AU155" s="36"/>
      <c r="AV155" s="102" t="s">
        <v>813</v>
      </c>
      <c r="AW155" s="38"/>
      <c r="AX155" s="114" t="s">
        <v>814</v>
      </c>
      <c r="AY155" s="38"/>
      <c r="AZ155" s="38"/>
      <c r="BA155" s="38"/>
      <c r="BB155" s="38"/>
      <c r="BC155" s="38"/>
      <c r="BD155" s="38"/>
      <c r="BE155" s="38"/>
      <c r="BF155" s="38"/>
      <c r="BG155" s="38"/>
      <c r="BH155" s="39"/>
      <c r="BI155" s="39"/>
      <c r="BJ155" s="39"/>
      <c r="BK155" s="39"/>
      <c r="BL155" s="39"/>
      <c r="BM155" s="39"/>
      <c r="BN155" s="39"/>
      <c r="BO155" s="39"/>
      <c r="BP155" s="39"/>
      <c r="BQ155" s="39"/>
      <c r="BR155" s="39"/>
      <c r="BS155" s="39"/>
      <c r="BT155" s="39"/>
      <c r="BU155" s="39"/>
      <c r="BV155" s="39"/>
      <c r="BW155" s="39"/>
      <c r="IQ155" s="39"/>
      <c r="IR155" s="39"/>
      <c r="IS155" s="39"/>
      <c r="IT155" s="39"/>
      <c r="IU155" s="39"/>
      <c r="IV155" s="39"/>
      <c r="IW155" s="39"/>
    </row>
    <row r="156" spans="2:257" s="25" customFormat="1" ht="38.25">
      <c r="B156" s="49">
        <v>152</v>
      </c>
      <c r="C156" s="97">
        <v>556463</v>
      </c>
      <c r="D156" s="98">
        <v>45211</v>
      </c>
      <c r="E156" s="99" t="s">
        <v>80</v>
      </c>
      <c r="F156" s="30">
        <v>18097</v>
      </c>
      <c r="G156" s="30">
        <v>763</v>
      </c>
      <c r="H156" s="30">
        <v>4542</v>
      </c>
      <c r="I156" s="31"/>
      <c r="J156" s="31"/>
      <c r="K156" s="79">
        <v>118</v>
      </c>
      <c r="L156" s="31">
        <v>12</v>
      </c>
      <c r="M156" s="79"/>
      <c r="N156" s="31" t="s">
        <v>815</v>
      </c>
      <c r="O156" s="31" t="s">
        <v>816</v>
      </c>
      <c r="P156" s="79" t="s">
        <v>123</v>
      </c>
      <c r="Q156" s="31" t="s">
        <v>120</v>
      </c>
      <c r="R156" s="31" t="s">
        <v>120</v>
      </c>
      <c r="S156" s="31" t="s">
        <v>120</v>
      </c>
      <c r="T156" s="31" t="s">
        <v>123</v>
      </c>
      <c r="U156" s="31"/>
      <c r="V156" s="31">
        <v>1</v>
      </c>
      <c r="W156" s="31"/>
      <c r="X156" s="31"/>
      <c r="Y156" s="31" t="s">
        <v>71</v>
      </c>
      <c r="Z156" s="32"/>
      <c r="AA156" s="32"/>
      <c r="AB156" s="32"/>
      <c r="AC156" s="32"/>
      <c r="AD156" s="32"/>
      <c r="AE156" s="32"/>
      <c r="AF156" s="31"/>
      <c r="AG156" s="31"/>
      <c r="AH156" s="31"/>
      <c r="AI156" s="31"/>
      <c r="AJ156" s="31"/>
      <c r="AK156" s="33"/>
      <c r="AL156" s="33">
        <v>558.72</v>
      </c>
      <c r="AM156" s="33"/>
      <c r="AN156" s="33"/>
      <c r="AO156" s="33"/>
      <c r="AP156" s="33">
        <v>250000</v>
      </c>
      <c r="AQ156" s="34">
        <v>17934</v>
      </c>
      <c r="AR156" s="100" t="s">
        <v>57</v>
      </c>
      <c r="AS156" s="34" t="s">
        <v>817</v>
      </c>
      <c r="AT156" s="35">
        <v>45231</v>
      </c>
      <c r="AU156" s="36"/>
      <c r="AV156" s="102"/>
      <c r="AW156" s="38"/>
      <c r="AX156" s="38"/>
      <c r="AY156" s="38"/>
      <c r="AZ156" s="38"/>
      <c r="BA156" s="38"/>
      <c r="BB156" s="38"/>
      <c r="BC156" s="38"/>
      <c r="BD156" s="38"/>
      <c r="BE156" s="38"/>
      <c r="BF156" s="38"/>
      <c r="BG156" s="38"/>
      <c r="BH156" s="39"/>
      <c r="BI156" s="39"/>
      <c r="BJ156" s="39"/>
      <c r="BK156" s="39"/>
      <c r="BL156" s="39"/>
      <c r="BM156" s="39"/>
      <c r="BN156" s="39"/>
      <c r="BO156" s="39"/>
      <c r="BP156" s="39"/>
      <c r="BQ156" s="39"/>
      <c r="BR156" s="39"/>
      <c r="BS156" s="39"/>
      <c r="BT156" s="39"/>
      <c r="BU156" s="39"/>
      <c r="BV156" s="39"/>
      <c r="BW156" s="39"/>
      <c r="IQ156" s="39"/>
      <c r="IR156" s="39"/>
      <c r="IS156" s="39"/>
      <c r="IT156" s="39"/>
      <c r="IU156" s="39"/>
      <c r="IV156" s="39"/>
      <c r="IW156" s="39"/>
    </row>
    <row r="157" spans="2:257" s="25" customFormat="1" ht="51">
      <c r="B157" s="68">
        <v>153</v>
      </c>
      <c r="C157" s="97">
        <v>555745</v>
      </c>
      <c r="D157" s="98">
        <v>45182</v>
      </c>
      <c r="E157" s="82" t="s">
        <v>117</v>
      </c>
      <c r="F157" s="30">
        <v>10086</v>
      </c>
      <c r="G157" s="30">
        <v>103001</v>
      </c>
      <c r="H157" s="30">
        <v>1137</v>
      </c>
      <c r="I157" s="31"/>
      <c r="J157" s="31"/>
      <c r="K157" s="31">
        <v>188</v>
      </c>
      <c r="L157" s="31">
        <v>18</v>
      </c>
      <c r="M157" s="31" t="s">
        <v>40</v>
      </c>
      <c r="N157" s="31" t="s">
        <v>818</v>
      </c>
      <c r="O157" s="31" t="s">
        <v>819</v>
      </c>
      <c r="P157" s="31"/>
      <c r="Q157" s="31" t="s">
        <v>758</v>
      </c>
      <c r="R157" s="31" t="s">
        <v>758</v>
      </c>
      <c r="S157" s="31" t="s">
        <v>758</v>
      </c>
      <c r="T157" s="31"/>
      <c r="U157" s="31"/>
      <c r="V157" s="31"/>
      <c r="W157" s="31">
        <v>1</v>
      </c>
      <c r="X157" s="31"/>
      <c r="Y157" s="31" t="s">
        <v>71</v>
      </c>
      <c r="Z157" s="32">
        <v>2</v>
      </c>
      <c r="AA157" s="32">
        <v>1</v>
      </c>
      <c r="AB157" s="32">
        <f>+Z157+1</f>
        <v>3</v>
      </c>
      <c r="AC157" s="32">
        <f>+AA157</f>
        <v>1</v>
      </c>
      <c r="AD157" s="32">
        <f>+Z157*2</f>
        <v>4</v>
      </c>
      <c r="AE157" s="32">
        <f>+AA157*2</f>
        <v>2</v>
      </c>
      <c r="AF157" s="31">
        <f>11.31+103.76</f>
        <v>115.07000000000001</v>
      </c>
      <c r="AG157" s="31"/>
      <c r="AH157" s="31"/>
      <c r="AI157" s="31"/>
      <c r="AJ157" s="31">
        <f>37.73+12.45</f>
        <v>50.179999999999993</v>
      </c>
      <c r="AK157" s="33"/>
      <c r="AL157" s="33">
        <v>311.75</v>
      </c>
      <c r="AM157" s="33">
        <f>0.7-0.38</f>
        <v>0.31999999999999995</v>
      </c>
      <c r="AN157" s="33">
        <f>+(AF157+AJ157)/AL157</f>
        <v>0.53007217321571776</v>
      </c>
      <c r="AO157" s="33">
        <f>+(12+20)/(4+5)</f>
        <v>3.5555555555555554</v>
      </c>
      <c r="AP157" s="33">
        <f>+(1*67063+53635*6+40232*5+8*26825)/20*AJ157</f>
        <v>2018824.1969999997</v>
      </c>
      <c r="AQ157" s="34">
        <v>17316.98</v>
      </c>
      <c r="AR157" s="33" t="s">
        <v>57</v>
      </c>
      <c r="AS157" s="34" t="s">
        <v>820</v>
      </c>
      <c r="AT157" s="35">
        <v>45231</v>
      </c>
      <c r="AU157" s="36"/>
      <c r="AV157" s="94">
        <v>45183</v>
      </c>
      <c r="AW157" s="38"/>
      <c r="AX157" s="38"/>
      <c r="AY157" s="38"/>
      <c r="AZ157" s="38"/>
      <c r="BA157" s="38"/>
      <c r="BB157" s="38"/>
      <c r="BC157" s="38"/>
      <c r="BD157" s="38"/>
      <c r="BE157" s="38"/>
      <c r="BF157" s="38"/>
      <c r="BG157" s="38"/>
      <c r="BH157" s="39"/>
      <c r="BI157" s="39"/>
      <c r="BJ157" s="39"/>
      <c r="BK157" s="39"/>
      <c r="BL157" s="39"/>
      <c r="BM157" s="39"/>
      <c r="BN157" s="39"/>
      <c r="BO157" s="39"/>
      <c r="BP157" s="39"/>
      <c r="BQ157" s="39"/>
      <c r="BR157" s="39"/>
      <c r="BS157" s="39"/>
      <c r="BT157" s="39"/>
      <c r="BU157" s="39"/>
      <c r="BV157" s="39"/>
      <c r="BW157" s="39"/>
      <c r="IQ157" s="39"/>
      <c r="IR157" s="39"/>
      <c r="IS157" s="39"/>
      <c r="IT157" s="39"/>
      <c r="IU157" s="39"/>
      <c r="IV157" s="39"/>
      <c r="IW157" s="39"/>
    </row>
    <row r="158" spans="2:257" s="25" customFormat="1" ht="76.5">
      <c r="B158" s="49">
        <v>154</v>
      </c>
      <c r="C158" s="97">
        <v>555570</v>
      </c>
      <c r="D158" s="98">
        <v>45175</v>
      </c>
      <c r="E158" s="99" t="s">
        <v>117</v>
      </c>
      <c r="F158" s="30">
        <v>57164</v>
      </c>
      <c r="G158" s="30">
        <v>948</v>
      </c>
      <c r="H158" s="30">
        <v>4452</v>
      </c>
      <c r="I158" s="31"/>
      <c r="J158" s="31"/>
      <c r="K158" s="79">
        <v>168</v>
      </c>
      <c r="L158" s="31">
        <v>10</v>
      </c>
      <c r="M158" s="79" t="s">
        <v>96</v>
      </c>
      <c r="N158" s="79" t="s">
        <v>821</v>
      </c>
      <c r="O158" s="31" t="s">
        <v>822</v>
      </c>
      <c r="P158" s="79"/>
      <c r="Q158" s="31" t="s">
        <v>342</v>
      </c>
      <c r="R158" s="31"/>
      <c r="S158" s="31"/>
      <c r="T158" s="31"/>
      <c r="U158" s="31"/>
      <c r="V158" s="31"/>
      <c r="W158" s="31">
        <f>1+1</f>
        <v>2</v>
      </c>
      <c r="X158" s="31"/>
      <c r="Y158" s="31" t="s">
        <v>44</v>
      </c>
      <c r="Z158" s="32">
        <v>2</v>
      </c>
      <c r="AA158" s="32">
        <v>1</v>
      </c>
      <c r="AB158" s="32">
        <f>+Z158+1</f>
        <v>3</v>
      </c>
      <c r="AC158" s="32">
        <f>+AA158+1</f>
        <v>2</v>
      </c>
      <c r="AD158" s="32">
        <f>+Z158*2</f>
        <v>4</v>
      </c>
      <c r="AE158" s="32">
        <f>+AA158*2</f>
        <v>2</v>
      </c>
      <c r="AF158" s="31">
        <f>130.14+9.06/2</f>
        <v>134.66999999999999</v>
      </c>
      <c r="AG158" s="31"/>
      <c r="AH158" s="31"/>
      <c r="AI158" s="31"/>
      <c r="AJ158" s="31">
        <f>48.44+1.32/2</f>
        <v>49.099999999999994</v>
      </c>
      <c r="AK158" s="33"/>
      <c r="AL158" s="33">
        <v>298.42</v>
      </c>
      <c r="AM158" s="33">
        <f>(44.72+48.44+1.32)/AL158</f>
        <v>0.31660076402385895</v>
      </c>
      <c r="AN158" s="33">
        <f>+(AF158+AJ158)/AL158</f>
        <v>0.61580993231016679</v>
      </c>
      <c r="AO158" s="33"/>
      <c r="AP158" s="33">
        <f>+(4*53635+12*40232+4*26825)/20*AJ158</f>
        <v>1975351.9199999997</v>
      </c>
      <c r="AQ158" s="34">
        <v>25160.46</v>
      </c>
      <c r="AR158" s="100" t="s">
        <v>77</v>
      </c>
      <c r="AS158" s="34" t="s">
        <v>823</v>
      </c>
      <c r="AT158" s="35">
        <v>45233</v>
      </c>
      <c r="AU158" s="36"/>
      <c r="AV158" s="102">
        <v>45176</v>
      </c>
      <c r="AW158" s="38"/>
      <c r="AX158" s="38"/>
      <c r="AY158" s="38"/>
      <c r="AZ158" s="38"/>
      <c r="BA158" s="38"/>
      <c r="BB158" s="38"/>
      <c r="BC158" s="38"/>
      <c r="BD158" s="38"/>
      <c r="BE158" s="38"/>
      <c r="BF158" s="38"/>
      <c r="BG158" s="38"/>
      <c r="BH158" s="39"/>
      <c r="BI158" s="39"/>
      <c r="BJ158" s="39"/>
      <c r="BK158" s="39"/>
      <c r="BL158" s="39"/>
      <c r="BM158" s="39"/>
      <c r="BN158" s="39"/>
      <c r="BO158" s="39"/>
      <c r="BP158" s="39"/>
      <c r="BQ158" s="39"/>
      <c r="BR158" s="39"/>
      <c r="BS158" s="39"/>
      <c r="BT158" s="39"/>
      <c r="BU158" s="39"/>
      <c r="BV158" s="39"/>
      <c r="BW158" s="39"/>
      <c r="IQ158" s="39"/>
      <c r="IR158" s="39"/>
      <c r="IS158" s="39"/>
      <c r="IT158" s="39"/>
      <c r="IU158" s="39"/>
      <c r="IV158" s="39"/>
      <c r="IW158" s="39"/>
    </row>
    <row r="159" spans="2:257" s="2" customFormat="1" ht="76.5">
      <c r="B159" s="49">
        <v>155</v>
      </c>
      <c r="C159" s="41">
        <v>554681</v>
      </c>
      <c r="D159" s="42">
        <v>45138</v>
      </c>
      <c r="E159" s="43" t="s">
        <v>46</v>
      </c>
      <c r="F159" s="15">
        <v>38410</v>
      </c>
      <c r="G159" s="15">
        <v>137437</v>
      </c>
      <c r="H159" s="15">
        <v>20363</v>
      </c>
      <c r="I159" s="16">
        <v>27</v>
      </c>
      <c r="J159" s="16"/>
      <c r="K159" s="16">
        <v>337</v>
      </c>
      <c r="L159" s="16">
        <v>4</v>
      </c>
      <c r="M159" s="16" t="s">
        <v>190</v>
      </c>
      <c r="N159" s="16" t="s">
        <v>824</v>
      </c>
      <c r="O159" s="72" t="s">
        <v>825</v>
      </c>
      <c r="P159" s="16"/>
      <c r="Q159" s="16" t="s">
        <v>264</v>
      </c>
      <c r="R159" s="16"/>
      <c r="S159" s="16"/>
      <c r="T159" s="16"/>
      <c r="U159" s="16">
        <v>1</v>
      </c>
      <c r="V159" s="17"/>
      <c r="W159" s="16"/>
      <c r="X159" s="16"/>
      <c r="Y159" s="16" t="s">
        <v>247</v>
      </c>
      <c r="Z159" s="18">
        <v>2</v>
      </c>
      <c r="AA159" s="19"/>
      <c r="AB159" s="20">
        <f>+Z159+1</f>
        <v>3</v>
      </c>
      <c r="AC159" s="19"/>
      <c r="AD159" s="20">
        <f>+Z159*2</f>
        <v>4</v>
      </c>
      <c r="AE159" s="19"/>
      <c r="AF159" s="16"/>
      <c r="AG159" s="16"/>
      <c r="AH159" s="16">
        <f>134.77+7.11/2-AI159</f>
        <v>111.67880000000002</v>
      </c>
      <c r="AI159" s="16">
        <f>+(2.57*(8.61-3.95))+(3.15*3.95)+(1.5*2.97)/2</f>
        <v>26.646199999999997</v>
      </c>
      <c r="AJ159" s="17"/>
      <c r="AK159" s="21"/>
      <c r="AL159" s="22">
        <v>322.8</v>
      </c>
      <c r="AM159" s="22">
        <f>+(134.77+7.11)/AL159</f>
        <v>0.43952912019826523</v>
      </c>
      <c r="AN159" s="22">
        <f>+(AH159+AI159)/AL159</f>
        <v>0.42851610904584886</v>
      </c>
      <c r="AO159" s="22"/>
      <c r="AP159" s="22">
        <f>+((67063+2*53635+5*40232+12*26825)/21*AH159)+(53635*AI159)</f>
        <v>5137931.4783523809</v>
      </c>
      <c r="AQ159" s="23">
        <v>99524.03</v>
      </c>
      <c r="AR159" s="22" t="s">
        <v>57</v>
      </c>
      <c r="AS159" s="23" t="s">
        <v>826</v>
      </c>
      <c r="AT159" s="44">
        <v>45233</v>
      </c>
      <c r="AU159" s="24"/>
      <c r="AV159" s="45">
        <v>45141</v>
      </c>
      <c r="AW159" s="13"/>
      <c r="AX159" s="13"/>
      <c r="AY159" s="13"/>
      <c r="AZ159" s="13"/>
      <c r="BA159" s="13"/>
      <c r="BB159" s="13"/>
      <c r="BC159" s="13"/>
      <c r="BD159" s="13"/>
      <c r="BE159" s="13"/>
      <c r="BF159" s="13"/>
      <c r="BG159" s="13"/>
      <c r="BH159" s="14"/>
      <c r="BI159" s="14"/>
      <c r="BJ159" s="14"/>
      <c r="BK159" s="14"/>
      <c r="BL159" s="14"/>
      <c r="BM159" s="14"/>
      <c r="BN159" s="14"/>
      <c r="BO159" s="14"/>
      <c r="BP159" s="14"/>
      <c r="BQ159" s="14"/>
      <c r="BR159" s="14"/>
      <c r="BS159" s="14"/>
      <c r="BT159" s="14"/>
      <c r="BU159" s="14"/>
      <c r="BV159" s="14"/>
      <c r="BW159" s="14"/>
      <c r="IQ159" s="14"/>
      <c r="IR159" s="14"/>
      <c r="IS159" s="14"/>
      <c r="IT159" s="14"/>
      <c r="IU159" s="14"/>
      <c r="IV159" s="14"/>
      <c r="IW159" s="14"/>
    </row>
    <row r="160" spans="2:257" s="25" customFormat="1" ht="51">
      <c r="B160" s="49">
        <v>156</v>
      </c>
      <c r="C160" s="97" t="s">
        <v>827</v>
      </c>
      <c r="D160" s="98">
        <v>45166</v>
      </c>
      <c r="E160" s="99" t="s">
        <v>65</v>
      </c>
      <c r="F160" s="30">
        <v>46841</v>
      </c>
      <c r="G160" s="30">
        <v>141609</v>
      </c>
      <c r="H160" s="30">
        <v>32066</v>
      </c>
      <c r="I160" s="31">
        <v>327</v>
      </c>
      <c r="J160" s="31"/>
      <c r="K160" s="79">
        <v>7</v>
      </c>
      <c r="L160" s="31">
        <v>1</v>
      </c>
      <c r="M160" s="79" t="s">
        <v>206</v>
      </c>
      <c r="N160" s="31" t="s">
        <v>828</v>
      </c>
      <c r="O160" s="31" t="s">
        <v>829</v>
      </c>
      <c r="P160" s="79"/>
      <c r="Q160" s="31" t="s">
        <v>357</v>
      </c>
      <c r="R160" s="31" t="s">
        <v>357</v>
      </c>
      <c r="S160" s="31" t="s">
        <v>357</v>
      </c>
      <c r="T160" s="31" t="s">
        <v>93</v>
      </c>
      <c r="U160" s="31"/>
      <c r="V160" s="31">
        <v>2</v>
      </c>
      <c r="W160" s="31"/>
      <c r="X160" s="31"/>
      <c r="Y160" s="31" t="s">
        <v>44</v>
      </c>
      <c r="Z160" s="32"/>
      <c r="AA160" s="32">
        <f>2+2</f>
        <v>4</v>
      </c>
      <c r="AB160" s="32"/>
      <c r="AC160" s="32">
        <f>1+1+AA160</f>
        <v>6</v>
      </c>
      <c r="AD160" s="32"/>
      <c r="AE160" s="32">
        <f>+AA160*2</f>
        <v>8</v>
      </c>
      <c r="AF160" s="31"/>
      <c r="AG160" s="31"/>
      <c r="AH160" s="31"/>
      <c r="AI160" s="31"/>
      <c r="AJ160" s="31">
        <f>117.7+5.6/2</f>
        <v>120.5</v>
      </c>
      <c r="AK160" s="33"/>
      <c r="AL160" s="33">
        <v>316.10000000000002</v>
      </c>
      <c r="AM160" s="33">
        <f>+(117.7+5.6)/AL160</f>
        <v>0.39006643467257196</v>
      </c>
      <c r="AN160" s="33">
        <f>+AJ160/AL160</f>
        <v>0.3812084783296425</v>
      </c>
      <c r="AO160" s="33"/>
      <c r="AP160" s="33">
        <f>+(67063+11*53635+5*40232+26825*4)/21*AJ160</f>
        <v>5540176.8571428573</v>
      </c>
      <c r="AQ160" s="34">
        <v>19384.11</v>
      </c>
      <c r="AR160" s="100" t="s">
        <v>57</v>
      </c>
      <c r="AS160" s="34" t="s">
        <v>830</v>
      </c>
      <c r="AT160" s="35">
        <v>45238</v>
      </c>
      <c r="AU160" s="36"/>
      <c r="AV160" s="102" t="s">
        <v>831</v>
      </c>
      <c r="AW160" s="38"/>
      <c r="AX160" s="38"/>
      <c r="AY160" s="38"/>
      <c r="AZ160" s="38"/>
      <c r="BA160" s="38"/>
      <c r="BB160" s="38"/>
      <c r="BC160" s="38"/>
      <c r="BD160" s="38"/>
      <c r="BE160" s="38"/>
      <c r="BF160" s="38"/>
      <c r="BG160" s="38"/>
      <c r="BH160" s="39"/>
      <c r="BI160" s="39"/>
      <c r="BJ160" s="39"/>
      <c r="BK160" s="39"/>
      <c r="BL160" s="39"/>
      <c r="BM160" s="39"/>
      <c r="BN160" s="39"/>
      <c r="BO160" s="39"/>
      <c r="BP160" s="39"/>
      <c r="BQ160" s="39"/>
      <c r="BR160" s="39"/>
      <c r="BS160" s="39"/>
      <c r="BT160" s="39"/>
      <c r="BU160" s="39"/>
      <c r="BV160" s="39"/>
      <c r="BW160" s="39"/>
      <c r="IQ160" s="39"/>
      <c r="IR160" s="39"/>
      <c r="IS160" s="39"/>
      <c r="IT160" s="39"/>
      <c r="IU160" s="39"/>
      <c r="IV160" s="39"/>
      <c r="IW160" s="39"/>
    </row>
    <row r="161" spans="2:257" s="25" customFormat="1" ht="76.5">
      <c r="B161" s="49">
        <v>157</v>
      </c>
      <c r="C161" s="97" t="s">
        <v>832</v>
      </c>
      <c r="D161" s="98">
        <v>45143</v>
      </c>
      <c r="E161" s="99" t="s">
        <v>46</v>
      </c>
      <c r="F161" s="30">
        <v>50430</v>
      </c>
      <c r="G161" s="30">
        <v>160432</v>
      </c>
      <c r="H161" s="30">
        <v>9577</v>
      </c>
      <c r="I161" s="31"/>
      <c r="J161" s="31"/>
      <c r="K161" s="79">
        <v>315</v>
      </c>
      <c r="L161" s="31">
        <v>15</v>
      </c>
      <c r="M161" s="79" t="s">
        <v>190</v>
      </c>
      <c r="N161" s="31" t="s">
        <v>833</v>
      </c>
      <c r="O161" s="31" t="s">
        <v>834</v>
      </c>
      <c r="P161" s="79"/>
      <c r="Q161" s="31" t="s">
        <v>421</v>
      </c>
      <c r="R161" s="31"/>
      <c r="S161" s="31"/>
      <c r="T161" s="31"/>
      <c r="U161" s="31">
        <f>1+1</f>
        <v>2</v>
      </c>
      <c r="V161" s="31"/>
      <c r="W161" s="31"/>
      <c r="X161" s="31"/>
      <c r="Y161" s="31" t="s">
        <v>835</v>
      </c>
      <c r="Z161" s="32">
        <v>3</v>
      </c>
      <c r="AA161" s="32"/>
      <c r="AB161" s="32">
        <f>+Z161+1</f>
        <v>4</v>
      </c>
      <c r="AC161" s="32"/>
      <c r="AD161" s="32">
        <f>+Z161*2</f>
        <v>6</v>
      </c>
      <c r="AE161" s="32"/>
      <c r="AF161" s="31">
        <f>58.1+23.1/2</f>
        <v>69.650000000000006</v>
      </c>
      <c r="AG161" s="31"/>
      <c r="AH161" s="31"/>
      <c r="AI161" s="31">
        <f>104.75+20.64</f>
        <v>125.39</v>
      </c>
      <c r="AJ161" s="31"/>
      <c r="AK161" s="33"/>
      <c r="AL161" s="33">
        <v>349.6</v>
      </c>
      <c r="AM161" s="33">
        <f>+(58.1+23.1+104.75)/AL161</f>
        <v>0.53189359267734548</v>
      </c>
      <c r="AN161" s="33">
        <f>+(AF161+AI161)/AL161</f>
        <v>0.55789473684210533</v>
      </c>
      <c r="AO161" s="33"/>
      <c r="AP161" s="33">
        <v>2990000</v>
      </c>
      <c r="AQ161" s="34">
        <v>47295</v>
      </c>
      <c r="AR161" s="100" t="s">
        <v>57</v>
      </c>
      <c r="AS161" s="34" t="s">
        <v>836</v>
      </c>
      <c r="AT161" s="35">
        <v>45238</v>
      </c>
      <c r="AU161" s="36"/>
      <c r="AV161" s="102">
        <v>45232</v>
      </c>
      <c r="AW161" s="38"/>
      <c r="AX161" s="38"/>
      <c r="AY161" s="38"/>
      <c r="AZ161" s="38"/>
      <c r="BA161" s="38"/>
      <c r="BB161" s="38"/>
      <c r="BC161" s="38"/>
      <c r="BD161" s="38"/>
      <c r="BE161" s="38"/>
      <c r="BF161" s="38"/>
      <c r="BG161" s="38"/>
      <c r="BH161" s="39"/>
      <c r="BI161" s="39"/>
      <c r="BJ161" s="39"/>
      <c r="BK161" s="39"/>
      <c r="BL161" s="39"/>
      <c r="BM161" s="39"/>
      <c r="BN161" s="39"/>
      <c r="BO161" s="39"/>
      <c r="BP161" s="39"/>
      <c r="BQ161" s="39"/>
      <c r="BR161" s="39"/>
      <c r="BS161" s="39"/>
      <c r="BT161" s="39"/>
      <c r="BU161" s="39"/>
      <c r="BV161" s="39"/>
      <c r="BW161" s="39"/>
      <c r="IQ161" s="39"/>
      <c r="IR161" s="39"/>
      <c r="IS161" s="39"/>
      <c r="IT161" s="39"/>
      <c r="IU161" s="39"/>
      <c r="IV161" s="39"/>
      <c r="IW161" s="39"/>
    </row>
    <row r="162" spans="2:257" s="25" customFormat="1" ht="63.75">
      <c r="B162" s="49">
        <v>158</v>
      </c>
      <c r="C162" s="67">
        <v>557327</v>
      </c>
      <c r="D162" s="70">
        <v>45231</v>
      </c>
      <c r="E162" s="48" t="s">
        <v>46</v>
      </c>
      <c r="F162" s="30">
        <v>39550</v>
      </c>
      <c r="G162" s="30">
        <v>138240</v>
      </c>
      <c r="H162" s="30">
        <v>31560</v>
      </c>
      <c r="I162" s="31">
        <v>355</v>
      </c>
      <c r="J162" s="31"/>
      <c r="K162" s="31">
        <v>9</v>
      </c>
      <c r="L162" s="31">
        <v>1</v>
      </c>
      <c r="M162" s="31" t="s">
        <v>206</v>
      </c>
      <c r="N162" s="31" t="s">
        <v>837</v>
      </c>
      <c r="O162" s="31" t="s">
        <v>838</v>
      </c>
      <c r="P162" s="31"/>
      <c r="Q162" s="31" t="s">
        <v>700</v>
      </c>
      <c r="R162" s="31"/>
      <c r="S162" s="31"/>
      <c r="T162" s="31"/>
      <c r="U162" s="31">
        <v>1</v>
      </c>
      <c r="V162" s="31"/>
      <c r="W162" s="31"/>
      <c r="X162" s="31"/>
      <c r="Y162" s="31" t="s">
        <v>71</v>
      </c>
      <c r="Z162" s="32">
        <v>2</v>
      </c>
      <c r="AA162" s="32"/>
      <c r="AB162" s="32">
        <f>+Z162+1</f>
        <v>3</v>
      </c>
      <c r="AC162" s="32"/>
      <c r="AD162" s="32">
        <f>+Z162*2</f>
        <v>4</v>
      </c>
      <c r="AE162" s="32"/>
      <c r="AF162" s="31"/>
      <c r="AG162" s="31"/>
      <c r="AH162" s="31">
        <f>67.64+37.6/2</f>
        <v>86.44</v>
      </c>
      <c r="AI162" s="31"/>
      <c r="AJ162" s="31"/>
      <c r="AK162" s="33"/>
      <c r="AL162" s="33">
        <v>450</v>
      </c>
      <c r="AM162" s="33">
        <f>+(67.64+37.6)/AL162</f>
        <v>0.23386666666666669</v>
      </c>
      <c r="AN162" s="33">
        <f>+AH162/AL162</f>
        <v>0.19208888888888889</v>
      </c>
      <c r="AO162" s="33">
        <f>+(9+24)/(3+6)</f>
        <v>3.6666666666666665</v>
      </c>
      <c r="AP162" s="33">
        <f>+(9*53635+8*40232+26825*3)/20*AH162</f>
        <v>3825168.8119999999</v>
      </c>
      <c r="AQ162" s="34">
        <v>55585.91</v>
      </c>
      <c r="AR162" s="33" t="s">
        <v>57</v>
      </c>
      <c r="AS162" s="34" t="s">
        <v>839</v>
      </c>
      <c r="AT162" s="35">
        <v>45239</v>
      </c>
      <c r="AU162" s="36"/>
      <c r="AV162" s="94">
        <v>45232</v>
      </c>
      <c r="AW162" s="38"/>
      <c r="AX162" s="38"/>
      <c r="AY162" s="38"/>
      <c r="AZ162" s="38"/>
      <c r="BA162" s="38"/>
      <c r="BB162" s="38"/>
      <c r="BC162" s="38"/>
      <c r="BD162" s="38"/>
      <c r="BE162" s="38"/>
      <c r="BF162" s="38"/>
      <c r="BG162" s="38"/>
      <c r="BH162" s="39"/>
      <c r="BI162" s="39"/>
      <c r="BJ162" s="39"/>
      <c r="BK162" s="39"/>
      <c r="BL162" s="39"/>
      <c r="BM162" s="39"/>
      <c r="BN162" s="39"/>
      <c r="BO162" s="39"/>
      <c r="BP162" s="39"/>
      <c r="BQ162" s="39"/>
      <c r="BR162" s="39"/>
      <c r="BS162" s="39"/>
      <c r="BT162" s="39"/>
      <c r="BU162" s="39"/>
      <c r="BV162" s="39"/>
      <c r="BW162" s="39"/>
      <c r="IQ162" s="39"/>
      <c r="IR162" s="39"/>
      <c r="IS162" s="39"/>
      <c r="IT162" s="39"/>
      <c r="IU162" s="39"/>
      <c r="IV162" s="39"/>
      <c r="IW162" s="39"/>
    </row>
    <row r="163" spans="2:257" s="25" customFormat="1" ht="38.25">
      <c r="B163" s="49">
        <v>159</v>
      </c>
      <c r="C163" s="97">
        <v>557328</v>
      </c>
      <c r="D163" s="98">
        <v>45231</v>
      </c>
      <c r="E163" s="99" t="s">
        <v>46</v>
      </c>
      <c r="F163" s="30">
        <v>43292</v>
      </c>
      <c r="G163" s="30">
        <v>141152</v>
      </c>
      <c r="H163" s="30">
        <v>32043</v>
      </c>
      <c r="I163" s="31">
        <v>331</v>
      </c>
      <c r="J163" s="31"/>
      <c r="K163" s="79">
        <v>1</v>
      </c>
      <c r="L163" s="31">
        <v>2</v>
      </c>
      <c r="M163" s="79" t="s">
        <v>206</v>
      </c>
      <c r="N163" s="31" t="s">
        <v>840</v>
      </c>
      <c r="O163" s="31" t="s">
        <v>841</v>
      </c>
      <c r="P163" s="79"/>
      <c r="Q163" s="31" t="s">
        <v>192</v>
      </c>
      <c r="R163" s="31"/>
      <c r="S163" s="31"/>
      <c r="T163" s="31"/>
      <c r="U163" s="31">
        <v>1</v>
      </c>
      <c r="V163" s="31"/>
      <c r="W163" s="31"/>
      <c r="X163" s="31"/>
      <c r="Y163" s="31" t="s">
        <v>71</v>
      </c>
      <c r="Z163" s="32">
        <v>3</v>
      </c>
      <c r="AA163" s="32"/>
      <c r="AB163" s="32">
        <f>+Z163+1</f>
        <v>4</v>
      </c>
      <c r="AC163" s="32"/>
      <c r="AD163" s="32">
        <f>+Z163*2</f>
        <v>6</v>
      </c>
      <c r="AE163" s="32"/>
      <c r="AF163" s="31"/>
      <c r="AG163" s="31"/>
      <c r="AH163" s="31">
        <f>85.21+26.45</f>
        <v>111.66</v>
      </c>
      <c r="AI163" s="31"/>
      <c r="AJ163" s="31"/>
      <c r="AK163" s="33"/>
      <c r="AL163" s="33">
        <v>869.33</v>
      </c>
      <c r="AM163" s="33">
        <f>+(85.21+26.45+26.45)/AL163</f>
        <v>0.15886947419276912</v>
      </c>
      <c r="AN163" s="33">
        <f>+AH163/AL163</f>
        <v>0.12844374403276085</v>
      </c>
      <c r="AO163" s="33"/>
      <c r="AP163" s="33">
        <f>+(10*53635+6*40232+26825*3)/19*AH163</f>
        <v>5043605.8010526318</v>
      </c>
      <c r="AQ163" s="34">
        <v>72482.38</v>
      </c>
      <c r="AR163" s="100" t="s">
        <v>726</v>
      </c>
      <c r="AS163" s="34" t="s">
        <v>842</v>
      </c>
      <c r="AT163" s="35">
        <v>45239</v>
      </c>
      <c r="AU163" s="36"/>
      <c r="AV163" s="102">
        <v>45232</v>
      </c>
      <c r="AW163" s="38"/>
      <c r="AX163" s="38"/>
      <c r="AY163" s="38"/>
      <c r="AZ163" s="38"/>
      <c r="BA163" s="38"/>
      <c r="BB163" s="38"/>
      <c r="BC163" s="38"/>
      <c r="BD163" s="38"/>
      <c r="BE163" s="38"/>
      <c r="BF163" s="38"/>
      <c r="BG163" s="38"/>
      <c r="BH163" s="39"/>
      <c r="BI163" s="39"/>
      <c r="BJ163" s="39"/>
      <c r="BK163" s="39"/>
      <c r="BL163" s="39"/>
      <c r="BM163" s="39"/>
      <c r="BN163" s="39"/>
      <c r="BO163" s="39"/>
      <c r="BP163" s="39"/>
      <c r="BQ163" s="39"/>
      <c r="BR163" s="39"/>
      <c r="BS163" s="39"/>
      <c r="BT163" s="39"/>
      <c r="BU163" s="39"/>
      <c r="BV163" s="39"/>
      <c r="BW163" s="39"/>
      <c r="IQ163" s="39"/>
      <c r="IR163" s="39"/>
      <c r="IS163" s="39"/>
      <c r="IT163" s="39"/>
      <c r="IU163" s="39"/>
      <c r="IV163" s="39"/>
      <c r="IW163" s="39"/>
    </row>
    <row r="164" spans="2:257" s="25" customFormat="1" ht="63.75">
      <c r="B164" s="49">
        <v>160</v>
      </c>
      <c r="C164" s="97">
        <v>557028</v>
      </c>
      <c r="D164" s="98">
        <v>45225</v>
      </c>
      <c r="E164" s="99" t="s">
        <v>46</v>
      </c>
      <c r="F164" s="30">
        <v>39892</v>
      </c>
      <c r="G164" s="30">
        <v>138595</v>
      </c>
      <c r="H164" s="30">
        <v>20483</v>
      </c>
      <c r="I164" s="31">
        <v>34</v>
      </c>
      <c r="J164" s="31"/>
      <c r="K164" s="79">
        <v>352</v>
      </c>
      <c r="L164" s="31">
        <v>7</v>
      </c>
      <c r="M164" s="79" t="s">
        <v>190</v>
      </c>
      <c r="N164" s="31" t="s">
        <v>843</v>
      </c>
      <c r="O164" s="31" t="s">
        <v>844</v>
      </c>
      <c r="P164" s="79"/>
      <c r="Q164" s="79" t="s">
        <v>347</v>
      </c>
      <c r="R164" s="31"/>
      <c r="S164" s="31"/>
      <c r="T164" s="31"/>
      <c r="U164" s="31">
        <v>2</v>
      </c>
      <c r="V164" s="31"/>
      <c r="W164" s="31"/>
      <c r="X164" s="31"/>
      <c r="Y164" s="31" t="s">
        <v>44</v>
      </c>
      <c r="Z164" s="32">
        <f>2+2</f>
        <v>4</v>
      </c>
      <c r="AA164" s="32"/>
      <c r="AB164" s="32">
        <f>+Z164+1+1</f>
        <v>6</v>
      </c>
      <c r="AC164" s="32"/>
      <c r="AD164" s="32">
        <f>+Z164*2</f>
        <v>8</v>
      </c>
      <c r="AE164" s="32"/>
      <c r="AF164" s="31"/>
      <c r="AG164" s="31"/>
      <c r="AH164" s="31">
        <v>115.32</v>
      </c>
      <c r="AI164" s="31"/>
      <c r="AJ164" s="31"/>
      <c r="AK164" s="33"/>
      <c r="AL164" s="33">
        <v>360</v>
      </c>
      <c r="AM164" s="33">
        <f>+AH164/AL164</f>
        <v>0.3203333333333333</v>
      </c>
      <c r="AN164" s="33">
        <f>+AH164/AL164</f>
        <v>0.3203333333333333</v>
      </c>
      <c r="AO164" s="33">
        <f>+(2+15+16+12)/(1+5+4+2)</f>
        <v>3.75</v>
      </c>
      <c r="AP164" s="33">
        <f>+(6*53635+7*40232+26825*8)/21*AH164</f>
        <v>4492175.2799999993</v>
      </c>
      <c r="AQ164" s="34">
        <v>65819.41</v>
      </c>
      <c r="AR164" s="100" t="s">
        <v>57</v>
      </c>
      <c r="AS164" s="34" t="s">
        <v>845</v>
      </c>
      <c r="AT164" s="35">
        <v>45251</v>
      </c>
      <c r="AU164" s="36"/>
      <c r="AV164" s="102">
        <v>45232</v>
      </c>
      <c r="AW164" s="38"/>
      <c r="AX164" s="38"/>
      <c r="AY164" s="38"/>
      <c r="AZ164" s="38"/>
      <c r="BA164" s="38"/>
      <c r="BB164" s="38"/>
      <c r="BC164" s="38"/>
      <c r="BD164" s="38"/>
      <c r="BE164" s="38"/>
      <c r="BF164" s="38"/>
      <c r="BG164" s="38"/>
      <c r="BH164" s="39"/>
      <c r="BI164" s="39"/>
      <c r="BJ164" s="39"/>
      <c r="BK164" s="39"/>
      <c r="BL164" s="39"/>
      <c r="BM164" s="39"/>
      <c r="BN164" s="39"/>
      <c r="BO164" s="39"/>
      <c r="BP164" s="39"/>
      <c r="BQ164" s="39"/>
      <c r="BR164" s="39"/>
      <c r="BS164" s="39"/>
      <c r="BT164" s="39"/>
      <c r="BU164" s="39"/>
      <c r="BV164" s="39"/>
      <c r="BW164" s="39"/>
      <c r="IQ164" s="39"/>
      <c r="IR164" s="39"/>
      <c r="IS164" s="39"/>
      <c r="IT164" s="39"/>
      <c r="IU164" s="39"/>
      <c r="IV164" s="39"/>
      <c r="IW164" s="39"/>
    </row>
    <row r="165" spans="2:257" s="2" customFormat="1" ht="89.25">
      <c r="B165" s="49">
        <v>161</v>
      </c>
      <c r="C165" s="41">
        <v>552299</v>
      </c>
      <c r="D165" s="42">
        <v>45041</v>
      </c>
      <c r="E165" s="43" t="s">
        <v>117</v>
      </c>
      <c r="F165" s="15">
        <v>5244</v>
      </c>
      <c r="G165" s="15">
        <v>50003</v>
      </c>
      <c r="H165" s="15">
        <v>2882</v>
      </c>
      <c r="I165" s="16"/>
      <c r="J165" s="16"/>
      <c r="K165" s="16">
        <v>731</v>
      </c>
      <c r="L165" s="16">
        <v>20</v>
      </c>
      <c r="M165" s="16" t="s">
        <v>88</v>
      </c>
      <c r="N165" s="16" t="s">
        <v>846</v>
      </c>
      <c r="O165" s="72" t="s">
        <v>263</v>
      </c>
      <c r="P165" s="16"/>
      <c r="Q165" s="16" t="s">
        <v>264</v>
      </c>
      <c r="R165" s="16" t="s">
        <v>264</v>
      </c>
      <c r="S165" s="16" t="s">
        <v>264</v>
      </c>
      <c r="T165" s="31" t="s">
        <v>847</v>
      </c>
      <c r="U165" s="16"/>
      <c r="V165" s="17">
        <v>1</v>
      </c>
      <c r="W165" s="16"/>
      <c r="X165" s="16"/>
      <c r="Y165" s="16" t="s">
        <v>266</v>
      </c>
      <c r="Z165" s="18"/>
      <c r="AA165" s="19"/>
      <c r="AB165" s="20"/>
      <c r="AC165" s="19"/>
      <c r="AD165" s="20"/>
      <c r="AE165" s="19"/>
      <c r="AF165" s="16"/>
      <c r="AG165" s="16"/>
      <c r="AH165" s="16"/>
      <c r="AI165" s="31">
        <f>64.31+60.13</f>
        <v>124.44</v>
      </c>
      <c r="AJ165" s="17"/>
      <c r="AK165" s="21">
        <f>103.31+30.03/2</f>
        <v>118.325</v>
      </c>
      <c r="AL165" s="22">
        <v>341</v>
      </c>
      <c r="AM165" s="33">
        <f>+(64.31+103.31+30.03)/AL165</f>
        <v>0.57961876832844572</v>
      </c>
      <c r="AN165" s="33">
        <f>+(AI165+AK165)/AL165</f>
        <v>0.7119208211143695</v>
      </c>
      <c r="AO165" s="22"/>
      <c r="AP165" s="22">
        <f>43924137.83-7714913.32</f>
        <v>36209224.509999998</v>
      </c>
      <c r="AQ165" s="23">
        <v>525805.91</v>
      </c>
      <c r="AR165" s="22" t="s">
        <v>57</v>
      </c>
      <c r="AS165" s="34" t="s">
        <v>848</v>
      </c>
      <c r="AT165" s="44">
        <v>45244</v>
      </c>
      <c r="AU165" s="24"/>
      <c r="AV165" s="23" t="s">
        <v>849</v>
      </c>
      <c r="AW165" s="13"/>
      <c r="AX165" s="13"/>
      <c r="AY165" s="13"/>
      <c r="AZ165" s="13"/>
      <c r="BA165" s="13"/>
      <c r="BB165" s="13"/>
      <c r="BC165" s="13"/>
      <c r="BD165" s="13"/>
      <c r="BE165" s="13"/>
      <c r="BF165" s="13"/>
      <c r="BG165" s="13"/>
      <c r="BH165" s="14"/>
      <c r="BI165" s="14"/>
      <c r="BJ165" s="14"/>
      <c r="BK165" s="14"/>
      <c r="BL165" s="14"/>
      <c r="BM165" s="14"/>
      <c r="BN165" s="14"/>
      <c r="BO165" s="14"/>
      <c r="BP165" s="14"/>
      <c r="BQ165" s="14"/>
      <c r="BR165" s="14"/>
      <c r="BS165" s="14"/>
      <c r="BT165" s="14"/>
      <c r="BU165" s="14"/>
      <c r="BV165" s="14"/>
      <c r="BW165" s="14"/>
      <c r="IQ165" s="14"/>
      <c r="IR165" s="14"/>
      <c r="IS165" s="14"/>
      <c r="IT165" s="14"/>
      <c r="IU165" s="14"/>
      <c r="IV165" s="14"/>
      <c r="IW165" s="14"/>
    </row>
    <row r="166" spans="2:257" s="2" customFormat="1" ht="63.75">
      <c r="B166" s="115">
        <v>162</v>
      </c>
      <c r="C166" s="41">
        <v>554798</v>
      </c>
      <c r="D166" s="42">
        <v>45141</v>
      </c>
      <c r="E166" s="43" t="s">
        <v>46</v>
      </c>
      <c r="F166" s="15">
        <v>61387</v>
      </c>
      <c r="G166" s="15">
        <v>163227</v>
      </c>
      <c r="H166" s="15"/>
      <c r="I166" s="16">
        <v>247</v>
      </c>
      <c r="J166" s="16"/>
      <c r="K166" s="16"/>
      <c r="L166" s="16">
        <v>11</v>
      </c>
      <c r="M166" s="16" t="s">
        <v>206</v>
      </c>
      <c r="N166" s="16" t="s">
        <v>850</v>
      </c>
      <c r="O166" s="72" t="s">
        <v>851</v>
      </c>
      <c r="P166" s="16"/>
      <c r="Q166" s="16" t="s">
        <v>286</v>
      </c>
      <c r="R166" s="16"/>
      <c r="S166" s="16"/>
      <c r="T166" s="16"/>
      <c r="U166" s="16">
        <v>1</v>
      </c>
      <c r="V166" s="17"/>
      <c r="W166" s="16"/>
      <c r="X166" s="16"/>
      <c r="Y166" s="16" t="s">
        <v>71</v>
      </c>
      <c r="Z166" s="18">
        <v>3</v>
      </c>
      <c r="AA166" s="19"/>
      <c r="AB166" s="20">
        <f>+Z166+1</f>
        <v>4</v>
      </c>
      <c r="AC166" s="19"/>
      <c r="AD166" s="20">
        <f>+Z166*2</f>
        <v>6</v>
      </c>
      <c r="AE166" s="19"/>
      <c r="AF166" s="16"/>
      <c r="AG166" s="16"/>
      <c r="AH166" s="16">
        <f>96.07+56.71/2</f>
        <v>124.425</v>
      </c>
      <c r="AI166" s="16"/>
      <c r="AJ166" s="17"/>
      <c r="AK166" s="21"/>
      <c r="AL166" s="22">
        <v>551.25</v>
      </c>
      <c r="AM166" s="22">
        <f>+(96.07+56.71)/AL166</f>
        <v>0.27715192743764172</v>
      </c>
      <c r="AN166" s="22">
        <f>+AH166/AL166</f>
        <v>0.2257142857142857</v>
      </c>
      <c r="AO166" s="22"/>
      <c r="AP166" s="22">
        <v>1500000</v>
      </c>
      <c r="AQ166" s="23">
        <v>170561.59</v>
      </c>
      <c r="AR166" s="22" t="s">
        <v>115</v>
      </c>
      <c r="AS166" s="23" t="s">
        <v>852</v>
      </c>
      <c r="AT166" s="44">
        <v>45251</v>
      </c>
      <c r="AU166" s="24"/>
      <c r="AV166" s="45">
        <v>45146</v>
      </c>
      <c r="AW166" s="13"/>
      <c r="AX166" s="13"/>
      <c r="AY166" s="13"/>
      <c r="AZ166" s="13"/>
      <c r="BA166" s="13"/>
      <c r="BB166" s="13"/>
      <c r="BC166" s="13"/>
      <c r="BD166" s="13"/>
      <c r="BE166" s="13"/>
      <c r="BF166" s="13"/>
      <c r="BG166" s="13"/>
      <c r="BH166" s="14"/>
      <c r="BI166" s="14"/>
      <c r="BJ166" s="14"/>
      <c r="BK166" s="14"/>
      <c r="BL166" s="14"/>
      <c r="BM166" s="14"/>
      <c r="BN166" s="14"/>
      <c r="BO166" s="14"/>
      <c r="BP166" s="14"/>
      <c r="BQ166" s="14"/>
      <c r="BR166" s="14"/>
      <c r="BS166" s="14"/>
      <c r="BT166" s="14"/>
      <c r="BU166" s="14"/>
      <c r="BV166" s="14"/>
      <c r="BW166" s="14"/>
      <c r="IQ166" s="14"/>
      <c r="IR166" s="14"/>
      <c r="IS166" s="14"/>
      <c r="IT166" s="14"/>
      <c r="IU166" s="14"/>
      <c r="IV166" s="14"/>
      <c r="IW166" s="14"/>
    </row>
    <row r="167" spans="2:257" s="25" customFormat="1" ht="51">
      <c r="B167" s="49">
        <v>163</v>
      </c>
      <c r="C167" s="97">
        <v>552490</v>
      </c>
      <c r="D167" s="98">
        <v>45049</v>
      </c>
      <c r="E167" s="99" t="s">
        <v>46</v>
      </c>
      <c r="F167" s="30">
        <v>12407</v>
      </c>
      <c r="G167" s="30">
        <v>103861</v>
      </c>
      <c r="H167" s="30">
        <v>3305</v>
      </c>
      <c r="I167" s="31"/>
      <c r="J167" s="31"/>
      <c r="K167" s="79">
        <v>574</v>
      </c>
      <c r="L167" s="31">
        <v>5</v>
      </c>
      <c r="M167" s="79" t="s">
        <v>96</v>
      </c>
      <c r="N167" s="31" t="s">
        <v>853</v>
      </c>
      <c r="O167" s="31" t="s">
        <v>854</v>
      </c>
      <c r="P167" s="79" t="s">
        <v>855</v>
      </c>
      <c r="Q167" s="79" t="s">
        <v>352</v>
      </c>
      <c r="R167" s="31"/>
      <c r="S167" s="31"/>
      <c r="T167" s="31"/>
      <c r="U167" s="31">
        <v>1</v>
      </c>
      <c r="V167" s="31"/>
      <c r="W167" s="31"/>
      <c r="X167" s="31"/>
      <c r="Y167" s="31" t="s">
        <v>856</v>
      </c>
      <c r="Z167" s="32"/>
      <c r="AA167" s="32"/>
      <c r="AB167" s="32"/>
      <c r="AC167" s="32"/>
      <c r="AD167" s="32"/>
      <c r="AE167" s="32"/>
      <c r="AF167" s="31"/>
      <c r="AG167" s="31"/>
      <c r="AH167" s="31"/>
      <c r="AI167" s="31">
        <f>400.78+66.5+39.42+(14*6.18)</f>
        <v>593.22</v>
      </c>
      <c r="AJ167" s="31"/>
      <c r="AK167" s="33"/>
      <c r="AL167" s="33">
        <v>611.52</v>
      </c>
      <c r="AM167" s="33">
        <f>+(400.78+66.5)/AL167</f>
        <v>0.76412872841444268</v>
      </c>
      <c r="AN167" s="33">
        <f>+(AI167-39.42)/AL167</f>
        <v>0.90561224489795933</v>
      </c>
      <c r="AO167" s="33"/>
      <c r="AP167" s="33">
        <v>19747650</v>
      </c>
      <c r="AQ167" s="34">
        <v>5514</v>
      </c>
      <c r="AR167" s="100" t="s">
        <v>115</v>
      </c>
      <c r="AS167" s="34" t="s">
        <v>857</v>
      </c>
      <c r="AT167" s="35">
        <v>45252</v>
      </c>
      <c r="AU167" s="36"/>
      <c r="AV167" s="102">
        <v>45050</v>
      </c>
      <c r="AW167" s="38"/>
      <c r="AX167" s="38"/>
      <c r="AY167" s="38"/>
      <c r="AZ167" s="38"/>
      <c r="BA167" s="38"/>
      <c r="BB167" s="38"/>
      <c r="BC167" s="38"/>
      <c r="BD167" s="38"/>
      <c r="BE167" s="38"/>
      <c r="BF167" s="38"/>
      <c r="BG167" s="38"/>
      <c r="BH167" s="39"/>
      <c r="BI167" s="39"/>
      <c r="BJ167" s="39"/>
      <c r="BK167" s="39"/>
      <c r="BL167" s="39"/>
      <c r="BM167" s="39"/>
      <c r="BN167" s="39"/>
      <c r="BO167" s="39"/>
      <c r="BP167" s="39"/>
      <c r="BQ167" s="39"/>
      <c r="BR167" s="39"/>
      <c r="BS167" s="39"/>
      <c r="BT167" s="39"/>
      <c r="BU167" s="39"/>
      <c r="BV167" s="39"/>
      <c r="BW167" s="39"/>
      <c r="IQ167" s="39"/>
      <c r="IR167" s="39"/>
      <c r="IS167" s="39"/>
      <c r="IT167" s="39"/>
      <c r="IU167" s="39"/>
      <c r="IV167" s="39"/>
      <c r="IW167" s="39"/>
    </row>
    <row r="168" spans="2:257" s="25" customFormat="1" ht="38.25">
      <c r="B168" s="49">
        <v>164</v>
      </c>
      <c r="C168" s="97">
        <v>556108</v>
      </c>
      <c r="D168" s="98">
        <v>45197</v>
      </c>
      <c r="E168" s="99" t="s">
        <v>65</v>
      </c>
      <c r="F168" s="30">
        <v>60923</v>
      </c>
      <c r="G168" s="30">
        <v>160658</v>
      </c>
      <c r="H168" s="30">
        <v>32833</v>
      </c>
      <c r="I168" s="31">
        <v>3</v>
      </c>
      <c r="J168" s="31"/>
      <c r="K168" s="79">
        <v>4</v>
      </c>
      <c r="L168" s="31">
        <v>24</v>
      </c>
      <c r="M168" s="79" t="s">
        <v>96</v>
      </c>
      <c r="N168" s="31" t="s">
        <v>789</v>
      </c>
      <c r="O168" s="31" t="s">
        <v>858</v>
      </c>
      <c r="P168" s="79"/>
      <c r="Q168" s="31" t="s">
        <v>286</v>
      </c>
      <c r="R168" s="31" t="s">
        <v>286</v>
      </c>
      <c r="S168" s="31" t="s">
        <v>286</v>
      </c>
      <c r="T168" s="31" t="s">
        <v>70</v>
      </c>
      <c r="U168" s="31"/>
      <c r="V168" s="31">
        <v>1</v>
      </c>
      <c r="W168" s="31"/>
      <c r="X168" s="31"/>
      <c r="Y168" s="31" t="s">
        <v>71</v>
      </c>
      <c r="Z168" s="32"/>
      <c r="AA168" s="32">
        <v>3</v>
      </c>
      <c r="AB168" s="32"/>
      <c r="AC168" s="32">
        <f>+AA168+1</f>
        <v>4</v>
      </c>
      <c r="AD168" s="32"/>
      <c r="AE168" s="32">
        <f>+AA168*2</f>
        <v>6</v>
      </c>
      <c r="AF168" s="31"/>
      <c r="AG168" s="31"/>
      <c r="AH168" s="31"/>
      <c r="AI168" s="31"/>
      <c r="AJ168" s="31">
        <f>172.32+69.46/2</f>
        <v>207.04999999999998</v>
      </c>
      <c r="AK168" s="33"/>
      <c r="AL168" s="33">
        <v>948.84</v>
      </c>
      <c r="AM168" s="33">
        <f>+(172.32+69.46)/AL168</f>
        <v>0.25481640740272327</v>
      </c>
      <c r="AN168" s="33">
        <f>+AJ168/AL168</f>
        <v>0.21821381897896377</v>
      </c>
      <c r="AO168" s="33"/>
      <c r="AP168" s="33">
        <f>+(12*67063+5*53635+4*40232)/21*AJ168</f>
        <v>12165262.188095236</v>
      </c>
      <c r="AQ168" s="34">
        <v>44683.39</v>
      </c>
      <c r="AR168" s="100" t="s">
        <v>115</v>
      </c>
      <c r="AS168" s="34" t="s">
        <v>859</v>
      </c>
      <c r="AT168" s="35">
        <v>45252</v>
      </c>
      <c r="AU168" s="36"/>
      <c r="AV168" s="102">
        <v>45201</v>
      </c>
      <c r="AW168" s="38"/>
      <c r="AX168" s="38"/>
      <c r="AY168" s="38"/>
      <c r="AZ168" s="38"/>
      <c r="BA168" s="38"/>
      <c r="BB168" s="38"/>
      <c r="BC168" s="38"/>
      <c r="BD168" s="38"/>
      <c r="BE168" s="38"/>
      <c r="BF168" s="38"/>
      <c r="BG168" s="38"/>
      <c r="BH168" s="39"/>
      <c r="BI168" s="39"/>
      <c r="BJ168" s="39"/>
      <c r="BK168" s="39"/>
      <c r="BL168" s="39"/>
      <c r="BM168" s="39"/>
      <c r="BN168" s="39"/>
      <c r="BO168" s="39"/>
      <c r="BP168" s="39"/>
      <c r="BQ168" s="39"/>
      <c r="BR168" s="39"/>
      <c r="BS168" s="39"/>
      <c r="BT168" s="39"/>
      <c r="BU168" s="39"/>
      <c r="BV168" s="39"/>
      <c r="BW168" s="39"/>
      <c r="IQ168" s="39"/>
      <c r="IR168" s="39"/>
      <c r="IS168" s="39"/>
      <c r="IT168" s="39"/>
      <c r="IU168" s="39"/>
      <c r="IV168" s="39"/>
      <c r="IW168" s="39"/>
    </row>
    <row r="169" spans="2:257" s="25" customFormat="1" ht="38.25">
      <c r="B169" s="49">
        <v>165</v>
      </c>
      <c r="C169" s="97">
        <v>557422</v>
      </c>
      <c r="D169" s="98">
        <v>45236</v>
      </c>
      <c r="E169" s="99" t="s">
        <v>46</v>
      </c>
      <c r="F169" s="30">
        <v>17552</v>
      </c>
      <c r="G169" s="30">
        <v>117125</v>
      </c>
      <c r="H169" s="30">
        <v>506</v>
      </c>
      <c r="I169" s="31"/>
      <c r="J169" s="31"/>
      <c r="K169" s="79">
        <v>22</v>
      </c>
      <c r="L169" s="31">
        <v>3</v>
      </c>
      <c r="M169" s="79" t="s">
        <v>40</v>
      </c>
      <c r="N169" s="31" t="s">
        <v>860</v>
      </c>
      <c r="O169" s="31" t="s">
        <v>861</v>
      </c>
      <c r="P169" s="79"/>
      <c r="Q169" s="79" t="s">
        <v>862</v>
      </c>
      <c r="R169" s="31"/>
      <c r="S169" s="31"/>
      <c r="T169" s="31"/>
      <c r="U169" s="31"/>
      <c r="V169" s="31"/>
      <c r="W169" s="31"/>
      <c r="X169" s="31"/>
      <c r="Y169" s="31"/>
      <c r="Z169" s="32"/>
      <c r="AA169" s="32"/>
      <c r="AB169" s="32"/>
      <c r="AC169" s="32"/>
      <c r="AD169" s="32"/>
      <c r="AE169" s="32"/>
      <c r="AF169" s="31"/>
      <c r="AG169" s="31"/>
      <c r="AH169" s="31"/>
      <c r="AI169" s="31"/>
      <c r="AJ169" s="31"/>
      <c r="AK169" s="33"/>
      <c r="AL169" s="33"/>
      <c r="AM169" s="33"/>
      <c r="AN169" s="33"/>
      <c r="AO169" s="33"/>
      <c r="AP169" s="33"/>
      <c r="AQ169" s="34">
        <v>242277.46</v>
      </c>
      <c r="AR169" s="100" t="s">
        <v>77</v>
      </c>
      <c r="AS169" s="34" t="s">
        <v>863</v>
      </c>
      <c r="AT169" s="35">
        <v>45245</v>
      </c>
      <c r="AU169" s="36"/>
      <c r="AV169" s="102"/>
      <c r="AW169" s="38"/>
      <c r="AX169" s="38"/>
      <c r="AY169" s="38"/>
      <c r="AZ169" s="38"/>
      <c r="BA169" s="38"/>
      <c r="BB169" s="38"/>
      <c r="BC169" s="38"/>
      <c r="BD169" s="38"/>
      <c r="BE169" s="38"/>
      <c r="BF169" s="38"/>
      <c r="BG169" s="38"/>
      <c r="BH169" s="39"/>
      <c r="BI169" s="39"/>
      <c r="BJ169" s="39"/>
      <c r="BK169" s="39"/>
      <c r="BL169" s="39"/>
      <c r="BM169" s="39"/>
      <c r="BN169" s="39"/>
      <c r="BO169" s="39"/>
      <c r="BP169" s="39"/>
      <c r="BQ169" s="39"/>
      <c r="BR169" s="39"/>
      <c r="BS169" s="39"/>
      <c r="BT169" s="39"/>
      <c r="BU169" s="39"/>
      <c r="BV169" s="39"/>
      <c r="BW169" s="39"/>
      <c r="IQ169" s="39"/>
      <c r="IR169" s="39"/>
      <c r="IS169" s="39"/>
      <c r="IT169" s="39"/>
      <c r="IU169" s="39"/>
      <c r="IV169" s="39"/>
      <c r="IW169" s="39"/>
    </row>
    <row r="170" spans="2:257" s="25" customFormat="1" ht="63.75">
      <c r="B170" s="49">
        <v>166</v>
      </c>
      <c r="C170" s="97" t="s">
        <v>864</v>
      </c>
      <c r="D170" s="98">
        <v>45223</v>
      </c>
      <c r="E170" s="99" t="s">
        <v>117</v>
      </c>
      <c r="F170" s="30">
        <v>32700</v>
      </c>
      <c r="G170" s="30">
        <v>1412</v>
      </c>
      <c r="H170" s="30">
        <v>1418</v>
      </c>
      <c r="I170" s="31"/>
      <c r="J170" s="31"/>
      <c r="K170" s="79">
        <v>65</v>
      </c>
      <c r="L170" s="31">
        <v>16</v>
      </c>
      <c r="M170" s="79" t="s">
        <v>40</v>
      </c>
      <c r="N170" s="31" t="s">
        <v>865</v>
      </c>
      <c r="O170" s="31"/>
      <c r="P170" s="79" t="s">
        <v>866</v>
      </c>
      <c r="Q170" s="31" t="s">
        <v>867</v>
      </c>
      <c r="R170" s="31" t="s">
        <v>867</v>
      </c>
      <c r="S170" s="31" t="s">
        <v>867</v>
      </c>
      <c r="T170" s="31" t="s">
        <v>265</v>
      </c>
      <c r="U170" s="31">
        <v>1</v>
      </c>
      <c r="V170" s="31"/>
      <c r="W170" s="31"/>
      <c r="X170" s="31"/>
      <c r="Y170" s="31" t="s">
        <v>868</v>
      </c>
      <c r="Z170" s="32"/>
      <c r="AA170" s="32"/>
      <c r="AB170" s="32"/>
      <c r="AC170" s="32"/>
      <c r="AD170" s="32"/>
      <c r="AE170" s="32"/>
      <c r="AF170" s="31"/>
      <c r="AG170" s="31">
        <f>272.3+13.33</f>
        <v>285.63</v>
      </c>
      <c r="AH170" s="31"/>
      <c r="AI170" s="31"/>
      <c r="AJ170" s="31"/>
      <c r="AK170" s="33">
        <f>66.43+6.43</f>
        <v>72.860000000000014</v>
      </c>
      <c r="AL170" s="33">
        <v>707.88</v>
      </c>
      <c r="AM170" s="33">
        <f>+(272.3+13.33*2+66.43+6.43*2)/AL170</f>
        <v>0.53434197886647461</v>
      </c>
      <c r="AN170" s="33">
        <f>+(AG170+AK170)/AL170</f>
        <v>0.50642764310335087</v>
      </c>
      <c r="AO170" s="33"/>
      <c r="AP170" s="33">
        <v>13000000</v>
      </c>
      <c r="AQ170" s="34">
        <v>190199</v>
      </c>
      <c r="AR170" s="100" t="s">
        <v>57</v>
      </c>
      <c r="AS170" s="34" t="s">
        <v>869</v>
      </c>
      <c r="AT170" s="35">
        <v>45247</v>
      </c>
      <c r="AU170" s="36"/>
      <c r="AV170" s="102" t="s">
        <v>870</v>
      </c>
      <c r="AW170" s="38"/>
      <c r="AX170" s="38"/>
      <c r="AY170" s="38"/>
      <c r="AZ170" s="38"/>
      <c r="BA170" s="38"/>
      <c r="BB170" s="38"/>
      <c r="BC170" s="38"/>
      <c r="BD170" s="38"/>
      <c r="BE170" s="38"/>
      <c r="BF170" s="38"/>
      <c r="BG170" s="38"/>
      <c r="BH170" s="39"/>
      <c r="BI170" s="39"/>
      <c r="BJ170" s="39"/>
      <c r="BK170" s="39"/>
      <c r="BL170" s="39"/>
      <c r="BM170" s="39"/>
      <c r="BN170" s="39"/>
      <c r="BO170" s="39"/>
      <c r="BP170" s="39"/>
      <c r="BQ170" s="39"/>
      <c r="BR170" s="39"/>
      <c r="BS170" s="39"/>
      <c r="BT170" s="39"/>
      <c r="BU170" s="39"/>
      <c r="BV170" s="39"/>
      <c r="BW170" s="39"/>
      <c r="IQ170" s="39"/>
      <c r="IR170" s="39"/>
      <c r="IS170" s="39"/>
      <c r="IT170" s="39"/>
      <c r="IU170" s="39"/>
      <c r="IV170" s="39"/>
      <c r="IW170" s="39"/>
    </row>
    <row r="171" spans="2:257" s="25" customFormat="1" ht="38.25">
      <c r="B171" s="49">
        <v>167</v>
      </c>
      <c r="C171" s="97">
        <v>556746</v>
      </c>
      <c r="D171" s="98">
        <v>45219</v>
      </c>
      <c r="E171" s="99" t="s">
        <v>46</v>
      </c>
      <c r="F171" s="30">
        <v>40764</v>
      </c>
      <c r="G171" s="30">
        <v>139124</v>
      </c>
      <c r="H171" s="30">
        <v>20498</v>
      </c>
      <c r="I171" s="31">
        <v>36</v>
      </c>
      <c r="J171" s="31"/>
      <c r="K171" s="79">
        <v>356</v>
      </c>
      <c r="L171" s="31">
        <v>2</v>
      </c>
      <c r="M171" s="79" t="s">
        <v>66</v>
      </c>
      <c r="N171" s="31" t="s">
        <v>871</v>
      </c>
      <c r="O171" s="31" t="s">
        <v>872</v>
      </c>
      <c r="P171" s="79"/>
      <c r="Q171" s="31" t="s">
        <v>873</v>
      </c>
      <c r="R171" s="31"/>
      <c r="S171" s="31"/>
      <c r="T171" s="31"/>
      <c r="U171" s="31">
        <v>2</v>
      </c>
      <c r="V171" s="31"/>
      <c r="W171" s="31"/>
      <c r="X171" s="31"/>
      <c r="Y171" s="31" t="s">
        <v>44</v>
      </c>
      <c r="Z171" s="32">
        <f>3+1+1</f>
        <v>5</v>
      </c>
      <c r="AA171" s="32"/>
      <c r="AB171" s="32">
        <f>+Z171+1</f>
        <v>6</v>
      </c>
      <c r="AC171" s="32"/>
      <c r="AD171" s="32">
        <f>+Z171*2</f>
        <v>10</v>
      </c>
      <c r="AE171" s="32"/>
      <c r="AF171" s="31"/>
      <c r="AG171" s="31"/>
      <c r="AH171" s="31">
        <f>46.5+32.02+29.04/2+3.14/2</f>
        <v>94.61</v>
      </c>
      <c r="AI171" s="31"/>
      <c r="AJ171" s="31"/>
      <c r="AK171" s="33"/>
      <c r="AL171" s="33">
        <v>303.73</v>
      </c>
      <c r="AM171" s="33">
        <f>+(46.5+32.02+29.04+3.14)/AL171</f>
        <v>0.36446844236657555</v>
      </c>
      <c r="AN171" s="33">
        <f>+AH171/AL171</f>
        <v>0.3114937609060679</v>
      </c>
      <c r="AO171" s="33"/>
      <c r="AP171" s="33">
        <v>25884997.539999999</v>
      </c>
      <c r="AQ171" s="34">
        <v>406291.94</v>
      </c>
      <c r="AR171" s="100" t="s">
        <v>57</v>
      </c>
      <c r="AS171" s="34" t="s">
        <v>874</v>
      </c>
      <c r="AT171" s="35">
        <v>45252</v>
      </c>
      <c r="AU171" s="36"/>
      <c r="AV171" s="102">
        <v>45225</v>
      </c>
      <c r="AW171" s="38"/>
      <c r="AX171" s="38"/>
      <c r="AY171" s="38"/>
      <c r="AZ171" s="38"/>
      <c r="BA171" s="38"/>
      <c r="BB171" s="38"/>
      <c r="BC171" s="38"/>
      <c r="BD171" s="38"/>
      <c r="BE171" s="38"/>
      <c r="BF171" s="38"/>
      <c r="BG171" s="38"/>
      <c r="BH171" s="39"/>
      <c r="BI171" s="39"/>
      <c r="BJ171" s="39"/>
      <c r="BK171" s="39"/>
      <c r="BL171" s="39"/>
      <c r="BM171" s="39"/>
      <c r="BN171" s="39"/>
      <c r="BO171" s="39"/>
      <c r="BP171" s="39"/>
      <c r="BQ171" s="39"/>
      <c r="BR171" s="39"/>
      <c r="BS171" s="39"/>
      <c r="BT171" s="39"/>
      <c r="BU171" s="39"/>
      <c r="BV171" s="39"/>
      <c r="BW171" s="39"/>
      <c r="IQ171" s="39"/>
      <c r="IR171" s="39"/>
      <c r="IS171" s="39"/>
      <c r="IT171" s="39"/>
      <c r="IU171" s="39"/>
      <c r="IV171" s="39"/>
      <c r="IW171" s="39"/>
    </row>
    <row r="172" spans="2:257" s="2" customFormat="1" ht="89.25">
      <c r="B172" s="49">
        <v>168</v>
      </c>
      <c r="C172" s="58">
        <v>557688</v>
      </c>
      <c r="D172" s="42">
        <v>45173</v>
      </c>
      <c r="E172" s="43" t="s">
        <v>46</v>
      </c>
      <c r="F172" s="15">
        <v>38956</v>
      </c>
      <c r="G172" s="15">
        <v>50123</v>
      </c>
      <c r="H172" s="15">
        <v>2847</v>
      </c>
      <c r="I172" s="16"/>
      <c r="J172" s="16"/>
      <c r="K172" s="16">
        <v>343</v>
      </c>
      <c r="L172" s="16">
        <v>9</v>
      </c>
      <c r="M172" s="16" t="s">
        <v>96</v>
      </c>
      <c r="N172" s="16" t="s">
        <v>875</v>
      </c>
      <c r="O172" s="72" t="s">
        <v>876</v>
      </c>
      <c r="P172" s="16"/>
      <c r="Q172" s="16" t="s">
        <v>506</v>
      </c>
      <c r="R172" s="16"/>
      <c r="S172" s="16"/>
      <c r="T172" s="16"/>
      <c r="U172" s="16">
        <f>1+2+2+2</f>
        <v>7</v>
      </c>
      <c r="V172" s="17"/>
      <c r="W172" s="16"/>
      <c r="X172" s="16"/>
      <c r="Y172" s="16" t="s">
        <v>44</v>
      </c>
      <c r="Z172" s="18">
        <f>2+2+2+2</f>
        <v>8</v>
      </c>
      <c r="AA172" s="19"/>
      <c r="AB172" s="20">
        <f>+Z172+1+1+1</f>
        <v>11</v>
      </c>
      <c r="AC172" s="19"/>
      <c r="AD172" s="20">
        <f>+Z172*2</f>
        <v>16</v>
      </c>
      <c r="AE172" s="19"/>
      <c r="AF172" s="16">
        <f>29.89+14.11/2+2.15/2+0.95/2+28.11</f>
        <v>66.605000000000004</v>
      </c>
      <c r="AG172" s="16"/>
      <c r="AH172" s="16">
        <f>31.33*4+6.52+67.26+15.43/2</f>
        <v>206.81500000000003</v>
      </c>
      <c r="AI172" s="16"/>
      <c r="AJ172" s="17"/>
      <c r="AK172" s="21"/>
      <c r="AL172" s="22">
        <v>536.71</v>
      </c>
      <c r="AM172" s="22">
        <f>+(14.11+29.89+2.15+0.95+31.33*2+6.52+67.26+15.43)/AL172</f>
        <v>0.3707216187512809</v>
      </c>
      <c r="AN172" s="22">
        <f>+(AF172+AH172)/AL172</f>
        <v>0.50943712619477932</v>
      </c>
      <c r="AO172" s="22"/>
      <c r="AP172" s="22">
        <f>+(10*53635+6*40232+4*26825)/20*AH172</f>
        <v>9151998.0615000017</v>
      </c>
      <c r="AQ172" s="23">
        <v>143495.69</v>
      </c>
      <c r="AR172" s="22" t="s">
        <v>57</v>
      </c>
      <c r="AS172" s="23" t="s">
        <v>877</v>
      </c>
      <c r="AT172" s="44">
        <v>45253</v>
      </c>
      <c r="AU172" s="24"/>
      <c r="AV172" s="23" t="s">
        <v>878</v>
      </c>
      <c r="AW172" s="13"/>
      <c r="AX172" s="13"/>
      <c r="AY172" s="13"/>
      <c r="AZ172" s="13"/>
      <c r="BA172" s="13"/>
      <c r="BB172" s="13"/>
      <c r="BC172" s="13"/>
      <c r="BD172" s="13"/>
      <c r="BE172" s="13"/>
      <c r="BF172" s="13"/>
      <c r="BG172" s="13"/>
      <c r="BH172" s="14"/>
      <c r="BI172" s="14"/>
      <c r="BJ172" s="14"/>
      <c r="BK172" s="14"/>
      <c r="BL172" s="14"/>
      <c r="BM172" s="14"/>
      <c r="BN172" s="14"/>
      <c r="BO172" s="14"/>
      <c r="BP172" s="14"/>
      <c r="BQ172" s="14"/>
      <c r="BR172" s="14"/>
      <c r="BS172" s="14"/>
      <c r="BT172" s="14"/>
      <c r="BU172" s="14"/>
      <c r="BV172" s="14"/>
      <c r="BW172" s="14"/>
      <c r="IQ172" s="14"/>
      <c r="IR172" s="14"/>
      <c r="IS172" s="14"/>
      <c r="IT172" s="14"/>
      <c r="IU172" s="14"/>
      <c r="IV172" s="14"/>
      <c r="IW172" s="14"/>
    </row>
    <row r="173" spans="2:257" s="25" customFormat="1" ht="51">
      <c r="B173" s="49">
        <v>169</v>
      </c>
      <c r="C173" s="97">
        <v>556066</v>
      </c>
      <c r="D173" s="98">
        <v>45196</v>
      </c>
      <c r="E173" s="99" t="s">
        <v>65</v>
      </c>
      <c r="F173" s="30">
        <v>49900</v>
      </c>
      <c r="G173" s="30">
        <v>1514</v>
      </c>
      <c r="H173" s="30">
        <v>1402</v>
      </c>
      <c r="I173" s="31"/>
      <c r="J173" s="31"/>
      <c r="K173" s="79">
        <v>128</v>
      </c>
      <c r="L173" s="31">
        <v>4</v>
      </c>
      <c r="M173" s="79" t="s">
        <v>40</v>
      </c>
      <c r="N173" s="31" t="s">
        <v>879</v>
      </c>
      <c r="O173" s="31" t="s">
        <v>880</v>
      </c>
      <c r="P173" s="79"/>
      <c r="Q173" s="31" t="s">
        <v>246</v>
      </c>
      <c r="R173" s="31" t="s">
        <v>246</v>
      </c>
      <c r="S173" s="31" t="s">
        <v>246</v>
      </c>
      <c r="T173" s="31" t="s">
        <v>246</v>
      </c>
      <c r="U173" s="31"/>
      <c r="V173" s="31">
        <v>1</v>
      </c>
      <c r="W173" s="31"/>
      <c r="X173" s="31"/>
      <c r="Y173" s="31" t="s">
        <v>71</v>
      </c>
      <c r="Z173" s="32"/>
      <c r="AA173" s="32">
        <v>3</v>
      </c>
      <c r="AB173" s="32"/>
      <c r="AC173" s="32">
        <f>+AA173+1+1</f>
        <v>5</v>
      </c>
      <c r="AD173" s="32"/>
      <c r="AE173" s="32">
        <f>+AA173*2</f>
        <v>6</v>
      </c>
      <c r="AF173" s="31"/>
      <c r="AG173" s="31"/>
      <c r="AH173" s="31"/>
      <c r="AI173" s="31"/>
      <c r="AJ173" s="31">
        <f>106.26+12.96/2+82.24+5.23/2</f>
        <v>197.59500000000003</v>
      </c>
      <c r="AK173" s="33"/>
      <c r="AL173" s="33">
        <v>158.75</v>
      </c>
      <c r="AM173" s="33">
        <f>+(106.26+12.96)/AL173</f>
        <v>0.75099212598425191</v>
      </c>
      <c r="AN173" s="33">
        <f>+AJ173/AL173</f>
        <v>1.2446929133858269</v>
      </c>
      <c r="AO173" s="33"/>
      <c r="AP173" s="33">
        <f>225000+140000</f>
        <v>365000</v>
      </c>
      <c r="AQ173" s="34">
        <v>55090.7</v>
      </c>
      <c r="AR173" s="100" t="s">
        <v>57</v>
      </c>
      <c r="AS173" s="34" t="s">
        <v>881</v>
      </c>
      <c r="AT173" s="35">
        <v>45254</v>
      </c>
      <c r="AU173" s="36"/>
      <c r="AV173" s="102" t="s">
        <v>882</v>
      </c>
      <c r="AW173" s="38"/>
      <c r="AX173" s="38"/>
      <c r="AY173" s="38"/>
      <c r="AZ173" s="38"/>
      <c r="BA173" s="38"/>
      <c r="BB173" s="38"/>
      <c r="BC173" s="38"/>
      <c r="BD173" s="38"/>
      <c r="BE173" s="38"/>
      <c r="BF173" s="38"/>
      <c r="BG173" s="38"/>
      <c r="BH173" s="39"/>
      <c r="BI173" s="39"/>
      <c r="BJ173" s="39"/>
      <c r="BK173" s="39"/>
      <c r="BL173" s="39"/>
      <c r="BM173" s="39"/>
      <c r="BN173" s="39"/>
      <c r="BO173" s="39"/>
      <c r="BP173" s="39"/>
      <c r="BQ173" s="39"/>
      <c r="BR173" s="39"/>
      <c r="BS173" s="39"/>
      <c r="BT173" s="39"/>
      <c r="BU173" s="39"/>
      <c r="BV173" s="39"/>
      <c r="BW173" s="39"/>
      <c r="IQ173" s="39"/>
      <c r="IR173" s="39"/>
      <c r="IS173" s="39"/>
      <c r="IT173" s="39"/>
      <c r="IU173" s="39"/>
      <c r="IV173" s="39"/>
      <c r="IW173" s="39"/>
    </row>
    <row r="174" spans="2:257" s="25" customFormat="1" ht="39" customHeight="1">
      <c r="B174" s="184">
        <v>170</v>
      </c>
      <c r="C174" s="185" t="s">
        <v>883</v>
      </c>
      <c r="D174" s="186">
        <v>45162</v>
      </c>
      <c r="E174" s="187" t="s">
        <v>46</v>
      </c>
      <c r="F174" s="30">
        <v>53453</v>
      </c>
      <c r="G174" s="30">
        <v>1411</v>
      </c>
      <c r="H174" s="30">
        <v>4703</v>
      </c>
      <c r="I174" s="31"/>
      <c r="J174" s="31"/>
      <c r="K174" s="31">
        <v>151</v>
      </c>
      <c r="L174" s="31">
        <v>1</v>
      </c>
      <c r="M174" s="117" t="s">
        <v>96</v>
      </c>
      <c r="N174" s="31" t="s">
        <v>884</v>
      </c>
      <c r="O174" s="117" t="s">
        <v>885</v>
      </c>
      <c r="P174" s="31"/>
      <c r="Q174" s="117" t="s">
        <v>886</v>
      </c>
      <c r="R174" s="31"/>
      <c r="S174" s="31"/>
      <c r="T174" s="31"/>
      <c r="U174" s="31">
        <v>1</v>
      </c>
      <c r="V174" s="31"/>
      <c r="W174" s="31"/>
      <c r="X174" s="31"/>
      <c r="Y174" s="31" t="s">
        <v>71</v>
      </c>
      <c r="Z174" s="32">
        <v>2</v>
      </c>
      <c r="AA174" s="32"/>
      <c r="AB174" s="32">
        <f>+Z174+1</f>
        <v>3</v>
      </c>
      <c r="AC174" s="32"/>
      <c r="AD174" s="32">
        <f>+Z174*2</f>
        <v>4</v>
      </c>
      <c r="AE174" s="32"/>
      <c r="AF174" s="31"/>
      <c r="AG174" s="31"/>
      <c r="AH174" s="31">
        <f>176.03-AH175</f>
        <v>138.06739999999999</v>
      </c>
      <c r="AI174" s="31"/>
      <c r="AJ174" s="31"/>
      <c r="AK174" s="33"/>
      <c r="AL174" s="33">
        <v>182.5</v>
      </c>
      <c r="AM174" s="33">
        <f>+AH174/AL174</f>
        <v>0.75653369863013697</v>
      </c>
      <c r="AN174" s="33">
        <f>+AM174</f>
        <v>0.75653369863013697</v>
      </c>
      <c r="AO174" s="33"/>
      <c r="AP174" s="188">
        <f>+(1*37063+9*53635+6*40232+4*26825)/20*(AH174+AH175)</f>
        <v>7643838.7050000001</v>
      </c>
      <c r="AQ174" s="117">
        <v>119631.34</v>
      </c>
      <c r="AR174" s="188" t="s">
        <v>77</v>
      </c>
      <c r="AS174" s="189" t="s">
        <v>887</v>
      </c>
      <c r="AT174" s="190">
        <v>45257</v>
      </c>
      <c r="AU174" s="36"/>
      <c r="AV174" s="94"/>
      <c r="AW174" s="38"/>
      <c r="AX174" s="38"/>
      <c r="AY174" s="38"/>
      <c r="AZ174" s="38"/>
      <c r="BA174" s="38"/>
      <c r="BB174" s="38"/>
      <c r="BC174" s="38"/>
      <c r="BD174" s="38"/>
      <c r="BE174" s="38"/>
      <c r="BF174" s="38"/>
      <c r="BG174" s="38"/>
      <c r="BH174" s="39"/>
      <c r="BI174" s="39"/>
      <c r="BJ174" s="39"/>
      <c r="BK174" s="39"/>
      <c r="BL174" s="39"/>
      <c r="BM174" s="39"/>
      <c r="BN174" s="39"/>
      <c r="BO174" s="39"/>
      <c r="BP174" s="39"/>
      <c r="BQ174" s="39"/>
      <c r="BR174" s="39"/>
      <c r="BS174" s="39"/>
      <c r="BT174" s="39"/>
      <c r="BU174" s="39"/>
      <c r="BV174" s="39"/>
      <c r="BW174" s="39"/>
      <c r="IQ174" s="39"/>
      <c r="IR174" s="39"/>
      <c r="IS174" s="39"/>
      <c r="IT174" s="39"/>
      <c r="IU174" s="39"/>
      <c r="IV174" s="39"/>
      <c r="IW174" s="39"/>
    </row>
    <row r="175" spans="2:257" s="25" customFormat="1" ht="39" customHeight="1">
      <c r="B175" s="184"/>
      <c r="C175" s="55"/>
      <c r="D175" s="61"/>
      <c r="E175" s="191"/>
      <c r="F175" s="30">
        <v>32613</v>
      </c>
      <c r="G175" s="30">
        <v>131393</v>
      </c>
      <c r="H175" s="30">
        <v>6897</v>
      </c>
      <c r="I175" s="31"/>
      <c r="J175" s="31"/>
      <c r="K175" s="31"/>
      <c r="L175" s="31">
        <v>2</v>
      </c>
      <c r="M175" s="79"/>
      <c r="N175" s="31" t="s">
        <v>888</v>
      </c>
      <c r="O175" s="79"/>
      <c r="P175" s="31"/>
      <c r="Q175" s="79"/>
      <c r="R175" s="31"/>
      <c r="S175" s="31"/>
      <c r="T175" s="31"/>
      <c r="U175" s="31">
        <v>1</v>
      </c>
      <c r="V175" s="31"/>
      <c r="W175" s="31"/>
      <c r="X175" s="31"/>
      <c r="Y175" s="31" t="s">
        <v>71</v>
      </c>
      <c r="Z175" s="32">
        <v>2</v>
      </c>
      <c r="AA175" s="32"/>
      <c r="AB175" s="32">
        <f>+Z175+1</f>
        <v>3</v>
      </c>
      <c r="AC175" s="32"/>
      <c r="AD175" s="32">
        <f>+Z175*2</f>
        <v>4</v>
      </c>
      <c r="AE175" s="32"/>
      <c r="AF175" s="31"/>
      <c r="AG175" s="31"/>
      <c r="AH175" s="33">
        <f>4.03*(4.29+ 5.13)</f>
        <v>37.962600000000002</v>
      </c>
      <c r="AI175" s="31"/>
      <c r="AJ175" s="31"/>
      <c r="AK175" s="33"/>
      <c r="AL175" s="33">
        <v>100.75</v>
      </c>
      <c r="AM175" s="25">
        <f>+AH175/AL175</f>
        <v>0.37680000000000002</v>
      </c>
      <c r="AN175" s="33">
        <f>+AM175</f>
        <v>0.37680000000000002</v>
      </c>
      <c r="AO175" s="33"/>
      <c r="AP175" s="100"/>
      <c r="AQ175" s="79"/>
      <c r="AR175" s="100"/>
      <c r="AS175" s="192"/>
      <c r="AT175" s="118"/>
      <c r="AU175" s="36"/>
      <c r="AV175" s="94">
        <v>45247</v>
      </c>
      <c r="AW175" s="38"/>
      <c r="AX175" s="38"/>
      <c r="AY175" s="38"/>
      <c r="AZ175" s="38"/>
      <c r="BA175" s="38"/>
      <c r="BB175" s="38"/>
      <c r="BC175" s="38"/>
      <c r="BD175" s="38"/>
      <c r="BE175" s="38"/>
      <c r="BF175" s="38"/>
      <c r="BG175" s="38"/>
      <c r="BH175" s="39"/>
      <c r="BI175" s="39"/>
      <c r="BJ175" s="39"/>
      <c r="BK175" s="39"/>
      <c r="BL175" s="39"/>
      <c r="BM175" s="39"/>
      <c r="BN175" s="39"/>
      <c r="BO175" s="39"/>
      <c r="BP175" s="39"/>
      <c r="BQ175" s="39"/>
      <c r="BR175" s="39"/>
      <c r="BS175" s="39"/>
      <c r="BT175" s="39"/>
      <c r="BU175" s="39"/>
      <c r="BV175" s="39"/>
      <c r="BW175" s="39"/>
      <c r="IQ175" s="39"/>
      <c r="IR175" s="39"/>
      <c r="IS175" s="39"/>
      <c r="IT175" s="39"/>
      <c r="IU175" s="39"/>
      <c r="IV175" s="39"/>
      <c r="IW175" s="39"/>
    </row>
    <row r="176" spans="2:257" s="25" customFormat="1" ht="38.25">
      <c r="B176" s="49">
        <v>171</v>
      </c>
      <c r="C176" s="97" t="s">
        <v>889</v>
      </c>
      <c r="D176" s="98">
        <v>45138</v>
      </c>
      <c r="E176" s="99" t="s">
        <v>65</v>
      </c>
      <c r="F176" s="30">
        <v>48280</v>
      </c>
      <c r="G176" s="30">
        <v>158762</v>
      </c>
      <c r="H176" s="30">
        <v>21070</v>
      </c>
      <c r="I176" s="31">
        <v>8</v>
      </c>
      <c r="J176" s="31"/>
      <c r="K176" s="79">
        <v>248</v>
      </c>
      <c r="L176" s="31">
        <v>12</v>
      </c>
      <c r="M176" s="79" t="s">
        <v>66</v>
      </c>
      <c r="N176" s="79" t="s">
        <v>890</v>
      </c>
      <c r="O176" s="31" t="s">
        <v>891</v>
      </c>
      <c r="P176" s="79"/>
      <c r="Q176" s="79" t="s">
        <v>892</v>
      </c>
      <c r="R176" s="79" t="s">
        <v>892</v>
      </c>
      <c r="S176" s="79" t="s">
        <v>892</v>
      </c>
      <c r="T176" s="31" t="s">
        <v>893</v>
      </c>
      <c r="U176" s="31"/>
      <c r="V176" s="31">
        <v>1</v>
      </c>
      <c r="W176" s="31"/>
      <c r="X176" s="31"/>
      <c r="Y176" s="31" t="s">
        <v>71</v>
      </c>
      <c r="Z176" s="32"/>
      <c r="AA176" s="32">
        <v>3</v>
      </c>
      <c r="AB176" s="32"/>
      <c r="AC176" s="32">
        <f>+AA176+ 1</f>
        <v>4</v>
      </c>
      <c r="AD176" s="32"/>
      <c r="AE176" s="32">
        <f>+AA176*2</f>
        <v>6</v>
      </c>
      <c r="AF176" s="31" t="s">
        <v>894</v>
      </c>
      <c r="AG176" s="31"/>
      <c r="AH176" s="31"/>
      <c r="AI176" s="31"/>
      <c r="AJ176" s="31">
        <f>89.5+6.8/2</f>
        <v>92.9</v>
      </c>
      <c r="AK176" s="33"/>
      <c r="AL176" s="33">
        <v>432.6</v>
      </c>
      <c r="AM176" s="33">
        <f>+(89.5+6.8)/AL176</f>
        <v>0.22260748959778084</v>
      </c>
      <c r="AN176" s="33">
        <f>+AJ176/AL176</f>
        <v>0.21474803513638466</v>
      </c>
      <c r="AO176" s="33"/>
      <c r="AP176" s="33">
        <f>+(1*67063+7*53635+4*40232+8*23825)/21*AJ176</f>
        <v>3512664.0190476188</v>
      </c>
      <c r="AQ176" s="34">
        <v>18756.45</v>
      </c>
      <c r="AR176" s="100" t="s">
        <v>77</v>
      </c>
      <c r="AS176" s="34" t="s">
        <v>895</v>
      </c>
      <c r="AT176" s="35">
        <v>45257</v>
      </c>
      <c r="AU176" s="36"/>
      <c r="AV176" s="102"/>
      <c r="AW176" s="38"/>
      <c r="AX176" s="38"/>
      <c r="AY176" s="38"/>
      <c r="AZ176" s="38"/>
      <c r="BA176" s="38"/>
      <c r="BB176" s="38"/>
      <c r="BC176" s="38"/>
      <c r="BD176" s="38"/>
      <c r="BE176" s="38"/>
      <c r="BF176" s="38"/>
      <c r="BG176" s="38"/>
      <c r="BH176" s="39"/>
      <c r="BI176" s="39"/>
      <c r="BJ176" s="39"/>
      <c r="BK176" s="39"/>
      <c r="BL176" s="39"/>
      <c r="BM176" s="39"/>
      <c r="BN176" s="39"/>
      <c r="BO176" s="39"/>
      <c r="BP176" s="39"/>
      <c r="BQ176" s="39"/>
      <c r="BR176" s="39"/>
      <c r="BS176" s="39"/>
      <c r="BT176" s="39"/>
      <c r="BU176" s="39"/>
      <c r="BV176" s="39"/>
      <c r="BW176" s="39"/>
      <c r="IQ176" s="39"/>
      <c r="IR176" s="39"/>
      <c r="IS176" s="39"/>
      <c r="IT176" s="39"/>
      <c r="IU176" s="39"/>
      <c r="IV176" s="39"/>
      <c r="IW176" s="39"/>
    </row>
    <row r="177" spans="2:257" s="25" customFormat="1" ht="38.25">
      <c r="B177" s="115">
        <v>172</v>
      </c>
      <c r="C177" s="97" t="s">
        <v>896</v>
      </c>
      <c r="D177" s="98">
        <v>45231</v>
      </c>
      <c r="E177" s="99" t="s">
        <v>117</v>
      </c>
      <c r="F177" s="30">
        <v>60913</v>
      </c>
      <c r="G177" s="30">
        <v>168869</v>
      </c>
      <c r="H177" s="30">
        <v>33985</v>
      </c>
      <c r="I177" s="31">
        <v>3</v>
      </c>
      <c r="J177" s="31"/>
      <c r="K177" s="79">
        <v>3</v>
      </c>
      <c r="L177" s="31">
        <v>23</v>
      </c>
      <c r="M177" s="79" t="s">
        <v>96</v>
      </c>
      <c r="N177" s="16" t="s">
        <v>897</v>
      </c>
      <c r="O177" s="31" t="s">
        <v>898</v>
      </c>
      <c r="P177" s="79"/>
      <c r="Q177" s="79" t="s">
        <v>113</v>
      </c>
      <c r="R177" s="79" t="s">
        <v>113</v>
      </c>
      <c r="S177" s="79" t="s">
        <v>113</v>
      </c>
      <c r="T177" s="31" t="s">
        <v>899</v>
      </c>
      <c r="U177" s="31"/>
      <c r="V177" s="31"/>
      <c r="W177" s="31">
        <v>1</v>
      </c>
      <c r="X177" s="31"/>
      <c r="Y177" s="31" t="s">
        <v>291</v>
      </c>
      <c r="Z177" s="32">
        <v>2</v>
      </c>
      <c r="AA177" s="32"/>
      <c r="AB177" s="32">
        <f>+Z177+1+1</f>
        <v>4</v>
      </c>
      <c r="AC177" s="32"/>
      <c r="AD177" s="32">
        <f>+Z177*2</f>
        <v>4</v>
      </c>
      <c r="AE177" s="32"/>
      <c r="AF177" s="31">
        <f>112.5+42.96/2</f>
        <v>133.97999999999999</v>
      </c>
      <c r="AG177" s="31"/>
      <c r="AH177" s="31"/>
      <c r="AI177" s="31"/>
      <c r="AJ177" s="31">
        <v>40</v>
      </c>
      <c r="AK177" s="33"/>
      <c r="AL177" s="33">
        <v>801.7</v>
      </c>
      <c r="AM177" s="33">
        <f>+(112.5+42.86+40)/AL177</f>
        <v>0.2436821753773232</v>
      </c>
      <c r="AN177" s="33">
        <f>+(AF177+AJ177)/AL177</f>
        <v>0.2170138455781464</v>
      </c>
      <c r="AO177" s="33"/>
      <c r="AP177" s="33">
        <f>+(67063*6+4*53635+40232*7+4*26825)/21*AJ177</f>
        <v>1915889.5238095238</v>
      </c>
      <c r="AQ177" s="34"/>
      <c r="AR177" s="100" t="s">
        <v>115</v>
      </c>
      <c r="AS177" s="34" t="s">
        <v>900</v>
      </c>
      <c r="AT177" s="35"/>
      <c r="AU177" s="36"/>
      <c r="AV177" s="102">
        <v>45264</v>
      </c>
      <c r="AW177" s="38"/>
      <c r="AX177" s="38"/>
      <c r="AY177" s="38"/>
      <c r="AZ177" s="38"/>
      <c r="BA177" s="38"/>
      <c r="BB177" s="38"/>
      <c r="BC177" s="38"/>
      <c r="BD177" s="38"/>
      <c r="BE177" s="38"/>
      <c r="BF177" s="38"/>
      <c r="BG177" s="38"/>
      <c r="BH177" s="39"/>
      <c r="BI177" s="39"/>
      <c r="BJ177" s="39"/>
      <c r="BK177" s="39"/>
      <c r="BL177" s="39"/>
      <c r="BM177" s="39"/>
      <c r="BN177" s="39"/>
      <c r="BO177" s="39"/>
      <c r="BP177" s="39"/>
      <c r="BQ177" s="39"/>
      <c r="BR177" s="39"/>
      <c r="BS177" s="39"/>
      <c r="BT177" s="39"/>
      <c r="BU177" s="39"/>
      <c r="BV177" s="39"/>
      <c r="BW177" s="39"/>
      <c r="IQ177" s="39"/>
      <c r="IR177" s="39"/>
      <c r="IS177" s="39"/>
      <c r="IT177" s="39"/>
      <c r="IU177" s="39"/>
      <c r="IV177" s="39"/>
      <c r="IW177" s="39"/>
    </row>
    <row r="178" spans="2:257" s="25" customFormat="1" ht="51">
      <c r="B178" s="49">
        <v>173</v>
      </c>
      <c r="C178" s="97">
        <v>555879</v>
      </c>
      <c r="D178" s="98">
        <v>45188</v>
      </c>
      <c r="E178" s="99" t="s">
        <v>65</v>
      </c>
      <c r="F178" s="30">
        <v>26227</v>
      </c>
      <c r="G178" s="30">
        <v>192</v>
      </c>
      <c r="H178" s="30">
        <v>4340</v>
      </c>
      <c r="I178" s="31"/>
      <c r="J178" s="31"/>
      <c r="K178" s="79">
        <v>90</v>
      </c>
      <c r="L178" s="31">
        <v>2</v>
      </c>
      <c r="M178" s="79" t="s">
        <v>40</v>
      </c>
      <c r="N178" s="31" t="s">
        <v>901</v>
      </c>
      <c r="O178" s="31" t="s">
        <v>902</v>
      </c>
      <c r="P178" s="79"/>
      <c r="Q178" s="31" t="s">
        <v>474</v>
      </c>
      <c r="R178" s="31" t="s">
        <v>474</v>
      </c>
      <c r="S178" s="31" t="s">
        <v>474</v>
      </c>
      <c r="T178" s="31" t="s">
        <v>902</v>
      </c>
      <c r="U178" s="31"/>
      <c r="V178" s="31">
        <f>1+1+1</f>
        <v>3</v>
      </c>
      <c r="W178" s="31"/>
      <c r="X178" s="31"/>
      <c r="Y178" s="31" t="s">
        <v>903</v>
      </c>
      <c r="Z178" s="32"/>
      <c r="AA178" s="32">
        <f>2+3</f>
        <v>5</v>
      </c>
      <c r="AB178" s="32"/>
      <c r="AC178" s="32">
        <f>+AA178+1+1</f>
        <v>7</v>
      </c>
      <c r="AD178" s="32"/>
      <c r="AE178" s="32">
        <f>+AA178*2</f>
        <v>10</v>
      </c>
      <c r="AF178" s="31"/>
      <c r="AG178" s="31"/>
      <c r="AH178" s="31"/>
      <c r="AI178" s="31"/>
      <c r="AJ178" s="31">
        <f>173.87+61.79/2</f>
        <v>204.76500000000001</v>
      </c>
      <c r="AK178" s="33">
        <v>42.61</v>
      </c>
      <c r="AL178" s="33">
        <v>235.25</v>
      </c>
      <c r="AM178" s="33">
        <f>+(42.61+42.44+37.73+19.35)/AL178</f>
        <v>0.60416578108395325</v>
      </c>
      <c r="AN178" s="33">
        <f>+(AJ178+AK178)/AL178</f>
        <v>1.0515409139213603</v>
      </c>
      <c r="AO178" s="33"/>
      <c r="AP178" s="33">
        <f>+(AK178*53635)+((2*67063+53635*14+5*40232+2*26825)/23*AJ178)</f>
        <v>12433059.997391304</v>
      </c>
      <c r="AQ178" s="34">
        <v>56367.89</v>
      </c>
      <c r="AR178" s="100" t="s">
        <v>77</v>
      </c>
      <c r="AS178" s="34" t="s">
        <v>904</v>
      </c>
      <c r="AT178" s="35">
        <v>45271</v>
      </c>
      <c r="AU178" s="36"/>
      <c r="AV178" s="102">
        <v>45190</v>
      </c>
      <c r="AW178" s="38"/>
      <c r="AX178" s="38"/>
      <c r="AY178" s="38"/>
      <c r="AZ178" s="38"/>
      <c r="BA178" s="38"/>
      <c r="BB178" s="38"/>
      <c r="BC178" s="38"/>
      <c r="BD178" s="38"/>
      <c r="BE178" s="38"/>
      <c r="BF178" s="38"/>
      <c r="BG178" s="38"/>
      <c r="BH178" s="39"/>
      <c r="BI178" s="39"/>
      <c r="BJ178" s="39"/>
      <c r="BK178" s="39"/>
      <c r="BL178" s="39"/>
      <c r="BM178" s="39"/>
      <c r="BN178" s="39"/>
      <c r="BO178" s="39"/>
      <c r="BP178" s="39"/>
      <c r="BQ178" s="39"/>
      <c r="BR178" s="39"/>
      <c r="BS178" s="39"/>
      <c r="BT178" s="39"/>
      <c r="BU178" s="39"/>
      <c r="BV178" s="39"/>
      <c r="BW178" s="39"/>
      <c r="IQ178" s="39"/>
      <c r="IR178" s="39"/>
      <c r="IS178" s="39"/>
      <c r="IT178" s="39"/>
      <c r="IU178" s="39"/>
      <c r="IV178" s="39"/>
      <c r="IW178" s="39"/>
    </row>
    <row r="179" spans="2:257" s="25" customFormat="1" ht="51">
      <c r="B179" s="49">
        <v>174</v>
      </c>
      <c r="C179" s="97">
        <v>557603</v>
      </c>
      <c r="D179" s="98">
        <v>45243</v>
      </c>
      <c r="E179" s="99" t="s">
        <v>117</v>
      </c>
      <c r="F179" s="30">
        <v>41587</v>
      </c>
      <c r="G179" s="30">
        <v>139873</v>
      </c>
      <c r="H179" s="30">
        <v>31784</v>
      </c>
      <c r="I179" s="31">
        <v>3</v>
      </c>
      <c r="J179" s="31"/>
      <c r="K179" s="79">
        <v>6</v>
      </c>
      <c r="L179" s="31">
        <v>7</v>
      </c>
      <c r="M179" s="79" t="s">
        <v>66</v>
      </c>
      <c r="N179" s="31" t="s">
        <v>789</v>
      </c>
      <c r="O179" s="31" t="s">
        <v>905</v>
      </c>
      <c r="P179" s="79"/>
      <c r="Q179" s="79" t="s">
        <v>906</v>
      </c>
      <c r="R179" s="79"/>
      <c r="S179" s="79"/>
      <c r="T179" s="31" t="s">
        <v>907</v>
      </c>
      <c r="U179" s="31"/>
      <c r="V179" s="31"/>
      <c r="W179" s="31">
        <v>1</v>
      </c>
      <c r="X179" s="31"/>
      <c r="Y179" s="31" t="s">
        <v>908</v>
      </c>
      <c r="Z179" s="32"/>
      <c r="AA179" s="32"/>
      <c r="AB179" s="32"/>
      <c r="AC179" s="32"/>
      <c r="AD179" s="32"/>
      <c r="AE179" s="32"/>
      <c r="AF179" s="31">
        <f>93.6+45.4/2</f>
        <v>116.3</v>
      </c>
      <c r="AG179" s="31"/>
      <c r="AH179" s="31"/>
      <c r="AI179" s="31"/>
      <c r="AJ179" s="31"/>
      <c r="AK179" s="33"/>
      <c r="AL179" s="33">
        <v>803.89</v>
      </c>
      <c r="AM179" s="33">
        <f>+(93.6+45.4)/AL179</f>
        <v>0.17290922887459728</v>
      </c>
      <c r="AN179" s="33">
        <f>+AF179/AL179</f>
        <v>0.14467153466270261</v>
      </c>
      <c r="AO179" s="33"/>
      <c r="AP179" s="33">
        <v>2100000</v>
      </c>
      <c r="AQ179" s="34">
        <v>110753</v>
      </c>
      <c r="AR179" s="100" t="s">
        <v>57</v>
      </c>
      <c r="AS179" s="34" t="s">
        <v>909</v>
      </c>
      <c r="AT179" s="35">
        <v>45287</v>
      </c>
      <c r="AU179" s="36"/>
      <c r="AV179" s="102">
        <v>45246</v>
      </c>
      <c r="AW179" s="38"/>
      <c r="AX179" s="38"/>
      <c r="AY179" s="38"/>
      <c r="AZ179" s="38"/>
      <c r="BA179" s="38"/>
      <c r="BB179" s="38"/>
      <c r="BC179" s="38"/>
      <c r="BD179" s="38"/>
      <c r="BE179" s="38"/>
      <c r="BF179" s="38"/>
      <c r="BG179" s="38"/>
      <c r="BH179" s="39"/>
      <c r="BI179" s="39"/>
      <c r="BJ179" s="39"/>
      <c r="BK179" s="39"/>
      <c r="BL179" s="39"/>
      <c r="BM179" s="39"/>
      <c r="BN179" s="39"/>
      <c r="BO179" s="39"/>
      <c r="BP179" s="39"/>
      <c r="BQ179" s="39"/>
      <c r="BR179" s="39"/>
      <c r="BS179" s="39"/>
      <c r="BT179" s="39"/>
      <c r="BU179" s="39"/>
      <c r="BV179" s="39"/>
      <c r="BW179" s="39"/>
      <c r="IQ179" s="39"/>
      <c r="IR179" s="39"/>
      <c r="IS179" s="39"/>
      <c r="IT179" s="39"/>
      <c r="IU179" s="39"/>
      <c r="IV179" s="39"/>
      <c r="IW179" s="39"/>
    </row>
    <row r="180" spans="2:257" s="25" customFormat="1" ht="38.25">
      <c r="B180" s="49">
        <v>175</v>
      </c>
      <c r="C180" s="97" t="s">
        <v>910</v>
      </c>
      <c r="D180" s="98">
        <v>45208</v>
      </c>
      <c r="E180" s="99" t="s">
        <v>65</v>
      </c>
      <c r="F180" s="30">
        <v>57768</v>
      </c>
      <c r="G180" s="30">
        <v>166345</v>
      </c>
      <c r="H180" s="30">
        <v>10352</v>
      </c>
      <c r="I180" s="31"/>
      <c r="J180" s="31"/>
      <c r="K180" s="79">
        <v>189</v>
      </c>
      <c r="L180" s="31">
        <v>19</v>
      </c>
      <c r="M180" s="79" t="s">
        <v>96</v>
      </c>
      <c r="N180" s="79" t="s">
        <v>911</v>
      </c>
      <c r="O180" s="31" t="s">
        <v>912</v>
      </c>
      <c r="P180" s="79"/>
      <c r="Q180" s="31" t="s">
        <v>452</v>
      </c>
      <c r="R180" s="31" t="s">
        <v>452</v>
      </c>
      <c r="S180" s="31" t="s">
        <v>452</v>
      </c>
      <c r="T180" s="31" t="s">
        <v>70</v>
      </c>
      <c r="U180" s="31"/>
      <c r="V180" s="31">
        <v>3</v>
      </c>
      <c r="W180" s="31"/>
      <c r="X180" s="31"/>
      <c r="Y180" s="31" t="s">
        <v>913</v>
      </c>
      <c r="Z180" s="32">
        <f>2*V180</f>
        <v>6</v>
      </c>
      <c r="AA180" s="32"/>
      <c r="AB180" s="32">
        <f>+Z180+1*V180</f>
        <v>9</v>
      </c>
      <c r="AC180" s="32"/>
      <c r="AD180" s="32">
        <f>+Z180*2</f>
        <v>12</v>
      </c>
      <c r="AE180" s="32"/>
      <c r="AF180" s="31"/>
      <c r="AG180" s="31"/>
      <c r="AH180" s="31"/>
      <c r="AI180" s="31"/>
      <c r="AJ180" s="31">
        <f>121.73+59.68/2+162.06</f>
        <v>313.63</v>
      </c>
      <c r="AK180" s="33"/>
      <c r="AL180" s="33">
        <v>300.83999999999997</v>
      </c>
      <c r="AM180" s="33">
        <f>+(121.73+58.68)/AL180</f>
        <v>0.59968754155032578</v>
      </c>
      <c r="AN180" s="33">
        <f>+AJ180/AL180</f>
        <v>1.0425142933120597</v>
      </c>
      <c r="AO180" s="33"/>
      <c r="AP180" s="33">
        <f>+(6*67063+5*53635+9*40232+2*26825)/22*AJ180</f>
        <v>15486065.742272727</v>
      </c>
      <c r="AQ180" s="34">
        <v>60723.44</v>
      </c>
      <c r="AR180" s="100" t="s">
        <v>57</v>
      </c>
      <c r="AS180" s="34" t="s">
        <v>914</v>
      </c>
      <c r="AT180" s="35">
        <v>45271</v>
      </c>
      <c r="AU180" s="36"/>
      <c r="AV180" s="102"/>
      <c r="AW180" s="38"/>
      <c r="AX180" s="38"/>
      <c r="AY180" s="38"/>
      <c r="AZ180" s="38"/>
      <c r="BA180" s="38"/>
      <c r="BB180" s="38"/>
      <c r="BC180" s="38"/>
      <c r="BD180" s="38"/>
      <c r="BE180" s="38"/>
      <c r="BF180" s="38"/>
      <c r="BG180" s="38"/>
      <c r="BH180" s="39"/>
      <c r="BI180" s="39"/>
      <c r="BJ180" s="39"/>
      <c r="BK180" s="39"/>
      <c r="BL180" s="39"/>
      <c r="BM180" s="39"/>
      <c r="BN180" s="39"/>
      <c r="BO180" s="39"/>
      <c r="BP180" s="39"/>
      <c r="BQ180" s="39"/>
      <c r="BR180" s="39"/>
      <c r="BS180" s="39"/>
      <c r="BT180" s="39"/>
      <c r="BU180" s="39"/>
      <c r="BV180" s="39"/>
      <c r="BW180" s="39"/>
      <c r="IQ180" s="39"/>
      <c r="IR180" s="39"/>
      <c r="IS180" s="39"/>
      <c r="IT180" s="39"/>
      <c r="IU180" s="39"/>
      <c r="IV180" s="39"/>
      <c r="IW180" s="39"/>
    </row>
    <row r="181" spans="2:257" s="25" customFormat="1" ht="38.25">
      <c r="B181" s="49">
        <v>176</v>
      </c>
      <c r="C181" s="97" t="s">
        <v>915</v>
      </c>
      <c r="D181" s="98">
        <v>45187</v>
      </c>
      <c r="E181" s="99" t="s">
        <v>46</v>
      </c>
      <c r="F181" s="30">
        <v>43436</v>
      </c>
      <c r="G181" s="30">
        <v>141283</v>
      </c>
      <c r="H181" s="30">
        <v>8812</v>
      </c>
      <c r="I181" s="31"/>
      <c r="J181" s="31"/>
      <c r="K181" s="79">
        <v>276</v>
      </c>
      <c r="L181" s="31">
        <v>7</v>
      </c>
      <c r="M181" s="79" t="s">
        <v>66</v>
      </c>
      <c r="N181" s="31" t="s">
        <v>916</v>
      </c>
      <c r="O181" s="31" t="s">
        <v>917</v>
      </c>
      <c r="P181" s="79"/>
      <c r="Q181" s="31" t="s">
        <v>620</v>
      </c>
      <c r="R181" s="31"/>
      <c r="S181" s="31"/>
      <c r="T181" s="31"/>
      <c r="U181" s="31"/>
      <c r="V181" s="31"/>
      <c r="W181" s="31">
        <v>1</v>
      </c>
      <c r="X181" s="31"/>
      <c r="Y181" s="31" t="s">
        <v>469</v>
      </c>
      <c r="Z181" s="32"/>
      <c r="AA181" s="32"/>
      <c r="AB181" s="32"/>
      <c r="AC181" s="32"/>
      <c r="AD181" s="32"/>
      <c r="AE181" s="32"/>
      <c r="AF181" s="111"/>
      <c r="AG181" s="31">
        <v>437.4</v>
      </c>
      <c r="AH181" s="31"/>
      <c r="AI181" s="31">
        <f>3.2+221.33</f>
        <v>224.53</v>
      </c>
      <c r="AJ181" s="31"/>
      <c r="AK181" s="33"/>
      <c r="AL181" s="112">
        <v>1341.08</v>
      </c>
      <c r="AM181" s="33">
        <f>+(437.4+3.2)/AL181</f>
        <v>0.32854117576878333</v>
      </c>
      <c r="AN181" s="33">
        <f>+(AG181+AI181)/AL181</f>
        <v>0.49357980135413249</v>
      </c>
      <c r="AO181" s="33"/>
      <c r="AP181" s="33">
        <v>16149950</v>
      </c>
      <c r="AQ181" s="34">
        <v>235926.29</v>
      </c>
      <c r="AR181" s="100" t="s">
        <v>77</v>
      </c>
      <c r="AS181" s="113" t="s">
        <v>918</v>
      </c>
      <c r="AT181" s="35">
        <v>45271</v>
      </c>
      <c r="AU181" s="36"/>
      <c r="AV181" s="102">
        <v>45264</v>
      </c>
      <c r="AW181" s="38"/>
      <c r="AX181" s="38"/>
      <c r="AY181" s="38"/>
      <c r="AZ181" s="38"/>
      <c r="BA181" s="38"/>
      <c r="BB181" s="38"/>
      <c r="BC181" s="38"/>
      <c r="BD181" s="38"/>
      <c r="BE181" s="38"/>
      <c r="BF181" s="38"/>
      <c r="BG181" s="38"/>
      <c r="BH181" s="39"/>
      <c r="BI181" s="39"/>
      <c r="BJ181" s="39"/>
      <c r="BK181" s="39"/>
      <c r="BL181" s="39"/>
      <c r="BM181" s="39"/>
      <c r="BN181" s="39"/>
      <c r="BO181" s="39"/>
      <c r="BP181" s="39"/>
      <c r="BQ181" s="39"/>
      <c r="BR181" s="39"/>
      <c r="BS181" s="39"/>
      <c r="BT181" s="39"/>
      <c r="BU181" s="39"/>
      <c r="BV181" s="39"/>
      <c r="BW181" s="39"/>
      <c r="IQ181" s="39"/>
      <c r="IR181" s="39"/>
      <c r="IS181" s="39"/>
      <c r="IT181" s="39"/>
      <c r="IU181" s="39"/>
      <c r="IV181" s="39"/>
      <c r="IW181" s="39"/>
    </row>
    <row r="182" spans="2:257" s="25" customFormat="1" ht="63.75">
      <c r="B182" s="49">
        <v>177</v>
      </c>
      <c r="C182" s="97" t="s">
        <v>919</v>
      </c>
      <c r="D182" s="98">
        <v>45217</v>
      </c>
      <c r="E182" s="99" t="s">
        <v>46</v>
      </c>
      <c r="F182" s="30">
        <v>58342</v>
      </c>
      <c r="G182" s="30">
        <v>158364</v>
      </c>
      <c r="H182" s="30">
        <v>31951</v>
      </c>
      <c r="I182" s="31">
        <v>160</v>
      </c>
      <c r="J182" s="31"/>
      <c r="K182" s="79"/>
      <c r="L182" s="31">
        <v>7</v>
      </c>
      <c r="M182" s="79" t="s">
        <v>920</v>
      </c>
      <c r="N182" s="31" t="s">
        <v>89</v>
      </c>
      <c r="O182" s="31" t="s">
        <v>921</v>
      </c>
      <c r="P182" s="79"/>
      <c r="Q182" s="79" t="s">
        <v>428</v>
      </c>
      <c r="R182" s="79"/>
      <c r="S182" s="79"/>
      <c r="T182" s="31"/>
      <c r="U182" s="31">
        <f>1+1</f>
        <v>2</v>
      </c>
      <c r="V182" s="31"/>
      <c r="W182" s="31"/>
      <c r="X182" s="31"/>
      <c r="Y182" s="31" t="s">
        <v>44</v>
      </c>
      <c r="Z182" s="32">
        <f>2+2+2+1+1</f>
        <v>8</v>
      </c>
      <c r="AA182" s="32"/>
      <c r="AB182" s="32">
        <f>1+1+1+Z182</f>
        <v>11</v>
      </c>
      <c r="AC182" s="32"/>
      <c r="AD182" s="32">
        <f>+Z182*2</f>
        <v>16</v>
      </c>
      <c r="AE182" s="32"/>
      <c r="AF182" s="31">
        <f>134.22+73.12/2</f>
        <v>170.78</v>
      </c>
      <c r="AG182" s="31"/>
      <c r="AH182" s="31">
        <f>61.16+14.4/2</f>
        <v>68.36</v>
      </c>
      <c r="AI182" s="31"/>
      <c r="AJ182" s="31"/>
      <c r="AK182" s="33"/>
      <c r="AL182" s="33">
        <v>3000</v>
      </c>
      <c r="AM182" s="33">
        <f>+(134.22+73.12+61.16+14.4)/AL182</f>
        <v>9.4299999999999995E-2</v>
      </c>
      <c r="AN182" s="33">
        <f>+(AF182+AH182)/AL182</f>
        <v>7.971333333333333E-2</v>
      </c>
      <c r="AO182" s="33"/>
      <c r="AP182" s="33">
        <f>+(6*53634+40232*6+26825*8)/20*AH182</f>
        <v>2658506.7280000001</v>
      </c>
      <c r="AQ182" s="34">
        <v>43663.93</v>
      </c>
      <c r="AR182" s="100" t="s">
        <v>57</v>
      </c>
      <c r="AS182" s="34" t="s">
        <v>922</v>
      </c>
      <c r="AT182" s="35">
        <v>45271</v>
      </c>
      <c r="AU182" s="36"/>
      <c r="AV182" s="102">
        <v>45237</v>
      </c>
      <c r="AW182" s="38"/>
      <c r="AX182" s="38"/>
      <c r="AY182" s="38"/>
      <c r="AZ182" s="38"/>
      <c r="BA182" s="38"/>
      <c r="BB182" s="38"/>
      <c r="BC182" s="38"/>
      <c r="BD182" s="38"/>
      <c r="BE182" s="38"/>
      <c r="BF182" s="38"/>
      <c r="BG182" s="38"/>
      <c r="BH182" s="39"/>
      <c r="BI182" s="39"/>
      <c r="BJ182" s="39"/>
      <c r="BK182" s="39"/>
      <c r="BL182" s="39"/>
      <c r="BM182" s="39"/>
      <c r="BN182" s="39"/>
      <c r="BO182" s="39"/>
      <c r="BP182" s="39"/>
      <c r="BQ182" s="39"/>
      <c r="BR182" s="39"/>
      <c r="BS182" s="39"/>
      <c r="BT182" s="39"/>
      <c r="BU182" s="39"/>
      <c r="BV182" s="39"/>
      <c r="BW182" s="39"/>
      <c r="IQ182" s="39"/>
      <c r="IR182" s="39"/>
      <c r="IS182" s="39"/>
      <c r="IT182" s="39"/>
      <c r="IU182" s="39"/>
      <c r="IV182" s="39"/>
      <c r="IW182" s="39"/>
    </row>
    <row r="183" spans="2:257" s="25" customFormat="1" ht="76.5">
      <c r="B183" s="49">
        <v>178</v>
      </c>
      <c r="C183" s="97" t="s">
        <v>794</v>
      </c>
      <c r="D183" s="98">
        <v>45169</v>
      </c>
      <c r="E183" s="99" t="s">
        <v>46</v>
      </c>
      <c r="F183" s="30">
        <v>52945</v>
      </c>
      <c r="G183" s="30">
        <v>159694</v>
      </c>
      <c r="H183" s="30">
        <v>32641</v>
      </c>
      <c r="I183" s="31">
        <v>225</v>
      </c>
      <c r="J183" s="31"/>
      <c r="K183" s="79">
        <v>7</v>
      </c>
      <c r="L183" s="31">
        <v>2</v>
      </c>
      <c r="M183" s="79" t="s">
        <v>206</v>
      </c>
      <c r="N183" s="31" t="s">
        <v>89</v>
      </c>
      <c r="O183" s="31" t="s">
        <v>923</v>
      </c>
      <c r="P183" s="79"/>
      <c r="Q183" s="31" t="s">
        <v>924</v>
      </c>
      <c r="R183" s="31"/>
      <c r="S183" s="31"/>
      <c r="T183" s="31"/>
      <c r="U183" s="31">
        <f>2+1</f>
        <v>3</v>
      </c>
      <c r="V183" s="31"/>
      <c r="W183" s="31"/>
      <c r="X183" s="31"/>
      <c r="Y183" s="31" t="s">
        <v>44</v>
      </c>
      <c r="Z183" s="32">
        <f>1+1+2</f>
        <v>4</v>
      </c>
      <c r="AA183" s="32"/>
      <c r="AB183" s="32">
        <f>1+1+1+Z183</f>
        <v>7</v>
      </c>
      <c r="AC183" s="32"/>
      <c r="AD183" s="32">
        <f>+Z183*2</f>
        <v>8</v>
      </c>
      <c r="AE183" s="32"/>
      <c r="AF183" s="31">
        <f>63.5+2.44/2</f>
        <v>64.72</v>
      </c>
      <c r="AG183" s="31"/>
      <c r="AH183" s="31">
        <f>85.91+5.98/2</f>
        <v>88.899999999999991</v>
      </c>
      <c r="AI183" s="31"/>
      <c r="AJ183" s="31"/>
      <c r="AK183" s="33"/>
      <c r="AL183" s="33">
        <v>596.08000000000004</v>
      </c>
      <c r="AM183" s="33">
        <f>+(63.5+2.44+85.91+5.98)/AL183</f>
        <v>0.26477989531606494</v>
      </c>
      <c r="AN183" s="33">
        <f>+(AH183+AF183)/AL183</f>
        <v>0.25771708495503959</v>
      </c>
      <c r="AO183" s="33"/>
      <c r="AP183" s="33">
        <v>3583877</v>
      </c>
      <c r="AQ183" s="34">
        <v>238862.07999999999</v>
      </c>
      <c r="AR183" s="100" t="s">
        <v>57</v>
      </c>
      <c r="AS183" s="34" t="s">
        <v>925</v>
      </c>
      <c r="AT183" s="35">
        <v>45271</v>
      </c>
      <c r="AU183" s="36"/>
      <c r="AV183" s="102">
        <v>45211</v>
      </c>
      <c r="AW183" s="38"/>
      <c r="AX183" s="38"/>
      <c r="AY183" s="38"/>
      <c r="AZ183" s="38"/>
      <c r="BA183" s="38"/>
      <c r="BB183" s="38"/>
      <c r="BC183" s="38"/>
      <c r="BD183" s="38"/>
      <c r="BE183" s="38"/>
      <c r="BF183" s="38"/>
      <c r="BG183" s="38"/>
      <c r="BH183" s="39"/>
      <c r="BI183" s="39"/>
      <c r="BJ183" s="39"/>
      <c r="BK183" s="39"/>
      <c r="BL183" s="39"/>
      <c r="BM183" s="39"/>
      <c r="BN183" s="39"/>
      <c r="BO183" s="39"/>
      <c r="BP183" s="39"/>
      <c r="BQ183" s="39"/>
      <c r="BR183" s="39"/>
      <c r="BS183" s="39"/>
      <c r="BT183" s="39"/>
      <c r="BU183" s="39"/>
      <c r="BV183" s="39"/>
      <c r="BW183" s="39"/>
      <c r="IQ183" s="39"/>
      <c r="IR183" s="39"/>
      <c r="IS183" s="39"/>
      <c r="IT183" s="39"/>
      <c r="IU183" s="39"/>
      <c r="IV183" s="39"/>
      <c r="IW183" s="39"/>
    </row>
    <row r="184" spans="2:257" s="25" customFormat="1" ht="102">
      <c r="B184" s="193">
        <v>179</v>
      </c>
      <c r="C184" s="194" t="s">
        <v>926</v>
      </c>
      <c r="D184" s="195">
        <v>45149</v>
      </c>
      <c r="E184" s="187" t="s">
        <v>310</v>
      </c>
      <c r="F184" s="30" t="s">
        <v>927</v>
      </c>
      <c r="G184" s="30"/>
      <c r="H184" s="30">
        <v>360</v>
      </c>
      <c r="I184" s="31"/>
      <c r="J184" s="31"/>
      <c r="K184" s="79">
        <v>20</v>
      </c>
      <c r="L184" s="31">
        <v>8</v>
      </c>
      <c r="M184" s="79" t="s">
        <v>40</v>
      </c>
      <c r="N184" s="31" t="s">
        <v>928</v>
      </c>
      <c r="O184" s="31" t="s">
        <v>929</v>
      </c>
      <c r="P184" s="79" t="s">
        <v>930</v>
      </c>
      <c r="Q184" s="31" t="s">
        <v>246</v>
      </c>
      <c r="R184" s="31"/>
      <c r="S184" s="31"/>
      <c r="T184" s="31"/>
      <c r="U184" s="31">
        <v>11</v>
      </c>
      <c r="V184" s="31"/>
      <c r="W184" s="31"/>
      <c r="X184" s="31"/>
      <c r="Y184" s="31" t="s">
        <v>931</v>
      </c>
      <c r="Z184" s="32">
        <f>2*2+1*9</f>
        <v>13</v>
      </c>
      <c r="AA184" s="32"/>
      <c r="AB184" s="32">
        <f>+Z184+9+2</f>
        <v>24</v>
      </c>
      <c r="AC184" s="32"/>
      <c r="AD184" s="32">
        <f>+Z184*2</f>
        <v>26</v>
      </c>
      <c r="AE184" s="32"/>
      <c r="AF184" s="31">
        <f>113.414+97.12/2+434.61+121.854/2+144.085+41.402/2+24.19+15.24/2</f>
        <v>854.1070000000002</v>
      </c>
      <c r="AG184" s="31"/>
      <c r="AH184" s="31"/>
      <c r="AI184" s="31"/>
      <c r="AJ184" s="31"/>
      <c r="AK184" s="33"/>
      <c r="AL184" s="33">
        <v>279.29000000000002</v>
      </c>
      <c r="AM184" s="33">
        <f>+(113.414+97.12)/AL184</f>
        <v>0.75381861147910767</v>
      </c>
      <c r="AN184" s="33">
        <f>+AF184/AL184</f>
        <v>3.058136703784597</v>
      </c>
      <c r="AO184" s="33"/>
      <c r="AP184" s="188">
        <v>3450000</v>
      </c>
      <c r="AQ184" s="117">
        <v>60302</v>
      </c>
      <c r="AR184" s="188" t="s">
        <v>57</v>
      </c>
      <c r="AS184" s="34" t="s">
        <v>932</v>
      </c>
      <c r="AT184" s="35">
        <v>45273</v>
      </c>
      <c r="AU184" s="36"/>
      <c r="AV184" s="102">
        <v>45266</v>
      </c>
      <c r="AW184" s="38"/>
      <c r="AX184" s="38"/>
      <c r="AY184" s="38"/>
      <c r="AZ184" s="38"/>
      <c r="BA184" s="38"/>
      <c r="BB184" s="38"/>
      <c r="BC184" s="38"/>
      <c r="BD184" s="38"/>
      <c r="BE184" s="38"/>
      <c r="BF184" s="38"/>
      <c r="BG184" s="38"/>
      <c r="BH184" s="39"/>
      <c r="BI184" s="39"/>
      <c r="BJ184" s="39"/>
      <c r="BK184" s="39"/>
      <c r="BL184" s="39"/>
      <c r="BM184" s="39"/>
      <c r="BN184" s="39"/>
      <c r="BO184" s="39"/>
      <c r="BP184" s="39"/>
      <c r="BQ184" s="39"/>
      <c r="BR184" s="39"/>
      <c r="BS184" s="39"/>
      <c r="BT184" s="39"/>
      <c r="BU184" s="39"/>
      <c r="BV184" s="39"/>
      <c r="BW184" s="39"/>
      <c r="IQ184" s="39"/>
      <c r="IR184" s="39"/>
      <c r="IS184" s="39"/>
      <c r="IT184" s="39"/>
      <c r="IU184" s="39"/>
      <c r="IV184" s="39"/>
      <c r="IW184" s="39"/>
    </row>
    <row r="185" spans="2:257" s="25" customFormat="1" ht="12.75">
      <c r="B185" s="193"/>
      <c r="C185" s="97"/>
      <c r="D185" s="196"/>
      <c r="E185" s="191"/>
      <c r="F185" s="30"/>
      <c r="G185" s="30"/>
      <c r="H185" s="30"/>
      <c r="I185" s="31"/>
      <c r="J185" s="31"/>
      <c r="K185" s="116"/>
      <c r="L185" s="31"/>
      <c r="M185" s="116"/>
      <c r="N185" s="31"/>
      <c r="O185" s="117"/>
      <c r="P185" s="79"/>
      <c r="Q185" s="117"/>
      <c r="R185" s="79"/>
      <c r="S185" s="79"/>
      <c r="T185" s="31"/>
      <c r="U185" s="31"/>
      <c r="V185" s="31"/>
      <c r="W185" s="31"/>
      <c r="X185" s="31"/>
      <c r="Y185" s="31"/>
      <c r="Z185" s="32"/>
      <c r="AA185" s="32"/>
      <c r="AB185" s="32"/>
      <c r="AC185" s="32"/>
      <c r="AD185" s="32"/>
      <c r="AE185" s="32"/>
      <c r="AF185" s="31"/>
      <c r="AG185" s="31"/>
      <c r="AH185" s="31">
        <v>0</v>
      </c>
      <c r="AI185" s="31"/>
      <c r="AJ185" s="31"/>
      <c r="AK185" s="33"/>
      <c r="AL185" s="33">
        <v>55.72</v>
      </c>
      <c r="AM185" s="33"/>
      <c r="AN185" s="33"/>
      <c r="AO185" s="33"/>
      <c r="AP185" s="100"/>
      <c r="AQ185" s="79"/>
      <c r="AR185" s="100"/>
      <c r="AS185" s="34"/>
      <c r="AT185" s="35"/>
      <c r="AU185" s="36"/>
      <c r="AV185" s="102"/>
      <c r="AW185" s="38"/>
      <c r="AX185" s="38"/>
      <c r="AY185" s="38"/>
      <c r="AZ185" s="38"/>
      <c r="BA185" s="38"/>
      <c r="BB185" s="38"/>
      <c r="BC185" s="38"/>
      <c r="BD185" s="38"/>
      <c r="BE185" s="38"/>
      <c r="BF185" s="38"/>
      <c r="BG185" s="38"/>
      <c r="BH185" s="39"/>
      <c r="BI185" s="39"/>
      <c r="BJ185" s="39"/>
      <c r="BK185" s="39"/>
      <c r="BL185" s="39"/>
      <c r="BM185" s="39"/>
      <c r="BN185" s="39"/>
      <c r="BO185" s="39"/>
      <c r="BP185" s="39"/>
      <c r="BQ185" s="39"/>
      <c r="BR185" s="39"/>
      <c r="BS185" s="39"/>
      <c r="BT185" s="39"/>
      <c r="BU185" s="39"/>
      <c r="BV185" s="39"/>
      <c r="BW185" s="39"/>
      <c r="IQ185" s="39"/>
      <c r="IR185" s="39"/>
      <c r="IS185" s="39"/>
      <c r="IT185" s="39"/>
      <c r="IU185" s="39"/>
      <c r="IV185" s="39"/>
      <c r="IW185" s="39"/>
    </row>
    <row r="186" spans="2:257" s="25" customFormat="1" ht="38.25">
      <c r="B186" s="193">
        <v>180</v>
      </c>
      <c r="C186" s="194" t="s">
        <v>933</v>
      </c>
      <c r="D186" s="195">
        <v>45202</v>
      </c>
      <c r="E186" s="187" t="s">
        <v>65</v>
      </c>
      <c r="F186" s="30">
        <v>19899</v>
      </c>
      <c r="G186" s="30">
        <v>109585</v>
      </c>
      <c r="H186" s="30">
        <v>5118</v>
      </c>
      <c r="I186" s="31"/>
      <c r="J186" s="31"/>
      <c r="K186" s="117">
        <v>579</v>
      </c>
      <c r="L186" s="31">
        <v>19</v>
      </c>
      <c r="M186" s="117" t="s">
        <v>96</v>
      </c>
      <c r="N186" s="16" t="s">
        <v>934</v>
      </c>
      <c r="O186" s="117" t="s">
        <v>935</v>
      </c>
      <c r="P186" s="79"/>
      <c r="Q186" s="117" t="s">
        <v>428</v>
      </c>
      <c r="R186" s="117" t="s">
        <v>428</v>
      </c>
      <c r="S186" s="117" t="s">
        <v>428</v>
      </c>
      <c r="T186" s="117" t="s">
        <v>936</v>
      </c>
      <c r="U186" s="31"/>
      <c r="V186" s="31">
        <v>1</v>
      </c>
      <c r="W186" s="31"/>
      <c r="X186" s="31"/>
      <c r="Y186" s="31" t="s">
        <v>937</v>
      </c>
      <c r="Z186" s="32"/>
      <c r="AA186" s="32">
        <v>1</v>
      </c>
      <c r="AB186" s="32"/>
      <c r="AC186" s="32">
        <f>+AA186+1</f>
        <v>2</v>
      </c>
      <c r="AD186" s="32"/>
      <c r="AE186" s="32">
        <f>+AA186*2</f>
        <v>2</v>
      </c>
      <c r="AF186" s="31"/>
      <c r="AG186" s="31"/>
      <c r="AH186" s="31"/>
      <c r="AI186" s="31"/>
      <c r="AJ186" s="31">
        <v>49</v>
      </c>
      <c r="AK186" s="33"/>
      <c r="AL186" s="33">
        <v>219</v>
      </c>
      <c r="AM186" s="33">
        <f>+AJ186/AL186</f>
        <v>0.22374429223744291</v>
      </c>
      <c r="AN186" s="33">
        <f>+AM186</f>
        <v>0.22374429223744291</v>
      </c>
      <c r="AO186" s="33"/>
      <c r="AP186" s="33">
        <f>+(7*53635+40232*10+3*26825)/20*AJ186</f>
        <v>2102688</v>
      </c>
      <c r="AQ186" s="117">
        <v>23149.34</v>
      </c>
      <c r="AR186" s="100" t="s">
        <v>57</v>
      </c>
      <c r="AS186" s="34" t="s">
        <v>938</v>
      </c>
      <c r="AT186" s="190">
        <v>45275</v>
      </c>
      <c r="AU186" s="36"/>
      <c r="AV186" s="102" t="s">
        <v>939</v>
      </c>
      <c r="AW186" s="38"/>
      <c r="AX186" s="38"/>
      <c r="AY186" s="38"/>
      <c r="AZ186" s="38"/>
      <c r="BA186" s="38"/>
      <c r="BB186" s="38"/>
      <c r="BC186" s="38"/>
      <c r="BD186" s="38"/>
      <c r="BE186" s="38"/>
      <c r="BF186" s="38"/>
      <c r="BG186" s="38"/>
      <c r="BH186" s="39"/>
      <c r="BI186" s="39"/>
      <c r="BJ186" s="39"/>
      <c r="BK186" s="39"/>
      <c r="BL186" s="39"/>
      <c r="BM186" s="39"/>
      <c r="BN186" s="39"/>
      <c r="BO186" s="39"/>
      <c r="BP186" s="39"/>
      <c r="BQ186" s="39"/>
      <c r="BR186" s="39"/>
      <c r="BS186" s="39"/>
      <c r="BT186" s="39"/>
      <c r="BU186" s="39"/>
      <c r="BV186" s="39"/>
      <c r="BW186" s="39"/>
      <c r="IQ186" s="39"/>
      <c r="IR186" s="39"/>
      <c r="IS186" s="39"/>
      <c r="IT186" s="39"/>
      <c r="IU186" s="39"/>
      <c r="IV186" s="39"/>
      <c r="IW186" s="39"/>
    </row>
    <row r="187" spans="2:257" s="25" customFormat="1" ht="25.5">
      <c r="B187" s="193"/>
      <c r="C187" s="97"/>
      <c r="D187" s="196"/>
      <c r="E187" s="191"/>
      <c r="F187" s="30">
        <v>19990</v>
      </c>
      <c r="G187" s="30"/>
      <c r="H187" s="30">
        <v>3530</v>
      </c>
      <c r="I187" s="31"/>
      <c r="J187" s="31"/>
      <c r="K187" s="79"/>
      <c r="L187" s="31">
        <v>20</v>
      </c>
      <c r="M187" s="79"/>
      <c r="N187" s="16" t="s">
        <v>940</v>
      </c>
      <c r="O187" s="79"/>
      <c r="P187" s="79"/>
      <c r="Q187" s="79"/>
      <c r="R187" s="79"/>
      <c r="S187" s="79"/>
      <c r="T187" s="79"/>
      <c r="U187" s="31"/>
      <c r="V187" s="31">
        <v>1</v>
      </c>
      <c r="W187" s="31"/>
      <c r="X187" s="31"/>
      <c r="Y187" s="31" t="s">
        <v>937</v>
      </c>
      <c r="Z187" s="32"/>
      <c r="AA187" s="32">
        <v>1</v>
      </c>
      <c r="AB187" s="32"/>
      <c r="AC187" s="32">
        <f>1+AA187</f>
        <v>2</v>
      </c>
      <c r="AD187" s="32"/>
      <c r="AE187" s="32">
        <f>+AA187*2</f>
        <v>2</v>
      </c>
      <c r="AF187" s="31"/>
      <c r="AG187" s="31"/>
      <c r="AH187" s="31"/>
      <c r="AI187" s="31"/>
      <c r="AJ187" s="31">
        <v>49</v>
      </c>
      <c r="AK187" s="33"/>
      <c r="AL187" s="33">
        <v>197.1</v>
      </c>
      <c r="AM187" s="33">
        <f>+AJ187/AL187</f>
        <v>0.24860476915271437</v>
      </c>
      <c r="AN187" s="33">
        <f>+AM187</f>
        <v>0.24860476915271437</v>
      </c>
      <c r="AO187" s="33"/>
      <c r="AP187" s="33">
        <f>+(7*53635+40232*10+3*26825)/20*AJ187</f>
        <v>2102688</v>
      </c>
      <c r="AQ187" s="79"/>
      <c r="AR187" s="100" t="s">
        <v>57</v>
      </c>
      <c r="AS187" s="34" t="s">
        <v>938</v>
      </c>
      <c r="AT187" s="118"/>
      <c r="AU187" s="36"/>
      <c r="AV187" s="102" t="s">
        <v>939</v>
      </c>
      <c r="AW187" s="38"/>
      <c r="AX187" s="38"/>
      <c r="AY187" s="38"/>
      <c r="AZ187" s="38"/>
      <c r="BA187" s="38"/>
      <c r="BB187" s="38"/>
      <c r="BC187" s="38"/>
      <c r="BD187" s="38"/>
      <c r="BE187" s="38"/>
      <c r="BF187" s="38"/>
      <c r="BG187" s="38"/>
      <c r="BH187" s="39"/>
      <c r="BI187" s="39"/>
      <c r="BJ187" s="39"/>
      <c r="BK187" s="39"/>
      <c r="BL187" s="39"/>
      <c r="BM187" s="39"/>
      <c r="BN187" s="39"/>
      <c r="BO187" s="39"/>
      <c r="BP187" s="39"/>
      <c r="BQ187" s="39"/>
      <c r="BR187" s="39"/>
      <c r="BS187" s="39"/>
      <c r="BT187" s="39"/>
      <c r="BU187" s="39"/>
      <c r="BV187" s="39"/>
      <c r="BW187" s="39"/>
      <c r="IQ187" s="39"/>
      <c r="IR187" s="39"/>
      <c r="IS187" s="39"/>
      <c r="IT187" s="39"/>
      <c r="IU187" s="39"/>
      <c r="IV187" s="39"/>
      <c r="IW187" s="39"/>
    </row>
    <row r="188" spans="2:257" s="25" customFormat="1" ht="51">
      <c r="B188" s="49">
        <v>181</v>
      </c>
      <c r="C188" s="97" t="s">
        <v>941</v>
      </c>
      <c r="D188" s="98">
        <v>45131</v>
      </c>
      <c r="E188" s="99" t="s">
        <v>65</v>
      </c>
      <c r="F188" s="30">
        <v>12295</v>
      </c>
      <c r="G188" s="30">
        <v>944</v>
      </c>
      <c r="H188" s="30">
        <v>2609</v>
      </c>
      <c r="I188" s="31"/>
      <c r="J188" s="31"/>
      <c r="K188" s="79">
        <v>756</v>
      </c>
      <c r="L188" s="31">
        <v>1</v>
      </c>
      <c r="M188" s="79" t="s">
        <v>96</v>
      </c>
      <c r="N188" s="16" t="s">
        <v>942</v>
      </c>
      <c r="O188" s="79" t="s">
        <v>943</v>
      </c>
      <c r="P188" s="79"/>
      <c r="Q188" s="79" t="s">
        <v>944</v>
      </c>
      <c r="R188" s="79" t="s">
        <v>944</v>
      </c>
      <c r="S188" s="79" t="s">
        <v>944</v>
      </c>
      <c r="T188" s="79" t="s">
        <v>945</v>
      </c>
      <c r="U188" s="31"/>
      <c r="V188" s="31">
        <f>1+7</f>
        <v>8</v>
      </c>
      <c r="W188" s="31"/>
      <c r="X188" s="31"/>
      <c r="Y188" s="31" t="s">
        <v>946</v>
      </c>
      <c r="Z188" s="32">
        <f>1*7</f>
        <v>7</v>
      </c>
      <c r="AA188" s="32"/>
      <c r="AB188" s="32">
        <f>+Z188</f>
        <v>7</v>
      </c>
      <c r="AC188" s="32"/>
      <c r="AD188" s="32">
        <f>+Z188*2</f>
        <v>14</v>
      </c>
      <c r="AE188" s="32"/>
      <c r="AF188" s="31"/>
      <c r="AG188" s="31"/>
      <c r="AH188" s="31"/>
      <c r="AI188" s="31"/>
      <c r="AJ188" s="31">
        <f>215.19</f>
        <v>215.19</v>
      </c>
      <c r="AK188" s="33">
        <f>131.13+149.46/2</f>
        <v>205.86</v>
      </c>
      <c r="AL188" s="33">
        <v>354.25</v>
      </c>
      <c r="AM188" s="33">
        <f>+(131.13+149.46)/AL188</f>
        <v>0.79206774876499653</v>
      </c>
      <c r="AN188" s="33">
        <f>+(AJ188+AK188)/AL188</f>
        <v>1.1885673959068455</v>
      </c>
      <c r="AO188" s="33"/>
      <c r="AP188" s="33">
        <f>+AK188*53635+((3*67063+4*53635+8*40232+6*26825)/21*AJ188)</f>
        <v>20248717.607142858</v>
      </c>
      <c r="AQ188" s="79">
        <v>78606.3</v>
      </c>
      <c r="AR188" s="100" t="s">
        <v>947</v>
      </c>
      <c r="AS188" s="34" t="s">
        <v>948</v>
      </c>
      <c r="AT188" s="118">
        <v>45278</v>
      </c>
      <c r="AU188" s="36"/>
      <c r="AV188" s="102" t="s">
        <v>949</v>
      </c>
      <c r="AW188" s="38"/>
      <c r="AX188" s="38"/>
      <c r="AY188" s="38"/>
      <c r="AZ188" s="38"/>
      <c r="BA188" s="38"/>
      <c r="BB188" s="38"/>
      <c r="BC188" s="38"/>
      <c r="BD188" s="38"/>
      <c r="BE188" s="38"/>
      <c r="BF188" s="38"/>
      <c r="BG188" s="38"/>
      <c r="BH188" s="39"/>
      <c r="BI188" s="39"/>
      <c r="BJ188" s="39"/>
      <c r="BK188" s="39"/>
      <c r="BL188" s="39"/>
      <c r="BM188" s="39"/>
      <c r="BN188" s="39"/>
      <c r="BO188" s="39"/>
      <c r="BP188" s="39"/>
      <c r="BQ188" s="39"/>
      <c r="BR188" s="39"/>
      <c r="BS188" s="39"/>
      <c r="BT188" s="39"/>
      <c r="BU188" s="39"/>
      <c r="BV188" s="39"/>
      <c r="BW188" s="39"/>
      <c r="IQ188" s="39"/>
      <c r="IR188" s="39"/>
      <c r="IS188" s="39"/>
      <c r="IT188" s="39"/>
      <c r="IU188" s="39"/>
      <c r="IV188" s="39"/>
      <c r="IW188" s="39"/>
    </row>
    <row r="189" spans="2:257" s="25" customFormat="1" ht="51">
      <c r="B189" s="49">
        <v>182</v>
      </c>
      <c r="C189" s="97">
        <v>556068</v>
      </c>
      <c r="D189" s="98">
        <v>45196</v>
      </c>
      <c r="E189" s="99" t="s">
        <v>117</v>
      </c>
      <c r="F189" s="30">
        <v>23985</v>
      </c>
      <c r="G189" s="30">
        <v>864</v>
      </c>
      <c r="H189" s="30">
        <v>1300</v>
      </c>
      <c r="I189" s="31"/>
      <c r="J189" s="31"/>
      <c r="K189" s="79">
        <v>211</v>
      </c>
      <c r="L189" s="31">
        <v>8</v>
      </c>
      <c r="M189" s="79" t="s">
        <v>40</v>
      </c>
      <c r="N189" s="16" t="s">
        <v>950</v>
      </c>
      <c r="O189" s="79" t="s">
        <v>951</v>
      </c>
      <c r="P189" s="79"/>
      <c r="Q189" s="79" t="s">
        <v>296</v>
      </c>
      <c r="R189" s="79" t="s">
        <v>296</v>
      </c>
      <c r="S189" s="79" t="s">
        <v>296</v>
      </c>
      <c r="T189" s="79"/>
      <c r="U189" s="31"/>
      <c r="V189" s="31"/>
      <c r="W189" s="31">
        <v>2</v>
      </c>
      <c r="X189" s="31"/>
      <c r="Y189" s="31" t="s">
        <v>44</v>
      </c>
      <c r="Z189" s="32"/>
      <c r="AA189" s="32">
        <v>1</v>
      </c>
      <c r="AB189" s="32"/>
      <c r="AC189" s="32"/>
      <c r="AD189" s="32"/>
      <c r="AE189" s="32">
        <f>+AA189*2</f>
        <v>2</v>
      </c>
      <c r="AF189" s="31">
        <v>238</v>
      </c>
      <c r="AG189" s="31"/>
      <c r="AH189" s="31"/>
      <c r="AI189" s="31"/>
      <c r="AJ189" s="31">
        <v>33</v>
      </c>
      <c r="AK189" s="33"/>
      <c r="AL189" s="33">
        <v>631.9</v>
      </c>
      <c r="AM189" s="33">
        <f>+(AF189+AJ189)/AL189</f>
        <v>0.42886532679221395</v>
      </c>
      <c r="AN189" s="33">
        <f>+AM189</f>
        <v>0.42886532679221395</v>
      </c>
      <c r="AO189" s="33"/>
      <c r="AP189" s="33">
        <f>+(1*67063+53635*3+4*40232+12*26825)/22*AJ189</f>
        <v>1066194</v>
      </c>
      <c r="AQ189" s="79">
        <v>28454.67</v>
      </c>
      <c r="AR189" s="100" t="s">
        <v>57</v>
      </c>
      <c r="AS189" s="34" t="s">
        <v>952</v>
      </c>
      <c r="AT189" s="118">
        <v>45279</v>
      </c>
      <c r="AU189" s="36"/>
      <c r="AV189" s="102" t="s">
        <v>953</v>
      </c>
      <c r="AW189" s="38"/>
      <c r="AX189" s="38"/>
      <c r="AY189" s="38"/>
      <c r="AZ189" s="38"/>
      <c r="BA189" s="38"/>
      <c r="BB189" s="38"/>
      <c r="BC189" s="38"/>
      <c r="BD189" s="38"/>
      <c r="BE189" s="38"/>
      <c r="BF189" s="38"/>
      <c r="BG189" s="38"/>
      <c r="BH189" s="39"/>
      <c r="BI189" s="39"/>
      <c r="BJ189" s="39"/>
      <c r="BK189" s="39"/>
      <c r="BL189" s="39"/>
      <c r="BM189" s="39"/>
      <c r="BN189" s="39"/>
      <c r="BO189" s="39"/>
      <c r="BP189" s="39"/>
      <c r="BQ189" s="39"/>
      <c r="BR189" s="39"/>
      <c r="BS189" s="39"/>
      <c r="BT189" s="39"/>
      <c r="BU189" s="39"/>
      <c r="BV189" s="39"/>
      <c r="BW189" s="39"/>
      <c r="IQ189" s="39"/>
      <c r="IR189" s="39"/>
      <c r="IS189" s="39"/>
      <c r="IT189" s="39"/>
      <c r="IU189" s="39"/>
      <c r="IV189" s="39"/>
      <c r="IW189" s="39"/>
    </row>
    <row r="190" spans="2:257" s="25" customFormat="1" ht="63.75">
      <c r="B190" s="49">
        <v>183</v>
      </c>
      <c r="C190" s="97" t="s">
        <v>954</v>
      </c>
      <c r="D190" s="98">
        <v>45177</v>
      </c>
      <c r="E190" s="99" t="s">
        <v>46</v>
      </c>
      <c r="F190" s="30">
        <v>60766</v>
      </c>
      <c r="G190" s="30">
        <v>163767</v>
      </c>
      <c r="H190" s="30">
        <v>33968</v>
      </c>
      <c r="I190" s="31">
        <v>327</v>
      </c>
      <c r="J190" s="31"/>
      <c r="K190" s="79">
        <v>5</v>
      </c>
      <c r="L190" s="31">
        <v>15</v>
      </c>
      <c r="M190" s="79" t="s">
        <v>96</v>
      </c>
      <c r="N190" s="16" t="s">
        <v>955</v>
      </c>
      <c r="O190" s="79" t="s">
        <v>956</v>
      </c>
      <c r="P190" s="79"/>
      <c r="Q190" s="79" t="s">
        <v>372</v>
      </c>
      <c r="R190" s="79"/>
      <c r="S190" s="79"/>
      <c r="T190" s="79"/>
      <c r="U190" s="31">
        <v>1</v>
      </c>
      <c r="V190" s="31"/>
      <c r="W190" s="31"/>
      <c r="X190" s="31"/>
      <c r="Y190" s="31" t="s">
        <v>44</v>
      </c>
      <c r="Z190" s="32">
        <f>1+1</f>
        <v>2</v>
      </c>
      <c r="AA190" s="32"/>
      <c r="AB190" s="32">
        <f>+Z190+1</f>
        <v>3</v>
      </c>
      <c r="AC190" s="32"/>
      <c r="AD190" s="32">
        <f>+Z190*2</f>
        <v>4</v>
      </c>
      <c r="AE190" s="32"/>
      <c r="AF190" s="31">
        <f>38.72+22.32/2</f>
        <v>49.879999999999995</v>
      </c>
      <c r="AG190" s="31"/>
      <c r="AH190" s="31">
        <f>54.61+53.31/2</f>
        <v>81.265000000000001</v>
      </c>
      <c r="AI190" s="31"/>
      <c r="AJ190" s="31"/>
      <c r="AK190" s="33"/>
      <c r="AL190" s="33">
        <v>374.5</v>
      </c>
      <c r="AM190" s="33">
        <f>+(36.72+22.32+54.61+53.31)/AL190</f>
        <v>0.44582109479305743</v>
      </c>
      <c r="AN190" s="33">
        <f>+(AF190+AH190)/AL190</f>
        <v>0.35018691588785039</v>
      </c>
      <c r="AO190" s="33"/>
      <c r="AP190" s="33">
        <f>+(2*67063+53635*8+7*40232+3*26825)/20*AH190</f>
        <v>3759745.5412500002</v>
      </c>
      <c r="AQ190" s="79">
        <v>60445.05</v>
      </c>
      <c r="AR190" s="100" t="s">
        <v>57</v>
      </c>
      <c r="AS190" s="34" t="s">
        <v>957</v>
      </c>
      <c r="AT190" s="118">
        <v>45279</v>
      </c>
      <c r="AU190" s="36"/>
      <c r="AV190" s="102">
        <v>45246</v>
      </c>
      <c r="AW190" s="38"/>
      <c r="AX190" s="38"/>
      <c r="AY190" s="38"/>
      <c r="AZ190" s="38"/>
      <c r="BA190" s="38"/>
      <c r="BB190" s="38"/>
      <c r="BC190" s="38"/>
      <c r="BD190" s="38"/>
      <c r="BE190" s="38"/>
      <c r="BF190" s="38"/>
      <c r="BG190" s="38"/>
      <c r="BH190" s="39"/>
      <c r="BI190" s="39"/>
      <c r="BJ190" s="39"/>
      <c r="BK190" s="39"/>
      <c r="BL190" s="39"/>
      <c r="BM190" s="39"/>
      <c r="BN190" s="39"/>
      <c r="BO190" s="39"/>
      <c r="BP190" s="39"/>
      <c r="BQ190" s="39"/>
      <c r="BR190" s="39"/>
      <c r="BS190" s="39"/>
      <c r="BT190" s="39"/>
      <c r="BU190" s="39"/>
      <c r="BV190" s="39"/>
      <c r="BW190" s="39"/>
      <c r="IQ190" s="39"/>
      <c r="IR190" s="39"/>
      <c r="IS190" s="39"/>
      <c r="IT190" s="39"/>
      <c r="IU190" s="39"/>
      <c r="IV190" s="39"/>
      <c r="IW190" s="39"/>
    </row>
    <row r="191" spans="2:257" s="25" customFormat="1" ht="63.75">
      <c r="B191" s="49">
        <v>184</v>
      </c>
      <c r="C191" s="97" t="s">
        <v>958</v>
      </c>
      <c r="D191" s="98">
        <v>45228</v>
      </c>
      <c r="E191" s="99" t="s">
        <v>46</v>
      </c>
      <c r="F191" s="30">
        <v>61364</v>
      </c>
      <c r="G191" s="30">
        <v>169218</v>
      </c>
      <c r="H191" s="30">
        <v>34034</v>
      </c>
      <c r="I191" s="31">
        <v>247</v>
      </c>
      <c r="J191" s="31"/>
      <c r="K191" s="79">
        <v>5</v>
      </c>
      <c r="L191" s="31">
        <v>6</v>
      </c>
      <c r="M191" s="79" t="s">
        <v>206</v>
      </c>
      <c r="N191" s="16" t="s">
        <v>959</v>
      </c>
      <c r="O191" s="79" t="s">
        <v>960</v>
      </c>
      <c r="P191" s="79"/>
      <c r="Q191" s="79" t="s">
        <v>944</v>
      </c>
      <c r="R191" s="79"/>
      <c r="S191" s="79"/>
      <c r="T191" s="79"/>
      <c r="U191" s="31">
        <v>1</v>
      </c>
      <c r="V191" s="31"/>
      <c r="W191" s="31"/>
      <c r="X191" s="31"/>
      <c r="Y191" s="16" t="s">
        <v>71</v>
      </c>
      <c r="Z191" s="32">
        <v>2</v>
      </c>
      <c r="AA191" s="32"/>
      <c r="AB191" s="32">
        <f>+Z191+1</f>
        <v>3</v>
      </c>
      <c r="AC191" s="32"/>
      <c r="AD191" s="32">
        <f>+Z191*2</f>
        <v>4</v>
      </c>
      <c r="AE191" s="32"/>
      <c r="AF191" s="31"/>
      <c r="AG191" s="31"/>
      <c r="AH191" s="31">
        <f>82+24.26/2</f>
        <v>94.13</v>
      </c>
      <c r="AI191" s="31"/>
      <c r="AJ191" s="31"/>
      <c r="AK191" s="33"/>
      <c r="AL191" s="33">
        <v>465</v>
      </c>
      <c r="AM191" s="33">
        <f>+(82+24.26)/AL191</f>
        <v>0.22851612903225807</v>
      </c>
      <c r="AN191" s="33">
        <f>+AH191/AL191</f>
        <v>0.2024301075268817</v>
      </c>
      <c r="AO191" s="33"/>
      <c r="AP191" s="33">
        <f>+(2*67063+53635*10+40232*6+3*26825)/20*AH191</f>
        <v>4670462.3295</v>
      </c>
      <c r="AQ191" s="79">
        <v>67392.25</v>
      </c>
      <c r="AR191" s="100" t="s">
        <v>947</v>
      </c>
      <c r="AS191" s="34" t="s">
        <v>961</v>
      </c>
      <c r="AT191" s="118">
        <v>45279</v>
      </c>
      <c r="AU191" s="36"/>
      <c r="AV191" s="102">
        <v>45274</v>
      </c>
      <c r="AW191" s="38"/>
      <c r="AX191" s="38"/>
      <c r="AY191" s="38"/>
      <c r="AZ191" s="38"/>
      <c r="BA191" s="38"/>
      <c r="BB191" s="38"/>
      <c r="BC191" s="38"/>
      <c r="BD191" s="38"/>
      <c r="BE191" s="38"/>
      <c r="BF191" s="38"/>
      <c r="BG191" s="38"/>
      <c r="BH191" s="39"/>
      <c r="BI191" s="39"/>
      <c r="BJ191" s="39"/>
      <c r="BK191" s="39"/>
      <c r="BL191" s="39"/>
      <c r="BM191" s="39"/>
      <c r="BN191" s="39"/>
      <c r="BO191" s="39"/>
      <c r="BP191" s="39"/>
      <c r="BQ191" s="39"/>
      <c r="BR191" s="39"/>
      <c r="BS191" s="39"/>
      <c r="BT191" s="39"/>
      <c r="BU191" s="39"/>
      <c r="BV191" s="39"/>
      <c r="BW191" s="39"/>
      <c r="IQ191" s="39"/>
      <c r="IR191" s="39"/>
      <c r="IS191" s="39"/>
      <c r="IT191" s="39"/>
      <c r="IU191" s="39"/>
      <c r="IV191" s="39"/>
      <c r="IW191" s="39"/>
    </row>
    <row r="192" spans="2:257" s="135" customFormat="1" ht="25.5">
      <c r="B192" s="64"/>
      <c r="C192" s="119">
        <v>538247</v>
      </c>
      <c r="D192" s="120">
        <v>44543</v>
      </c>
      <c r="E192" s="121" t="s">
        <v>65</v>
      </c>
      <c r="F192" s="122">
        <v>35754</v>
      </c>
      <c r="G192" s="122">
        <v>135336</v>
      </c>
      <c r="H192" s="122">
        <v>7493</v>
      </c>
      <c r="I192" s="123"/>
      <c r="J192" s="123"/>
      <c r="K192" s="123">
        <v>84</v>
      </c>
      <c r="L192" s="123">
        <v>13</v>
      </c>
      <c r="M192" s="123" t="s">
        <v>145</v>
      </c>
      <c r="N192" s="123" t="s">
        <v>962</v>
      </c>
      <c r="O192" s="124" t="s">
        <v>963</v>
      </c>
      <c r="P192" s="123"/>
      <c r="Q192" s="123" t="s">
        <v>964</v>
      </c>
      <c r="R192" s="123" t="s">
        <v>964</v>
      </c>
      <c r="S192" s="123" t="s">
        <v>964</v>
      </c>
      <c r="T192" s="123" t="s">
        <v>965</v>
      </c>
      <c r="U192" s="123"/>
      <c r="V192" s="125">
        <v>1</v>
      </c>
      <c r="W192" s="123"/>
      <c r="X192" s="123"/>
      <c r="Y192" s="123" t="s">
        <v>71</v>
      </c>
      <c r="Z192" s="126"/>
      <c r="AA192" s="127">
        <v>2</v>
      </c>
      <c r="AB192" s="126"/>
      <c r="AC192" s="127">
        <f>+AA192+1</f>
        <v>3</v>
      </c>
      <c r="AD192" s="126"/>
      <c r="AE192" s="127">
        <f>+AA192*2</f>
        <v>4</v>
      </c>
      <c r="AF192" s="123"/>
      <c r="AG192" s="123"/>
      <c r="AH192" s="123"/>
      <c r="AI192" s="123"/>
      <c r="AJ192" s="125">
        <f>97.41+16.69/2</f>
        <v>105.755</v>
      </c>
      <c r="AK192" s="128"/>
      <c r="AL192" s="129">
        <v>266.33999999999997</v>
      </c>
      <c r="AM192" s="129">
        <f>+(97.41+16.69)/AL192</f>
        <v>0.42839978974243448</v>
      </c>
      <c r="AN192" s="129">
        <f>+AJ192/AL192</f>
        <v>0.39706765788090415</v>
      </c>
      <c r="AO192" s="129"/>
      <c r="AP192" s="129"/>
      <c r="AQ192" s="130"/>
      <c r="AR192" s="129" t="s">
        <v>57</v>
      </c>
      <c r="AS192" s="130"/>
      <c r="AT192" s="131"/>
      <c r="AU192" s="132"/>
      <c r="AV192" s="130"/>
      <c r="AW192" s="133"/>
      <c r="AX192" s="133"/>
      <c r="AY192" s="133"/>
      <c r="AZ192" s="133"/>
      <c r="BA192" s="133"/>
      <c r="BB192" s="133"/>
      <c r="BC192" s="133"/>
      <c r="BD192" s="133"/>
      <c r="BE192" s="133"/>
      <c r="BF192" s="133"/>
      <c r="BG192" s="133"/>
      <c r="BH192" s="134"/>
      <c r="BI192" s="134"/>
      <c r="BJ192" s="134"/>
      <c r="BK192" s="134"/>
      <c r="BL192" s="134"/>
      <c r="BM192" s="134"/>
      <c r="BN192" s="134"/>
      <c r="BO192" s="134"/>
      <c r="BP192" s="134"/>
      <c r="BQ192" s="134"/>
      <c r="BR192" s="134"/>
      <c r="BS192" s="134"/>
      <c r="BT192" s="134"/>
      <c r="BU192" s="134"/>
      <c r="BV192" s="134"/>
      <c r="BW192" s="134"/>
      <c r="IQ192" s="134"/>
      <c r="IR192" s="134"/>
      <c r="IS192" s="134"/>
      <c r="IT192" s="134"/>
      <c r="IU192" s="134"/>
      <c r="IV192" s="134"/>
      <c r="IW192" s="134"/>
    </row>
    <row r="193" spans="2:257" s="2" customFormat="1" ht="76.5">
      <c r="B193" s="49">
        <v>185</v>
      </c>
      <c r="C193" s="58" t="s">
        <v>966</v>
      </c>
      <c r="D193" s="42">
        <v>44827</v>
      </c>
      <c r="E193" s="43" t="s">
        <v>65</v>
      </c>
      <c r="F193" s="15">
        <v>35754</v>
      </c>
      <c r="G193" s="15"/>
      <c r="H193" s="15">
        <v>7493</v>
      </c>
      <c r="I193" s="16"/>
      <c r="J193" s="16"/>
      <c r="K193" s="16">
        <v>84</v>
      </c>
      <c r="L193" s="16">
        <v>13</v>
      </c>
      <c r="M193" s="16" t="s">
        <v>96</v>
      </c>
      <c r="N193" s="16" t="s">
        <v>967</v>
      </c>
      <c r="O193" s="72" t="s">
        <v>968</v>
      </c>
      <c r="P193" s="16"/>
      <c r="Q193" s="16" t="s">
        <v>964</v>
      </c>
      <c r="R193" s="16" t="s">
        <v>964</v>
      </c>
      <c r="S193" s="16" t="s">
        <v>964</v>
      </c>
      <c r="T193" s="16" t="s">
        <v>965</v>
      </c>
      <c r="U193" s="16"/>
      <c r="V193" s="17">
        <v>1</v>
      </c>
      <c r="W193" s="16"/>
      <c r="X193" s="16"/>
      <c r="Y193" s="16" t="s">
        <v>71</v>
      </c>
      <c r="Z193" s="18"/>
      <c r="AA193" s="19">
        <v>2</v>
      </c>
      <c r="AB193" s="20"/>
      <c r="AC193" s="19">
        <f>+AA193+1</f>
        <v>3</v>
      </c>
      <c r="AD193" s="20"/>
      <c r="AE193" s="19">
        <f>+AA193*2</f>
        <v>4</v>
      </c>
      <c r="AF193" s="16"/>
      <c r="AG193" s="16"/>
      <c r="AH193" s="16"/>
      <c r="AI193" s="16"/>
      <c r="AJ193" s="17">
        <f>97.41+15.59/2</f>
        <v>105.205</v>
      </c>
      <c r="AK193" s="21"/>
      <c r="AL193" s="22">
        <v>286.33999999999997</v>
      </c>
      <c r="AM193" s="22">
        <f>+(97.41+15.59)/AL193</f>
        <v>0.39463574771250964</v>
      </c>
      <c r="AN193" s="22">
        <f>+AJ193/AL193</f>
        <v>0.3674128658238458</v>
      </c>
      <c r="AO193" s="22"/>
      <c r="AP193" s="22">
        <v>21699158</v>
      </c>
      <c r="AQ193" s="23">
        <v>321534.26</v>
      </c>
      <c r="AR193" s="22" t="s">
        <v>57</v>
      </c>
      <c r="AS193" s="23" t="s">
        <v>969</v>
      </c>
      <c r="AT193" s="44">
        <v>45279</v>
      </c>
      <c r="AU193" s="24"/>
      <c r="AV193" s="45" t="s">
        <v>970</v>
      </c>
      <c r="AW193" s="13"/>
      <c r="AX193" s="13"/>
      <c r="AY193" s="13"/>
      <c r="AZ193" s="13"/>
      <c r="BA193" s="13"/>
      <c r="BB193" s="13"/>
      <c r="BC193" s="13"/>
      <c r="BD193" s="13"/>
      <c r="BE193" s="13"/>
      <c r="BF193" s="13"/>
      <c r="BG193" s="13"/>
      <c r="BH193" s="14"/>
      <c r="BI193" s="14"/>
      <c r="BJ193" s="14"/>
      <c r="BK193" s="14"/>
      <c r="BL193" s="14"/>
      <c r="BM193" s="14"/>
      <c r="BN193" s="14"/>
      <c r="BO193" s="14"/>
      <c r="BP193" s="14"/>
      <c r="BQ193" s="14"/>
      <c r="BR193" s="14"/>
      <c r="BS193" s="14"/>
      <c r="BT193" s="14"/>
      <c r="BU193" s="14"/>
      <c r="BV193" s="14"/>
      <c r="BW193" s="14"/>
      <c r="IQ193" s="14"/>
      <c r="IR193" s="14"/>
      <c r="IS193" s="14"/>
      <c r="IT193" s="14"/>
      <c r="IU193" s="14"/>
      <c r="IV193" s="14"/>
      <c r="IW193" s="14"/>
    </row>
    <row r="194" spans="2:257" s="25" customFormat="1" ht="76.5">
      <c r="B194" s="49">
        <v>186</v>
      </c>
      <c r="C194" s="67">
        <v>557787</v>
      </c>
      <c r="D194" s="70">
        <v>45251</v>
      </c>
      <c r="E194" s="48" t="s">
        <v>46</v>
      </c>
      <c r="F194" s="30">
        <v>31638</v>
      </c>
      <c r="G194" s="30">
        <v>130600</v>
      </c>
      <c r="H194" s="30">
        <v>6766</v>
      </c>
      <c r="I194" s="31"/>
      <c r="J194" s="31"/>
      <c r="K194" s="31">
        <v>31</v>
      </c>
      <c r="L194" s="31">
        <v>10</v>
      </c>
      <c r="M194" s="31" t="s">
        <v>96</v>
      </c>
      <c r="N194" s="31" t="s">
        <v>971</v>
      </c>
      <c r="O194" s="31" t="s">
        <v>972</v>
      </c>
      <c r="P194" s="31"/>
      <c r="Q194" s="31" t="s">
        <v>973</v>
      </c>
      <c r="R194" s="31"/>
      <c r="S194" s="31"/>
      <c r="T194" s="31"/>
      <c r="U194" s="31">
        <v>2</v>
      </c>
      <c r="V194" s="31"/>
      <c r="W194" s="31"/>
      <c r="X194" s="31"/>
      <c r="Y194" s="31" t="s">
        <v>44</v>
      </c>
      <c r="Z194" s="32">
        <f>1+2</f>
        <v>3</v>
      </c>
      <c r="AA194" s="32"/>
      <c r="AB194" s="32">
        <f>+Z194+1+1</f>
        <v>5</v>
      </c>
      <c r="AC194" s="32"/>
      <c r="AD194" s="32">
        <f>+Z194*2</f>
        <v>6</v>
      </c>
      <c r="AE194" s="32"/>
      <c r="AF194" s="31"/>
      <c r="AG194" s="31"/>
      <c r="AH194" s="31"/>
      <c r="AI194" s="31"/>
      <c r="AJ194" s="31">
        <f>31.28+61+15.62/2+5.3</f>
        <v>105.39</v>
      </c>
      <c r="AK194" s="33"/>
      <c r="AL194" s="33">
        <v>634.6</v>
      </c>
      <c r="AM194" s="33">
        <f>+(31.28+15.62+61+5.3)/AL194</f>
        <v>0.17838008194138039</v>
      </c>
      <c r="AN194" s="33">
        <f>+AJ194/AL194</f>
        <v>0.16607311692404664</v>
      </c>
      <c r="AO194" s="33">
        <f>+(28+15)/(7+3)</f>
        <v>4.3</v>
      </c>
      <c r="AP194" s="33">
        <f>+(5*53635+10*40232+10*26825)/25*AJ194</f>
        <v>3957373.4220000003</v>
      </c>
      <c r="AQ194" s="34">
        <v>58230.05</v>
      </c>
      <c r="AR194" s="33" t="s">
        <v>57</v>
      </c>
      <c r="AS194" s="34" t="s">
        <v>974</v>
      </c>
      <c r="AT194" s="35">
        <v>45279</v>
      </c>
      <c r="AU194" s="36"/>
      <c r="AV194" s="94">
        <v>45252</v>
      </c>
      <c r="AW194" s="38"/>
      <c r="AX194" s="38"/>
      <c r="AY194" s="38"/>
      <c r="AZ194" s="38"/>
      <c r="BA194" s="38"/>
      <c r="BB194" s="38"/>
      <c r="BC194" s="38"/>
      <c r="BD194" s="38"/>
      <c r="BE194" s="38"/>
      <c r="BF194" s="38"/>
      <c r="BG194" s="38"/>
      <c r="BH194" s="39"/>
      <c r="BI194" s="39"/>
      <c r="BJ194" s="39"/>
      <c r="BK194" s="39"/>
      <c r="BL194" s="39"/>
      <c r="BM194" s="39"/>
      <c r="BN194" s="39"/>
      <c r="BO194" s="39"/>
      <c r="BP194" s="39"/>
      <c r="BQ194" s="39"/>
      <c r="BR194" s="39"/>
      <c r="BS194" s="39"/>
      <c r="BT194" s="39"/>
      <c r="BU194" s="39"/>
      <c r="BV194" s="39"/>
      <c r="BW194" s="39"/>
      <c r="IQ194" s="39"/>
      <c r="IR194" s="39"/>
      <c r="IS194" s="39"/>
      <c r="IT194" s="39"/>
      <c r="IU194" s="39"/>
      <c r="IV194" s="39"/>
      <c r="IW194" s="39"/>
    </row>
    <row r="195" spans="2:257" s="25" customFormat="1" ht="102">
      <c r="B195" s="49">
        <v>187</v>
      </c>
      <c r="C195" s="97" t="s">
        <v>975</v>
      </c>
      <c r="D195" s="98">
        <v>45225</v>
      </c>
      <c r="E195" s="99" t="s">
        <v>402</v>
      </c>
      <c r="F195" s="15">
        <v>43738</v>
      </c>
      <c r="G195" s="15">
        <v>141516</v>
      </c>
      <c r="H195" s="15">
        <v>32013</v>
      </c>
      <c r="I195" s="16">
        <v>3</v>
      </c>
      <c r="J195" s="16"/>
      <c r="K195" s="16">
        <v>6</v>
      </c>
      <c r="L195" s="16">
        <v>10</v>
      </c>
      <c r="M195" s="16" t="s">
        <v>96</v>
      </c>
      <c r="N195" s="16" t="s">
        <v>897</v>
      </c>
      <c r="O195" s="16" t="s">
        <v>976</v>
      </c>
      <c r="P195" s="79"/>
      <c r="Q195" s="79" t="s">
        <v>924</v>
      </c>
      <c r="R195" s="31"/>
      <c r="S195" s="31"/>
      <c r="T195" s="31"/>
      <c r="U195" s="31"/>
      <c r="V195" s="31"/>
      <c r="W195" s="31">
        <v>1</v>
      </c>
      <c r="X195" s="31"/>
      <c r="Y195" s="31" t="s">
        <v>908</v>
      </c>
      <c r="Z195" s="32">
        <v>3</v>
      </c>
      <c r="AA195" s="32"/>
      <c r="AB195" s="32">
        <f>+Z195+1+1</f>
        <v>5</v>
      </c>
      <c r="AC195" s="32"/>
      <c r="AD195" s="32">
        <f>+Z195*2</f>
        <v>6</v>
      </c>
      <c r="AE195" s="32"/>
      <c r="AF195" s="56">
        <f>242.3+59.27/2</f>
        <v>271.935</v>
      </c>
      <c r="AG195" s="31"/>
      <c r="AH195" s="31"/>
      <c r="AI195" s="31"/>
      <c r="AJ195" s="31"/>
      <c r="AK195" s="33"/>
      <c r="AL195" s="22">
        <v>892.42</v>
      </c>
      <c r="AM195" s="33">
        <f>+(45.32+161.37+5.5)/AL195</f>
        <v>0.23776921180610028</v>
      </c>
      <c r="AN195" s="33">
        <f>+(AF195/AL195)</f>
        <v>0.30471638914412497</v>
      </c>
      <c r="AO195" s="33"/>
      <c r="AP195" s="33">
        <f>2188160+((6*67063+53635*9+2*40232+6*26825)/23*AH195)</f>
        <v>2188160</v>
      </c>
      <c r="AQ195" s="34">
        <v>116463.09</v>
      </c>
      <c r="AR195" s="100" t="s">
        <v>57</v>
      </c>
      <c r="AS195" s="23" t="s">
        <v>977</v>
      </c>
      <c r="AT195" s="35">
        <v>45279</v>
      </c>
      <c r="AU195" s="36"/>
      <c r="AV195" s="102" t="s">
        <v>978</v>
      </c>
      <c r="AW195" s="38"/>
      <c r="AX195" s="38"/>
      <c r="AY195" s="38"/>
      <c r="AZ195" s="38"/>
      <c r="BA195" s="38"/>
      <c r="BB195" s="38"/>
      <c r="BC195" s="38"/>
      <c r="BD195" s="38"/>
      <c r="BE195" s="38"/>
      <c r="BF195" s="38"/>
      <c r="BG195" s="38"/>
      <c r="BH195" s="39"/>
      <c r="BI195" s="39"/>
      <c r="BJ195" s="39"/>
      <c r="BK195" s="39"/>
      <c r="BL195" s="39"/>
      <c r="BM195" s="39"/>
      <c r="BN195" s="39"/>
      <c r="BO195" s="39"/>
      <c r="BP195" s="39"/>
      <c r="BQ195" s="39"/>
      <c r="BR195" s="39"/>
      <c r="BS195" s="39"/>
      <c r="BT195" s="39"/>
      <c r="BU195" s="39"/>
      <c r="BV195" s="39"/>
      <c r="BW195" s="39"/>
      <c r="IQ195" s="39"/>
      <c r="IR195" s="39"/>
      <c r="IS195" s="39"/>
      <c r="IT195" s="39"/>
      <c r="IU195" s="39"/>
      <c r="IV195" s="39"/>
      <c r="IW195" s="39"/>
    </row>
    <row r="196" spans="2:257" s="25" customFormat="1" ht="51">
      <c r="B196" s="49">
        <v>188</v>
      </c>
      <c r="C196" s="97" t="s">
        <v>979</v>
      </c>
      <c r="D196" s="98">
        <v>45107</v>
      </c>
      <c r="E196" s="99" t="s">
        <v>46</v>
      </c>
      <c r="F196" s="30">
        <v>11156</v>
      </c>
      <c r="G196" s="30">
        <v>2536</v>
      </c>
      <c r="H196" s="30">
        <v>382</v>
      </c>
      <c r="I196" s="31"/>
      <c r="J196" s="31"/>
      <c r="K196" s="79">
        <v>158</v>
      </c>
      <c r="L196" s="31">
        <v>1</v>
      </c>
      <c r="M196" s="79" t="s">
        <v>40</v>
      </c>
      <c r="N196" s="16" t="s">
        <v>980</v>
      </c>
      <c r="O196" s="79" t="s">
        <v>981</v>
      </c>
      <c r="P196" s="79"/>
      <c r="Q196" s="79" t="s">
        <v>428</v>
      </c>
      <c r="R196" s="79"/>
      <c r="S196" s="79"/>
      <c r="T196" s="79"/>
      <c r="U196" s="31">
        <v>1</v>
      </c>
      <c r="V196" s="31"/>
      <c r="W196" s="31"/>
      <c r="X196" s="31"/>
      <c r="Y196" s="31" t="s">
        <v>62</v>
      </c>
      <c r="Z196" s="32"/>
      <c r="AA196" s="32"/>
      <c r="AB196" s="32"/>
      <c r="AC196" s="32"/>
      <c r="AD196" s="32"/>
      <c r="AE196" s="32"/>
      <c r="AF196" s="31"/>
      <c r="AG196" s="31"/>
      <c r="AH196" s="31"/>
      <c r="AI196" s="31">
        <v>83.03</v>
      </c>
      <c r="AJ196" s="31"/>
      <c r="AK196" s="33"/>
      <c r="AL196" s="33">
        <v>83.03</v>
      </c>
      <c r="AM196" s="33">
        <v>1</v>
      </c>
      <c r="AN196" s="33">
        <v>1</v>
      </c>
      <c r="AO196" s="33"/>
      <c r="AP196" s="33">
        <f>+AI196*53635</f>
        <v>4453314.05</v>
      </c>
      <c r="AQ196" s="79">
        <v>74386.69</v>
      </c>
      <c r="AR196" s="100" t="s">
        <v>57</v>
      </c>
      <c r="AS196" s="34" t="s">
        <v>982</v>
      </c>
      <c r="AT196" s="118" t="s">
        <v>983</v>
      </c>
      <c r="AU196" s="36"/>
      <c r="AV196" s="102">
        <v>45181</v>
      </c>
      <c r="AW196" s="38"/>
      <c r="AX196" s="38"/>
      <c r="AY196" s="38"/>
      <c r="AZ196" s="38"/>
      <c r="BA196" s="38"/>
      <c r="BB196" s="38"/>
      <c r="BC196" s="38"/>
      <c r="BD196" s="38"/>
      <c r="BE196" s="38"/>
      <c r="BF196" s="38"/>
      <c r="BG196" s="38"/>
      <c r="BH196" s="39"/>
      <c r="BI196" s="39"/>
      <c r="BJ196" s="39"/>
      <c r="BK196" s="39"/>
      <c r="BL196" s="39"/>
      <c r="BM196" s="39"/>
      <c r="BN196" s="39"/>
      <c r="BO196" s="39"/>
      <c r="BP196" s="39"/>
      <c r="BQ196" s="39"/>
      <c r="BR196" s="39"/>
      <c r="BS196" s="39"/>
      <c r="BT196" s="39"/>
      <c r="BU196" s="39"/>
      <c r="BV196" s="39"/>
      <c r="BW196" s="39"/>
      <c r="IQ196" s="39"/>
      <c r="IR196" s="39"/>
      <c r="IS196" s="39"/>
      <c r="IT196" s="39"/>
      <c r="IU196" s="39"/>
      <c r="IV196" s="39"/>
      <c r="IW196" s="39"/>
    </row>
    <row r="197" spans="2:257" s="25" customFormat="1" ht="76.5">
      <c r="B197" s="64" t="s">
        <v>984</v>
      </c>
      <c r="C197" s="97">
        <v>555866</v>
      </c>
      <c r="D197" s="98">
        <v>45187</v>
      </c>
      <c r="E197" s="99" t="s">
        <v>65</v>
      </c>
      <c r="F197" s="30"/>
      <c r="G197" s="30"/>
      <c r="H197" s="30">
        <v>32175</v>
      </c>
      <c r="I197" s="31"/>
      <c r="J197" s="31"/>
      <c r="K197" s="79"/>
      <c r="L197" s="31">
        <v>17</v>
      </c>
      <c r="M197" s="79" t="s">
        <v>66</v>
      </c>
      <c r="N197" s="31" t="s">
        <v>789</v>
      </c>
      <c r="O197" s="31" t="s">
        <v>494</v>
      </c>
      <c r="P197" s="79"/>
      <c r="Q197" s="31" t="s">
        <v>124</v>
      </c>
      <c r="R197" s="31" t="s">
        <v>124</v>
      </c>
      <c r="S197" s="31" t="s">
        <v>124</v>
      </c>
      <c r="T197" s="31" t="s">
        <v>70</v>
      </c>
      <c r="U197" s="31"/>
      <c r="V197" s="31">
        <v>1</v>
      </c>
      <c r="W197" s="31"/>
      <c r="X197" s="31"/>
      <c r="Y197" s="31" t="s">
        <v>71</v>
      </c>
      <c r="Z197" s="32"/>
      <c r="AA197" s="32"/>
      <c r="AB197" s="32"/>
      <c r="AC197" s="32"/>
      <c r="AD197" s="32"/>
      <c r="AE197" s="32"/>
      <c r="AF197" s="31"/>
      <c r="AG197" s="31"/>
      <c r="AH197" s="31"/>
      <c r="AI197" s="31"/>
      <c r="AJ197" s="31">
        <f>139.92+45.78/2</f>
        <v>162.81</v>
      </c>
      <c r="AK197" s="33"/>
      <c r="AL197" s="33">
        <v>803.15</v>
      </c>
      <c r="AM197" s="33">
        <f>+(139.92+45.78)/AL197</f>
        <v>0.23121459254186638</v>
      </c>
      <c r="AN197" s="33">
        <f>+AJ197/AL197</f>
        <v>0.20271431239494492</v>
      </c>
      <c r="AO197" s="33"/>
      <c r="AP197" s="33"/>
      <c r="AQ197" s="34"/>
      <c r="AR197" s="100" t="s">
        <v>57</v>
      </c>
      <c r="AS197" s="34" t="s">
        <v>985</v>
      </c>
      <c r="AT197" s="35"/>
      <c r="AU197" s="36"/>
      <c r="AV197" s="102">
        <v>45225</v>
      </c>
      <c r="AW197" s="38"/>
      <c r="AX197" s="38"/>
      <c r="AY197" s="38"/>
      <c r="AZ197" s="38"/>
      <c r="BA197" s="38"/>
      <c r="BB197" s="38"/>
      <c r="BC197" s="38"/>
      <c r="BD197" s="38"/>
      <c r="BE197" s="38"/>
      <c r="BF197" s="38"/>
      <c r="BG197" s="38"/>
      <c r="BH197" s="39"/>
      <c r="BI197" s="39"/>
      <c r="BJ197" s="39"/>
      <c r="BK197" s="39"/>
      <c r="BL197" s="39"/>
      <c r="BM197" s="39"/>
      <c r="BN197" s="39"/>
      <c r="BO197" s="39"/>
      <c r="BP197" s="39"/>
      <c r="BQ197" s="39"/>
      <c r="BR197" s="39"/>
      <c r="BS197" s="39"/>
      <c r="BT197" s="39"/>
      <c r="BU197" s="39"/>
      <c r="BV197" s="39"/>
      <c r="BW197" s="39"/>
      <c r="IQ197" s="39"/>
      <c r="IR197" s="39"/>
      <c r="IS197" s="39"/>
      <c r="IT197" s="39"/>
      <c r="IU197" s="39"/>
      <c r="IV197" s="39"/>
      <c r="IW197" s="39"/>
    </row>
    <row r="198" spans="2:257" s="2" customFormat="1" ht="63.75">
      <c r="B198" s="115">
        <v>189</v>
      </c>
      <c r="C198" s="58" t="s">
        <v>986</v>
      </c>
      <c r="D198" s="42">
        <v>44883</v>
      </c>
      <c r="E198" s="43" t="s">
        <v>46</v>
      </c>
      <c r="F198" s="15"/>
      <c r="G198" s="15"/>
      <c r="H198" s="15">
        <v>2755</v>
      </c>
      <c r="I198" s="16"/>
      <c r="J198" s="16"/>
      <c r="K198" s="16">
        <v>555</v>
      </c>
      <c r="L198" s="16">
        <v>3</v>
      </c>
      <c r="M198" s="16" t="s">
        <v>96</v>
      </c>
      <c r="N198" s="16" t="s">
        <v>987</v>
      </c>
      <c r="O198" s="72" t="s">
        <v>988</v>
      </c>
      <c r="P198" s="16"/>
      <c r="Q198" s="16" t="s">
        <v>989</v>
      </c>
      <c r="R198" s="16"/>
      <c r="S198" s="16"/>
      <c r="T198" s="16"/>
      <c r="U198" s="16">
        <f>1+1</f>
        <v>2</v>
      </c>
      <c r="V198" s="17"/>
      <c r="W198" s="16"/>
      <c r="X198" s="16"/>
      <c r="Y198" s="16" t="s">
        <v>44</v>
      </c>
      <c r="Z198" s="18">
        <f>1+1</f>
        <v>2</v>
      </c>
      <c r="AA198" s="19"/>
      <c r="AB198" s="20">
        <f>+Z198+1</f>
        <v>3</v>
      </c>
      <c r="AC198" s="19"/>
      <c r="AD198" s="20">
        <f>+Z198*2</f>
        <v>4</v>
      </c>
      <c r="AE198" s="19"/>
      <c r="AF198" s="16"/>
      <c r="AG198" s="16"/>
      <c r="AH198" s="16">
        <f>55.14+21.22/2+40.89+2.84/2</f>
        <v>108.06</v>
      </c>
      <c r="AI198" s="16"/>
      <c r="AJ198" s="17"/>
      <c r="AK198" s="21"/>
      <c r="AL198" s="22">
        <v>200</v>
      </c>
      <c r="AM198" s="22">
        <f>+(55.14+21.22)/AL198</f>
        <v>0.38179999999999997</v>
      </c>
      <c r="AN198" s="22">
        <f>+AH198/AL198</f>
        <v>0.5403</v>
      </c>
      <c r="AO198" s="22">
        <f>+(1+6+24+12)/(1+2+6+2)</f>
        <v>3.9090909090909092</v>
      </c>
      <c r="AP198" s="22">
        <f>+(67063*2+6*53635+40232*7+26825*7)/22*AH198</f>
        <v>4545077.2772727273</v>
      </c>
      <c r="AQ198" s="23">
        <v>80033.899999999994</v>
      </c>
      <c r="AR198" s="22" t="s">
        <v>57</v>
      </c>
      <c r="AS198" s="23" t="s">
        <v>990</v>
      </c>
      <c r="AT198" s="44">
        <v>45281</v>
      </c>
      <c r="AU198" s="24"/>
      <c r="AV198" s="45">
        <v>45230</v>
      </c>
      <c r="AW198" s="13"/>
      <c r="AX198" s="13"/>
      <c r="AY198" s="13"/>
      <c r="AZ198" s="13"/>
      <c r="BA198" s="13"/>
      <c r="BB198" s="13"/>
      <c r="BC198" s="13"/>
      <c r="BD198" s="13"/>
      <c r="BE198" s="13"/>
      <c r="BF198" s="13"/>
      <c r="BG198" s="13"/>
      <c r="BH198" s="14"/>
      <c r="BI198" s="14"/>
      <c r="BJ198" s="14"/>
      <c r="BK198" s="14"/>
      <c r="BL198" s="14"/>
      <c r="BM198" s="14"/>
      <c r="BN198" s="14"/>
      <c r="BO198" s="14"/>
      <c r="BP198" s="14"/>
      <c r="BQ198" s="14"/>
      <c r="BR198" s="14"/>
      <c r="BS198" s="14"/>
      <c r="BT198" s="14"/>
      <c r="BU198" s="14"/>
      <c r="BV198" s="14"/>
      <c r="BW198" s="14"/>
      <c r="IQ198" s="14"/>
      <c r="IR198" s="14"/>
      <c r="IS198" s="14"/>
      <c r="IT198" s="14"/>
      <c r="IU198" s="14"/>
      <c r="IV198" s="14"/>
      <c r="IW198" s="14"/>
    </row>
    <row r="199" spans="2:257" s="25" customFormat="1" ht="89.25">
      <c r="B199" s="49">
        <v>190</v>
      </c>
      <c r="C199" s="97" t="s">
        <v>991</v>
      </c>
      <c r="D199" s="98">
        <v>45173</v>
      </c>
      <c r="E199" s="99" t="s">
        <v>46</v>
      </c>
      <c r="F199" s="30">
        <v>61162</v>
      </c>
      <c r="G199" s="30">
        <v>169067</v>
      </c>
      <c r="H199" s="30">
        <v>34061</v>
      </c>
      <c r="I199" s="31">
        <v>327</v>
      </c>
      <c r="J199" s="31"/>
      <c r="K199" s="79">
        <v>5</v>
      </c>
      <c r="L199" s="31">
        <v>17</v>
      </c>
      <c r="M199" s="79" t="s">
        <v>96</v>
      </c>
      <c r="N199" s="31" t="s">
        <v>992</v>
      </c>
      <c r="O199" s="31" t="s">
        <v>993</v>
      </c>
      <c r="P199" s="79"/>
      <c r="Q199" s="31" t="s">
        <v>372</v>
      </c>
      <c r="R199" s="31"/>
      <c r="S199" s="31"/>
      <c r="T199" s="31"/>
      <c r="U199" s="31">
        <v>2</v>
      </c>
      <c r="V199" s="31"/>
      <c r="W199" s="31"/>
      <c r="X199" s="31"/>
      <c r="Y199" s="31" t="s">
        <v>44</v>
      </c>
      <c r="Z199" s="32">
        <f>2+1</f>
        <v>3</v>
      </c>
      <c r="AA199" s="32"/>
      <c r="AB199" s="32">
        <f>+Z199+1+1</f>
        <v>5</v>
      </c>
      <c r="AC199" s="32"/>
      <c r="AD199" s="32">
        <f>+Z199*2</f>
        <v>6</v>
      </c>
      <c r="AE199" s="32"/>
      <c r="AF199" s="31">
        <f>51.76+5.78/2</f>
        <v>54.65</v>
      </c>
      <c r="AG199" s="31"/>
      <c r="AH199" s="31">
        <f>28.81+29.19/2</f>
        <v>43.405000000000001</v>
      </c>
      <c r="AI199" s="31"/>
      <c r="AJ199" s="31"/>
      <c r="AK199" s="33"/>
      <c r="AL199" s="33">
        <v>374.5</v>
      </c>
      <c r="AM199" s="33">
        <f>(51.76+5.78+28.81+29.19)/AL199</f>
        <v>0.3085180240320427</v>
      </c>
      <c r="AN199" s="33">
        <f>+(AF199+AH199)/AL199</f>
        <v>0.26182910547396532</v>
      </c>
      <c r="AO199" s="33"/>
      <c r="AP199" s="33">
        <v>1808295.25</v>
      </c>
      <c r="AQ199" s="34">
        <v>61852.62</v>
      </c>
      <c r="AR199" s="100" t="s">
        <v>57</v>
      </c>
      <c r="AS199" s="34" t="s">
        <v>994</v>
      </c>
      <c r="AT199" s="35">
        <v>45286</v>
      </c>
      <c r="AU199" s="36"/>
      <c r="AV199" s="102">
        <v>45246</v>
      </c>
      <c r="AW199" s="38"/>
      <c r="AX199" s="38"/>
      <c r="AY199" s="38"/>
      <c r="AZ199" s="38"/>
      <c r="BA199" s="38"/>
      <c r="BB199" s="38"/>
      <c r="BC199" s="38"/>
      <c r="BD199" s="38"/>
      <c r="BE199" s="38"/>
      <c r="BF199" s="38"/>
      <c r="BG199" s="38"/>
      <c r="BH199" s="39"/>
      <c r="BI199" s="39"/>
      <c r="BJ199" s="39"/>
      <c r="BK199" s="39"/>
      <c r="BL199" s="39"/>
      <c r="BM199" s="39"/>
      <c r="BN199" s="39"/>
      <c r="BO199" s="39"/>
      <c r="BP199" s="39"/>
      <c r="BQ199" s="39"/>
      <c r="BR199" s="39"/>
      <c r="BS199" s="39"/>
      <c r="BT199" s="39"/>
      <c r="BU199" s="39"/>
      <c r="BV199" s="39"/>
      <c r="BW199" s="39"/>
      <c r="IQ199" s="39"/>
      <c r="IR199" s="39"/>
      <c r="IS199" s="39"/>
      <c r="IT199" s="39"/>
      <c r="IU199" s="39"/>
      <c r="IV199" s="39"/>
      <c r="IW199" s="39"/>
    </row>
    <row r="200" spans="2:257" s="25" customFormat="1" ht="51">
      <c r="B200" s="49">
        <v>192</v>
      </c>
      <c r="C200" s="97">
        <v>556856</v>
      </c>
      <c r="D200" s="98">
        <v>45223</v>
      </c>
      <c r="E200" s="99" t="s">
        <v>65</v>
      </c>
      <c r="F200" s="30">
        <v>48007</v>
      </c>
      <c r="G200" s="30">
        <v>141021</v>
      </c>
      <c r="H200" s="30">
        <v>8741</v>
      </c>
      <c r="I200" s="31"/>
      <c r="J200" s="31"/>
      <c r="K200" s="79">
        <v>802</v>
      </c>
      <c r="L200" s="31">
        <v>13</v>
      </c>
      <c r="M200" s="79" t="s">
        <v>66</v>
      </c>
      <c r="N200" s="31" t="s">
        <v>995</v>
      </c>
      <c r="O200" s="31" t="s">
        <v>996</v>
      </c>
      <c r="P200" s="79"/>
      <c r="Q200" s="31" t="s">
        <v>474</v>
      </c>
      <c r="R200" s="31" t="s">
        <v>474</v>
      </c>
      <c r="S200" s="31" t="s">
        <v>474</v>
      </c>
      <c r="T200" s="31" t="s">
        <v>997</v>
      </c>
      <c r="U200" s="31"/>
      <c r="V200" s="31">
        <v>1</v>
      </c>
      <c r="W200" s="31"/>
      <c r="X200" s="31"/>
      <c r="Y200" s="31" t="s">
        <v>71</v>
      </c>
      <c r="Z200" s="32"/>
      <c r="AA200" s="32">
        <v>4</v>
      </c>
      <c r="AB200" s="32"/>
      <c r="AC200" s="32">
        <f>+AA200+1</f>
        <v>5</v>
      </c>
      <c r="AD200" s="32"/>
      <c r="AE200" s="32">
        <f>+AA200*2</f>
        <v>8</v>
      </c>
      <c r="AF200" s="31"/>
      <c r="AG200" s="31"/>
      <c r="AH200" s="31"/>
      <c r="AI200" s="31"/>
      <c r="AJ200" s="31">
        <f>165.55+37.47/2</f>
        <v>184.28500000000003</v>
      </c>
      <c r="AK200" s="33"/>
      <c r="AL200" s="33">
        <v>314.97000000000003</v>
      </c>
      <c r="AM200" s="33">
        <f>+(105.23+28.17)/AL200</f>
        <v>0.42353239991110264</v>
      </c>
      <c r="AN200" s="33">
        <f>+AJ200/AL200</f>
        <v>0.58508746864780781</v>
      </c>
      <c r="AO200" s="33"/>
      <c r="AP200" s="33">
        <f>+(67063*9+53635*7+40232*5+2*26825)/23*AJ200</f>
        <v>9885864.6639130451</v>
      </c>
      <c r="AQ200" s="34">
        <v>37902.54</v>
      </c>
      <c r="AR200" s="100" t="s">
        <v>77</v>
      </c>
      <c r="AS200" s="34" t="s">
        <v>998</v>
      </c>
      <c r="AT200" s="35">
        <v>45287</v>
      </c>
      <c r="AU200" s="36"/>
      <c r="AV200" s="102">
        <v>45223</v>
      </c>
      <c r="AW200" s="38"/>
      <c r="AX200" s="38"/>
      <c r="AY200" s="38"/>
      <c r="AZ200" s="38"/>
      <c r="BA200" s="38"/>
      <c r="BB200" s="38"/>
      <c r="BC200" s="38"/>
      <c r="BD200" s="38"/>
      <c r="BE200" s="38"/>
      <c r="BF200" s="38"/>
      <c r="BG200" s="38"/>
      <c r="BH200" s="39"/>
      <c r="BI200" s="39"/>
      <c r="BJ200" s="39"/>
      <c r="BK200" s="39"/>
      <c r="BL200" s="39"/>
      <c r="BM200" s="39"/>
      <c r="BN200" s="39"/>
      <c r="BO200" s="39"/>
      <c r="BP200" s="39"/>
      <c r="BQ200" s="39"/>
      <c r="BR200" s="39"/>
      <c r="BS200" s="39"/>
      <c r="BT200" s="39"/>
      <c r="BU200" s="39"/>
      <c r="BV200" s="39"/>
      <c r="BW200" s="39"/>
      <c r="IQ200" s="39"/>
      <c r="IR200" s="39"/>
      <c r="IS200" s="39"/>
      <c r="IT200" s="39"/>
      <c r="IU200" s="39"/>
      <c r="IV200" s="39"/>
      <c r="IW200" s="39"/>
    </row>
    <row r="201" spans="2:257" s="25" customFormat="1" ht="63.75" customHeight="1">
      <c r="B201" s="193">
        <v>191</v>
      </c>
      <c r="C201" s="194" t="s">
        <v>999</v>
      </c>
      <c r="D201" s="195">
        <v>45208</v>
      </c>
      <c r="E201" s="187" t="s">
        <v>46</v>
      </c>
      <c r="F201" s="30"/>
      <c r="G201" s="30"/>
      <c r="H201" s="30">
        <v>3197</v>
      </c>
      <c r="I201" s="31"/>
      <c r="J201" s="31"/>
      <c r="K201" s="117">
        <v>731</v>
      </c>
      <c r="L201" s="31">
        <v>21</v>
      </c>
      <c r="M201" s="117" t="s">
        <v>66</v>
      </c>
      <c r="N201" s="31" t="s">
        <v>1000</v>
      </c>
      <c r="O201" s="117" t="s">
        <v>1001</v>
      </c>
      <c r="P201" s="79"/>
      <c r="Q201" s="117" t="s">
        <v>428</v>
      </c>
      <c r="R201" s="31"/>
      <c r="S201" s="31"/>
      <c r="T201" s="31"/>
      <c r="U201" s="31"/>
      <c r="V201" s="31"/>
      <c r="W201" s="31"/>
      <c r="X201" s="31"/>
      <c r="Y201" s="117" t="s">
        <v>903</v>
      </c>
      <c r="Z201" s="32"/>
      <c r="AA201" s="32"/>
      <c r="AB201" s="32"/>
      <c r="AC201" s="32"/>
      <c r="AD201" s="32"/>
      <c r="AE201" s="32"/>
      <c r="AF201" s="31">
        <v>42</v>
      </c>
      <c r="AG201" s="31">
        <f>226.82+12.8/2</f>
        <v>233.22</v>
      </c>
      <c r="AH201" s="31">
        <v>232.5</v>
      </c>
      <c r="AI201" s="31">
        <f>12.8+25.4/2</f>
        <v>25.5</v>
      </c>
      <c r="AJ201" s="31"/>
      <c r="AK201" s="33"/>
      <c r="AL201" s="33">
        <v>335.66</v>
      </c>
      <c r="AM201" s="33">
        <f>+(226.82+12.8)/AL201</f>
        <v>0.71387713757969373</v>
      </c>
      <c r="AN201" s="33">
        <f>+(AF201+AG201+AH201+AI201)/AL201</f>
        <v>1.5885717690520169</v>
      </c>
      <c r="AO201" s="33"/>
      <c r="AP201" s="188">
        <v>23503017.98</v>
      </c>
      <c r="AQ201" s="117">
        <v>342804.15</v>
      </c>
      <c r="AR201" s="188" t="s">
        <v>57</v>
      </c>
      <c r="AS201" s="189" t="s">
        <v>1002</v>
      </c>
      <c r="AT201" s="190">
        <v>45287</v>
      </c>
      <c r="AU201" s="36"/>
      <c r="AV201" s="197">
        <v>45279</v>
      </c>
      <c r="AW201" s="38"/>
      <c r="AX201" s="38"/>
      <c r="AY201" s="38"/>
      <c r="AZ201" s="38"/>
      <c r="BA201" s="38"/>
      <c r="BB201" s="38"/>
      <c r="BC201" s="38"/>
      <c r="BD201" s="38"/>
      <c r="BE201" s="38"/>
      <c r="BF201" s="38"/>
      <c r="BG201" s="38"/>
      <c r="BH201" s="39"/>
      <c r="BI201" s="39"/>
      <c r="BJ201" s="39"/>
      <c r="BK201" s="39"/>
      <c r="BL201" s="39"/>
      <c r="BM201" s="39"/>
      <c r="BN201" s="39"/>
      <c r="BO201" s="39"/>
      <c r="BP201" s="39"/>
      <c r="BQ201" s="39"/>
      <c r="BR201" s="39"/>
      <c r="BS201" s="39"/>
      <c r="BT201" s="39"/>
      <c r="BU201" s="39"/>
      <c r="BV201" s="39"/>
      <c r="BW201" s="39"/>
      <c r="IQ201" s="39"/>
      <c r="IR201" s="39"/>
      <c r="IS201" s="39"/>
      <c r="IT201" s="39"/>
      <c r="IU201" s="39"/>
      <c r="IV201" s="39"/>
      <c r="IW201" s="39"/>
    </row>
    <row r="202" spans="2:257" s="25" customFormat="1" ht="12.75">
      <c r="B202" s="193"/>
      <c r="C202" s="97"/>
      <c r="D202" s="196"/>
      <c r="E202" s="191"/>
      <c r="F202" s="30"/>
      <c r="G202" s="30"/>
      <c r="H202" s="30">
        <v>7951</v>
      </c>
      <c r="I202" s="31"/>
      <c r="J202" s="31"/>
      <c r="K202" s="79"/>
      <c r="L202" s="31">
        <v>25</v>
      </c>
      <c r="M202" s="79"/>
      <c r="N202" s="31"/>
      <c r="O202" s="79"/>
      <c r="P202" s="79"/>
      <c r="Q202" s="79"/>
      <c r="R202" s="31"/>
      <c r="S202" s="31"/>
      <c r="T202" s="31"/>
      <c r="U202" s="31"/>
      <c r="V202" s="31"/>
      <c r="W202" s="31"/>
      <c r="X202" s="31"/>
      <c r="Y202" s="79"/>
      <c r="Z202" s="32"/>
      <c r="AA202" s="32"/>
      <c r="AB202" s="32"/>
      <c r="AC202" s="32"/>
      <c r="AD202" s="32"/>
      <c r="AE202" s="32"/>
      <c r="AF202" s="31"/>
      <c r="AG202" s="31">
        <v>109.67</v>
      </c>
      <c r="AH202" s="31">
        <v>174.78</v>
      </c>
      <c r="AI202" s="31">
        <v>64.5</v>
      </c>
      <c r="AJ202" s="31"/>
      <c r="AK202" s="33"/>
      <c r="AL202" s="33">
        <v>208.98</v>
      </c>
      <c r="AM202" s="33">
        <f>+(109.67+64.5)/AL202</f>
        <v>0.83342903627141363</v>
      </c>
      <c r="AN202" s="33">
        <f>+(AG202+AH202+AI202)/AL202</f>
        <v>1.6697770121542732</v>
      </c>
      <c r="AO202" s="33"/>
      <c r="AP202" s="100"/>
      <c r="AQ202" s="79"/>
      <c r="AR202" s="100"/>
      <c r="AS202" s="192"/>
      <c r="AT202" s="118"/>
      <c r="AU202" s="36"/>
      <c r="AV202" s="102"/>
      <c r="AW202" s="38"/>
      <c r="AX202" s="38"/>
      <c r="AY202" s="38"/>
      <c r="AZ202" s="38"/>
      <c r="BA202" s="38"/>
      <c r="BB202" s="38"/>
      <c r="BC202" s="38"/>
      <c r="BD202" s="38"/>
      <c r="BE202" s="38"/>
      <c r="BF202" s="38"/>
      <c r="BG202" s="38"/>
      <c r="BH202" s="39"/>
      <c r="BI202" s="39"/>
      <c r="BJ202" s="39"/>
      <c r="BK202" s="39"/>
      <c r="BL202" s="39"/>
      <c r="BM202" s="39"/>
      <c r="BN202" s="39"/>
      <c r="BO202" s="39"/>
      <c r="BP202" s="39"/>
      <c r="BQ202" s="39"/>
      <c r="BR202" s="39"/>
      <c r="BS202" s="39"/>
      <c r="BT202" s="39"/>
      <c r="BU202" s="39"/>
      <c r="BV202" s="39"/>
      <c r="BW202" s="39"/>
      <c r="IQ202" s="39"/>
      <c r="IR202" s="39"/>
      <c r="IS202" s="39"/>
      <c r="IT202" s="39"/>
      <c r="IU202" s="39"/>
      <c r="IV202" s="39"/>
      <c r="IW202" s="39"/>
    </row>
    <row r="203" spans="2:257" s="2" customFormat="1" ht="38.25">
      <c r="B203" s="136">
        <v>193</v>
      </c>
      <c r="C203" s="58" t="s">
        <v>1003</v>
      </c>
      <c r="D203" s="42">
        <v>45193</v>
      </c>
      <c r="E203" s="137" t="s">
        <v>65</v>
      </c>
      <c r="F203" s="15">
        <v>59729</v>
      </c>
      <c r="G203" s="15">
        <v>160573</v>
      </c>
      <c r="H203" s="15">
        <v>32307</v>
      </c>
      <c r="I203" s="16">
        <v>72</v>
      </c>
      <c r="J203" s="16"/>
      <c r="K203" s="16"/>
      <c r="L203" s="16">
        <v>8</v>
      </c>
      <c r="M203" s="16" t="s">
        <v>920</v>
      </c>
      <c r="N203" s="16" t="s">
        <v>1004</v>
      </c>
      <c r="O203" s="72" t="s">
        <v>1005</v>
      </c>
      <c r="P203" s="16"/>
      <c r="Q203" s="16" t="s">
        <v>281</v>
      </c>
      <c r="R203" s="16" t="s">
        <v>281</v>
      </c>
      <c r="S203" s="16" t="s">
        <v>281</v>
      </c>
      <c r="T203" s="16" t="s">
        <v>1006</v>
      </c>
      <c r="U203" s="16"/>
      <c r="V203" s="17">
        <v>4</v>
      </c>
      <c r="W203" s="16"/>
      <c r="X203" s="16"/>
      <c r="Y203" s="31" t="s">
        <v>44</v>
      </c>
      <c r="Z203" s="18"/>
      <c r="AA203" s="19">
        <v>2</v>
      </c>
      <c r="AB203" s="20"/>
      <c r="AC203" s="19">
        <f>+AA203+1</f>
        <v>3</v>
      </c>
      <c r="AD203" s="20"/>
      <c r="AE203" s="19">
        <f>+AA203*2</f>
        <v>4</v>
      </c>
      <c r="AF203" s="16"/>
      <c r="AG203" s="16"/>
      <c r="AH203" s="16"/>
      <c r="AI203" s="16"/>
      <c r="AJ203" s="17">
        <f>191.48+12.85+15.16/2</f>
        <v>211.91</v>
      </c>
      <c r="AK203" s="21"/>
      <c r="AL203" s="22">
        <v>9929.09</v>
      </c>
      <c r="AM203" s="22">
        <f>+(12.65+191.48+15.16)/AL203</f>
        <v>2.2085609053800498E-2</v>
      </c>
      <c r="AN203" s="22">
        <f>+AJ203/AL203</f>
        <v>2.1342338522462784E-2</v>
      </c>
      <c r="AO203" s="22"/>
      <c r="AP203" s="22">
        <f>+(3078110.79+((1*67063+53635*11+40232*4+4*26825)/21*AJ203))</f>
        <v>12415026.845238097</v>
      </c>
      <c r="AQ203" s="23">
        <v>195330.42</v>
      </c>
      <c r="AR203" s="22" t="s">
        <v>57</v>
      </c>
      <c r="AS203" s="23" t="s">
        <v>1007</v>
      </c>
      <c r="AT203" s="44">
        <v>45288</v>
      </c>
      <c r="AU203" s="24"/>
      <c r="AV203" s="45" t="s">
        <v>1008</v>
      </c>
      <c r="AW203" s="13"/>
      <c r="AX203" s="13"/>
      <c r="AY203" s="13"/>
      <c r="AZ203" s="13"/>
      <c r="BA203" s="13"/>
      <c r="BB203" s="13"/>
      <c r="BC203" s="13"/>
      <c r="BD203" s="13"/>
      <c r="BE203" s="13"/>
      <c r="BF203" s="13"/>
      <c r="BG203" s="13"/>
      <c r="BH203" s="14"/>
      <c r="BI203" s="14"/>
      <c r="BJ203" s="14"/>
      <c r="BK203" s="14"/>
      <c r="BL203" s="14"/>
      <c r="BM203" s="14"/>
      <c r="BN203" s="14"/>
      <c r="BO203" s="14"/>
      <c r="BP203" s="14"/>
      <c r="BQ203" s="14"/>
      <c r="BR203" s="14"/>
      <c r="BS203" s="14"/>
      <c r="BT203" s="14"/>
      <c r="BU203" s="14"/>
      <c r="BV203" s="14"/>
      <c r="BW203" s="14"/>
      <c r="IQ203" s="14"/>
      <c r="IR203" s="14"/>
      <c r="IS203" s="14"/>
      <c r="IT203" s="14"/>
      <c r="IU203" s="14"/>
      <c r="IV203" s="14"/>
      <c r="IW203" s="14"/>
    </row>
    <row r="204" spans="2:257" s="25" customFormat="1" ht="63.75">
      <c r="B204" s="49">
        <v>194</v>
      </c>
      <c r="C204" s="97" t="s">
        <v>1009</v>
      </c>
      <c r="D204" s="98">
        <v>45230</v>
      </c>
      <c r="E204" s="99" t="s">
        <v>46</v>
      </c>
      <c r="F204" s="30">
        <v>47923</v>
      </c>
      <c r="G204" s="30">
        <v>142184</v>
      </c>
      <c r="H204" s="30">
        <v>32180</v>
      </c>
      <c r="I204" s="31">
        <v>225</v>
      </c>
      <c r="J204" s="31"/>
      <c r="K204" s="79">
        <v>2</v>
      </c>
      <c r="L204" s="31">
        <v>1</v>
      </c>
      <c r="M204" s="79" t="s">
        <v>206</v>
      </c>
      <c r="N204" s="16" t="s">
        <v>1010</v>
      </c>
      <c r="O204" s="31" t="s">
        <v>1011</v>
      </c>
      <c r="P204" s="79"/>
      <c r="Q204" s="79" t="s">
        <v>296</v>
      </c>
      <c r="R204" s="79"/>
      <c r="S204" s="79"/>
      <c r="T204" s="31"/>
      <c r="U204" s="31">
        <v>2</v>
      </c>
      <c r="V204" s="31"/>
      <c r="W204" s="31"/>
      <c r="X204" s="31"/>
      <c r="Y204" s="31" t="s">
        <v>44</v>
      </c>
      <c r="Z204" s="32">
        <f>2+2</f>
        <v>4</v>
      </c>
      <c r="AA204" s="32"/>
      <c r="AB204" s="32">
        <f>+Z204+1+1</f>
        <v>6</v>
      </c>
      <c r="AC204" s="32"/>
      <c r="AD204" s="32">
        <f>+Z204*2</f>
        <v>8</v>
      </c>
      <c r="AE204" s="32"/>
      <c r="AF204" s="31"/>
      <c r="AG204" s="31"/>
      <c r="AH204" s="31">
        <f>132.34+80.7/2</f>
        <v>172.69</v>
      </c>
      <c r="AI204" s="31"/>
      <c r="AJ204" s="31"/>
      <c r="AK204" s="33"/>
      <c r="AL204" s="33">
        <v>1601.7</v>
      </c>
      <c r="AM204" s="33">
        <f>+(132.34+80.7)/AL204</f>
        <v>0.13300867827932822</v>
      </c>
      <c r="AN204" s="33">
        <f>+AH204/AL204</f>
        <v>0.10781669476181556</v>
      </c>
      <c r="AO204" s="33"/>
      <c r="AP204" s="33">
        <f>3400000+((1*67063+53635*3+40232*6+26825*10)/20*AH204)</f>
        <v>9768893.5449999999</v>
      </c>
      <c r="AQ204" s="34">
        <v>249111.94</v>
      </c>
      <c r="AR204" s="100" t="s">
        <v>57</v>
      </c>
      <c r="AS204" s="34" t="s">
        <v>1012</v>
      </c>
      <c r="AT204" s="35">
        <v>45288</v>
      </c>
      <c r="AU204" s="36"/>
      <c r="AV204" s="102">
        <v>45274</v>
      </c>
      <c r="AW204" s="38"/>
      <c r="AX204" s="38"/>
      <c r="AY204" s="38"/>
      <c r="AZ204" s="38"/>
      <c r="BA204" s="38"/>
      <c r="BB204" s="38"/>
      <c r="BC204" s="38"/>
      <c r="BD204" s="38"/>
      <c r="BE204" s="38"/>
      <c r="BF204" s="38"/>
      <c r="BG204" s="38"/>
      <c r="BH204" s="39"/>
      <c r="BI204" s="39"/>
      <c r="BJ204" s="39"/>
      <c r="BK204" s="39"/>
      <c r="BL204" s="39"/>
      <c r="BM204" s="39"/>
      <c r="BN204" s="39"/>
      <c r="BO204" s="39"/>
      <c r="BP204" s="39"/>
      <c r="BQ204" s="39"/>
      <c r="BR204" s="39"/>
      <c r="BS204" s="39"/>
      <c r="BT204" s="39"/>
      <c r="BU204" s="39"/>
      <c r="BV204" s="39"/>
      <c r="BW204" s="39"/>
      <c r="IQ204" s="39"/>
      <c r="IR204" s="39"/>
      <c r="IS204" s="39"/>
      <c r="IT204" s="39"/>
      <c r="IU204" s="39"/>
      <c r="IV204" s="39"/>
      <c r="IW204" s="39"/>
    </row>
    <row r="205" spans="2:257" s="25" customFormat="1" ht="89.25">
      <c r="B205" s="49">
        <v>196</v>
      </c>
      <c r="C205" s="67">
        <v>558753</v>
      </c>
      <c r="D205" s="70">
        <v>45282</v>
      </c>
      <c r="E205" s="48" t="s">
        <v>46</v>
      </c>
      <c r="F205" s="30">
        <v>17642</v>
      </c>
      <c r="G205" s="30">
        <v>107897</v>
      </c>
      <c r="H205" s="30">
        <v>3691</v>
      </c>
      <c r="I205" s="31"/>
      <c r="J205" s="31"/>
      <c r="K205" s="31">
        <v>7810</v>
      </c>
      <c r="L205" s="31">
        <v>7</v>
      </c>
      <c r="M205" s="31" t="s">
        <v>96</v>
      </c>
      <c r="N205" s="31" t="s">
        <v>1013</v>
      </c>
      <c r="O205" s="31" t="s">
        <v>1014</v>
      </c>
      <c r="P205" s="31"/>
      <c r="Q205" s="31" t="s">
        <v>192</v>
      </c>
      <c r="R205" s="31"/>
      <c r="S205" s="31"/>
      <c r="T205" s="31"/>
      <c r="U205" s="31">
        <v>2</v>
      </c>
      <c r="V205" s="138"/>
      <c r="W205" s="31"/>
      <c r="X205" s="31"/>
      <c r="Y205" s="31" t="s">
        <v>44</v>
      </c>
      <c r="Z205" s="32">
        <f>1+2</f>
        <v>3</v>
      </c>
      <c r="AA205" s="139"/>
      <c r="AB205" s="32">
        <f>+Z205+1+1</f>
        <v>5</v>
      </c>
      <c r="AC205" s="139"/>
      <c r="AD205" s="32">
        <f>+Z205*2</f>
        <v>6</v>
      </c>
      <c r="AE205" s="139"/>
      <c r="AF205" s="31">
        <f>148.37+2.52/2</f>
        <v>149.63</v>
      </c>
      <c r="AG205" s="31"/>
      <c r="AH205" s="31">
        <f>3.96+74.4</f>
        <v>78.36</v>
      </c>
      <c r="AI205" s="31"/>
      <c r="AJ205" s="31"/>
      <c r="AK205" s="33"/>
      <c r="AL205" s="33">
        <v>184.84</v>
      </c>
      <c r="AM205" s="33">
        <f>+(148.37+2.52)/AL205</f>
        <v>0.81632763471110159</v>
      </c>
      <c r="AN205" s="33">
        <f>+(AF205+AH205)/AL205</f>
        <v>1.2334451417442112</v>
      </c>
      <c r="AO205" s="33">
        <f>+(4+0+12)/(1+6+2)</f>
        <v>1.7777777777777777</v>
      </c>
      <c r="AP205" s="33">
        <f>+(7*53635+40232*3+10*26825)/20*AH205</f>
        <v>2994883.9380000001</v>
      </c>
      <c r="AQ205" s="34">
        <v>49859.519999999997</v>
      </c>
      <c r="AR205" s="33" t="s">
        <v>726</v>
      </c>
      <c r="AS205" s="34" t="s">
        <v>1015</v>
      </c>
      <c r="AT205" s="35">
        <v>45289</v>
      </c>
      <c r="AU205" s="36"/>
      <c r="AV205" s="94">
        <v>45287</v>
      </c>
      <c r="AW205" s="38"/>
      <c r="AX205" s="38"/>
      <c r="AY205" s="38"/>
      <c r="AZ205" s="38"/>
      <c r="BA205" s="38"/>
      <c r="BB205" s="38"/>
      <c r="BC205" s="38"/>
      <c r="BD205" s="38"/>
      <c r="BE205" s="38"/>
      <c r="BF205" s="38"/>
      <c r="BG205" s="38"/>
      <c r="BH205" s="39"/>
      <c r="BI205" s="39"/>
      <c r="BJ205" s="39"/>
      <c r="BK205" s="39"/>
      <c r="BL205" s="39"/>
      <c r="BM205" s="39"/>
      <c r="BN205" s="39"/>
      <c r="BO205" s="39"/>
      <c r="BP205" s="39"/>
      <c r="BQ205" s="39"/>
      <c r="BR205" s="39"/>
      <c r="BS205" s="39"/>
      <c r="BT205" s="39"/>
      <c r="BU205" s="39"/>
      <c r="BV205" s="39"/>
      <c r="BW205" s="39"/>
      <c r="IQ205" s="39"/>
      <c r="IR205" s="39"/>
      <c r="IS205" s="39"/>
      <c r="IT205" s="39"/>
      <c r="IU205" s="39"/>
      <c r="IV205" s="39"/>
      <c r="IW205" s="39"/>
    </row>
    <row r="206" spans="2:257" s="25" customFormat="1" ht="63.75">
      <c r="B206" s="49">
        <v>195</v>
      </c>
      <c r="C206" s="97">
        <v>558094</v>
      </c>
      <c r="D206" s="98">
        <v>45260</v>
      </c>
      <c r="E206" s="99" t="s">
        <v>46</v>
      </c>
      <c r="F206" s="30">
        <v>40659</v>
      </c>
      <c r="G206" s="30">
        <v>137078</v>
      </c>
      <c r="H206" s="30">
        <v>20336</v>
      </c>
      <c r="I206" s="31"/>
      <c r="J206" s="31"/>
      <c r="K206" s="79">
        <v>337</v>
      </c>
      <c r="L206" s="31">
        <v>10</v>
      </c>
      <c r="M206" s="79" t="s">
        <v>66</v>
      </c>
      <c r="N206" s="16" t="s">
        <v>1016</v>
      </c>
      <c r="O206" s="31" t="s">
        <v>1017</v>
      </c>
      <c r="P206" s="79"/>
      <c r="Q206" s="79" t="s">
        <v>372</v>
      </c>
      <c r="R206" s="79"/>
      <c r="S206" s="79"/>
      <c r="T206" s="31"/>
      <c r="U206" s="31">
        <v>2</v>
      </c>
      <c r="V206" s="31"/>
      <c r="W206" s="31"/>
      <c r="X206" s="31"/>
      <c r="Y206" s="31" t="s">
        <v>44</v>
      </c>
      <c r="Z206" s="32">
        <f>2*U206</f>
        <v>4</v>
      </c>
      <c r="AA206" s="32"/>
      <c r="AB206" s="32">
        <f>+Z206+1*U206</f>
        <v>6</v>
      </c>
      <c r="AC206" s="32"/>
      <c r="AD206" s="32">
        <f>+Z206*2</f>
        <v>8</v>
      </c>
      <c r="AE206" s="32"/>
      <c r="AF206" s="31"/>
      <c r="AG206" s="31"/>
      <c r="AH206" s="31">
        <f>49.64+45.69/2+49.64+12.67/2</f>
        <v>128.46</v>
      </c>
      <c r="AI206" s="31"/>
      <c r="AJ206" s="31"/>
      <c r="AK206" s="33"/>
      <c r="AL206" s="33">
        <v>300.74</v>
      </c>
      <c r="AM206" s="33">
        <f>+(49.64+45.69)/AL206</f>
        <v>0.31698477089845045</v>
      </c>
      <c r="AN206" s="33">
        <f>+AH206/AL206</f>
        <v>0.42714637228170516</v>
      </c>
      <c r="AO206" s="33"/>
      <c r="AP206" s="33">
        <f>+(1*67063+53635*4+40232*12+4*26825)/21*AH206</f>
        <v>5332233.9057142865</v>
      </c>
      <c r="AQ206" s="34">
        <v>12156.66</v>
      </c>
      <c r="AR206" s="100" t="s">
        <v>57</v>
      </c>
      <c r="AS206" s="34" t="s">
        <v>1018</v>
      </c>
      <c r="AT206" s="35">
        <v>45289</v>
      </c>
      <c r="AU206" s="36"/>
      <c r="AV206" s="102">
        <v>45264</v>
      </c>
      <c r="AW206" s="38"/>
      <c r="AX206" s="38"/>
      <c r="AY206" s="38"/>
      <c r="AZ206" s="38"/>
      <c r="BA206" s="38"/>
      <c r="BB206" s="38"/>
      <c r="BC206" s="38"/>
      <c r="BD206" s="38"/>
      <c r="BE206" s="38"/>
      <c r="BF206" s="38"/>
      <c r="BG206" s="38"/>
      <c r="BH206" s="39"/>
      <c r="BI206" s="39"/>
      <c r="BJ206" s="39"/>
      <c r="BK206" s="39"/>
      <c r="BL206" s="39"/>
      <c r="BM206" s="39"/>
      <c r="BN206" s="39"/>
      <c r="BO206" s="39"/>
      <c r="BP206" s="39"/>
      <c r="BQ206" s="39"/>
      <c r="BR206" s="39"/>
      <c r="BS206" s="39"/>
      <c r="BT206" s="39"/>
      <c r="BU206" s="39"/>
      <c r="BV206" s="39"/>
      <c r="BW206" s="39"/>
      <c r="IQ206" s="39"/>
      <c r="IR206" s="39"/>
      <c r="IS206" s="39"/>
      <c r="IT206" s="39"/>
      <c r="IU206" s="39"/>
      <c r="IV206" s="39"/>
      <c r="IW206" s="39"/>
    </row>
    <row r="207" spans="2:257" s="25" customFormat="1" ht="51">
      <c r="B207" s="49">
        <v>197</v>
      </c>
      <c r="C207" s="67">
        <v>558709</v>
      </c>
      <c r="D207" s="70">
        <v>45282</v>
      </c>
      <c r="E207" s="48" t="s">
        <v>80</v>
      </c>
      <c r="F207" s="30">
        <v>23431</v>
      </c>
      <c r="G207" s="30">
        <v>116073</v>
      </c>
      <c r="H207" s="30">
        <v>1605</v>
      </c>
      <c r="I207" s="31"/>
      <c r="J207" s="31"/>
      <c r="K207" s="31">
        <v>154</v>
      </c>
      <c r="L207" s="31">
        <v>12</v>
      </c>
      <c r="M207" s="31" t="s">
        <v>66</v>
      </c>
      <c r="N207" s="31" t="s">
        <v>1019</v>
      </c>
      <c r="O207" s="31" t="s">
        <v>1020</v>
      </c>
      <c r="P207" s="31"/>
      <c r="Q207" s="31" t="s">
        <v>120</v>
      </c>
      <c r="R207" s="31"/>
      <c r="S207" s="31"/>
      <c r="T207" s="31" t="s">
        <v>1021</v>
      </c>
      <c r="U207" s="31"/>
      <c r="V207" s="138">
        <v>1</v>
      </c>
      <c r="W207" s="31"/>
      <c r="X207" s="31"/>
      <c r="Y207" s="31" t="s">
        <v>71</v>
      </c>
      <c r="Z207" s="32"/>
      <c r="AA207" s="139"/>
      <c r="AB207" s="32"/>
      <c r="AC207" s="139"/>
      <c r="AD207" s="32"/>
      <c r="AE207" s="139"/>
      <c r="AF207" s="31"/>
      <c r="AG207" s="31"/>
      <c r="AH207" s="31"/>
      <c r="AI207" s="31"/>
      <c r="AJ207" s="31">
        <v>88.9</v>
      </c>
      <c r="AK207" s="33"/>
      <c r="AL207" s="33">
        <v>120.07</v>
      </c>
      <c r="AM207" s="33"/>
      <c r="AN207" s="33"/>
      <c r="AO207" s="33"/>
      <c r="AP207" s="33">
        <v>1705924.09</v>
      </c>
      <c r="AQ207" s="34">
        <v>86049.2</v>
      </c>
      <c r="AR207" s="33" t="s">
        <v>57</v>
      </c>
      <c r="AS207" s="34" t="s">
        <v>1022</v>
      </c>
      <c r="AT207" s="35">
        <v>45289</v>
      </c>
      <c r="AU207" s="36"/>
      <c r="AV207" s="94" t="s">
        <v>1023</v>
      </c>
      <c r="AW207" s="38"/>
      <c r="AX207" s="38"/>
      <c r="AY207" s="38"/>
      <c r="AZ207" s="38"/>
      <c r="BA207" s="38"/>
      <c r="BB207" s="38"/>
      <c r="BC207" s="38"/>
      <c r="BD207" s="38"/>
      <c r="BE207" s="38"/>
      <c r="BF207" s="38"/>
      <c r="BG207" s="38"/>
      <c r="BH207" s="39"/>
      <c r="BI207" s="39"/>
      <c r="BJ207" s="39"/>
      <c r="BK207" s="39"/>
      <c r="BL207" s="39"/>
      <c r="BM207" s="39"/>
      <c r="BN207" s="39"/>
      <c r="BO207" s="39"/>
      <c r="BP207" s="39"/>
      <c r="BQ207" s="39"/>
      <c r="BR207" s="39"/>
      <c r="BS207" s="39"/>
      <c r="BT207" s="39"/>
      <c r="BU207" s="39"/>
      <c r="BV207" s="39"/>
      <c r="BW207" s="39"/>
      <c r="IQ207" s="39"/>
      <c r="IR207" s="39"/>
      <c r="IS207" s="39"/>
      <c r="IT207" s="39"/>
      <c r="IU207" s="39"/>
      <c r="IV207" s="39"/>
      <c r="IW207" s="39"/>
    </row>
    <row r="208" spans="2:257" s="25" customFormat="1" ht="63.75">
      <c r="B208" s="49">
        <v>198</v>
      </c>
      <c r="C208" s="97" t="s">
        <v>1024</v>
      </c>
      <c r="D208" s="98">
        <v>45210</v>
      </c>
      <c r="E208" s="99" t="s">
        <v>46</v>
      </c>
      <c r="F208" s="30">
        <v>51395</v>
      </c>
      <c r="G208" s="30"/>
      <c r="H208" s="30">
        <v>3888</v>
      </c>
      <c r="I208" s="31"/>
      <c r="J208" s="31"/>
      <c r="K208" s="79">
        <v>122</v>
      </c>
      <c r="L208" s="31">
        <v>5</v>
      </c>
      <c r="M208" s="79" t="s">
        <v>66</v>
      </c>
      <c r="N208" s="31" t="s">
        <v>1025</v>
      </c>
      <c r="O208" s="31" t="s">
        <v>1026</v>
      </c>
      <c r="P208" s="79"/>
      <c r="Q208" s="79" t="s">
        <v>669</v>
      </c>
      <c r="R208" s="79"/>
      <c r="S208" s="79"/>
      <c r="T208" s="31"/>
      <c r="U208" s="31">
        <f>6+1</f>
        <v>7</v>
      </c>
      <c r="V208" s="31"/>
      <c r="W208" s="31"/>
      <c r="X208" s="31"/>
      <c r="Y208" s="31" t="s">
        <v>125</v>
      </c>
      <c r="Z208" s="32">
        <f>2*6</f>
        <v>12</v>
      </c>
      <c r="AA208" s="32"/>
      <c r="AB208" s="32">
        <f>+Z208+6</f>
        <v>18</v>
      </c>
      <c r="AC208" s="32"/>
      <c r="AD208" s="32">
        <f>+Z208*2</f>
        <v>24</v>
      </c>
      <c r="AE208" s="32"/>
      <c r="AF208" s="31">
        <f>231.29+128.75+325.44-AH208</f>
        <v>678.38480000000004</v>
      </c>
      <c r="AG208" s="31"/>
      <c r="AH208" s="31">
        <f>1.96*3.62</f>
        <v>7.0952000000000002</v>
      </c>
      <c r="AI208" s="31"/>
      <c r="AJ208" s="31"/>
      <c r="AK208" s="33"/>
      <c r="AL208" s="33">
        <v>537</v>
      </c>
      <c r="AM208" s="33">
        <f>+(231.29+128.75)/AL208</f>
        <v>0.67046554934823088</v>
      </c>
      <c r="AN208" s="33">
        <f>+(AF208+AH208)/AL208</f>
        <v>1.2764990689013036</v>
      </c>
      <c r="AO208" s="33"/>
      <c r="AP208" s="33">
        <f>+(4*67063+3*53635+6*40232+14*26825)/27*AH208</f>
        <v>274899.31943703705</v>
      </c>
      <c r="AQ208" s="34">
        <v>13636.56</v>
      </c>
      <c r="AR208" s="100" t="s">
        <v>57</v>
      </c>
      <c r="AS208" s="34" t="s">
        <v>1027</v>
      </c>
      <c r="AT208" s="35">
        <v>45289</v>
      </c>
      <c r="AU208" s="36"/>
      <c r="AV208" s="102">
        <v>45286</v>
      </c>
      <c r="AW208" s="38"/>
      <c r="AX208" s="38"/>
      <c r="AY208" s="38"/>
      <c r="AZ208" s="38"/>
      <c r="BA208" s="38"/>
      <c r="BB208" s="38"/>
      <c r="BC208" s="38"/>
      <c r="BD208" s="38"/>
      <c r="BE208" s="38"/>
      <c r="BF208" s="38"/>
      <c r="BG208" s="38"/>
      <c r="BH208" s="39"/>
      <c r="BI208" s="39"/>
      <c r="BJ208" s="39"/>
      <c r="BK208" s="39"/>
      <c r="BL208" s="39"/>
      <c r="BM208" s="39"/>
      <c r="BN208" s="39"/>
      <c r="BO208" s="39"/>
      <c r="BP208" s="39"/>
      <c r="BQ208" s="39"/>
      <c r="BR208" s="39"/>
      <c r="BS208" s="39"/>
      <c r="BT208" s="39"/>
      <c r="BU208" s="39"/>
      <c r="BV208" s="39"/>
      <c r="BW208" s="39"/>
      <c r="IQ208" s="39"/>
      <c r="IR208" s="39"/>
      <c r="IS208" s="39"/>
      <c r="IT208" s="39"/>
      <c r="IU208" s="39"/>
      <c r="IV208" s="39"/>
      <c r="IW208" s="39"/>
    </row>
    <row r="209" spans="1:48" s="140" customFormat="1" ht="12.75">
      <c r="A209" s="109"/>
      <c r="B209" s="109"/>
      <c r="C209" s="141"/>
      <c r="D209" s="142"/>
      <c r="O209" s="143"/>
      <c r="AQ209" s="144"/>
      <c r="AV209" s="145"/>
    </row>
    <row r="210" spans="1:48" s="140" customFormat="1" ht="12.75">
      <c r="A210" s="109"/>
      <c r="B210" s="109"/>
      <c r="C210" s="141"/>
      <c r="D210" s="142"/>
      <c r="O210" s="143"/>
      <c r="AQ210" s="144"/>
      <c r="AV210" s="145"/>
    </row>
    <row r="211" spans="1:48" s="140" customFormat="1" ht="12.75">
      <c r="A211" s="109"/>
      <c r="B211" s="109"/>
      <c r="C211" s="141"/>
      <c r="D211" s="142"/>
      <c r="O211" s="143"/>
      <c r="AQ211" s="144"/>
      <c r="AV211" s="145"/>
    </row>
    <row r="212" spans="1:48" s="140" customFormat="1" ht="12.75">
      <c r="A212" s="109"/>
      <c r="B212" s="109"/>
      <c r="C212" s="141"/>
      <c r="D212" s="142"/>
      <c r="O212" s="143"/>
      <c r="AQ212" s="144"/>
      <c r="AV212" s="145"/>
    </row>
    <row r="213" spans="1:48" s="140" customFormat="1" ht="12.75">
      <c r="A213" s="109"/>
      <c r="B213" s="109"/>
      <c r="C213" s="141"/>
      <c r="D213" s="142"/>
      <c r="O213" s="143"/>
      <c r="AQ213" s="144"/>
      <c r="AV213" s="145"/>
    </row>
    <row r="214" spans="1:48" s="140" customFormat="1" ht="12.75">
      <c r="A214" s="109"/>
      <c r="B214" s="109"/>
      <c r="C214" s="141"/>
      <c r="D214" s="142"/>
      <c r="O214" s="143"/>
      <c r="AQ214" s="144"/>
      <c r="AV214" s="145"/>
    </row>
    <row r="215" spans="1:48" s="140" customFormat="1" ht="12.75">
      <c r="A215" s="109"/>
      <c r="B215" s="109"/>
      <c r="C215" s="141"/>
      <c r="D215" s="142"/>
      <c r="O215" s="143"/>
      <c r="AQ215" s="144"/>
      <c r="AV215" s="145"/>
    </row>
    <row r="216" spans="1:48" s="140" customFormat="1" ht="12.75">
      <c r="A216" s="109"/>
      <c r="B216" s="109"/>
      <c r="C216" s="141"/>
      <c r="D216" s="142"/>
      <c r="O216" s="143"/>
      <c r="AQ216" s="144"/>
      <c r="AV216" s="145"/>
    </row>
    <row r="217" spans="1:48" s="140" customFormat="1" ht="12.75">
      <c r="A217" s="109"/>
      <c r="B217" s="109"/>
      <c r="C217" s="141"/>
      <c r="D217" s="142"/>
      <c r="O217" s="143"/>
      <c r="AQ217" s="144"/>
      <c r="AV217" s="145"/>
    </row>
    <row r="218" spans="1:48" s="140" customFormat="1" ht="12.75">
      <c r="A218" s="109"/>
      <c r="B218" s="109"/>
      <c r="C218" s="141"/>
      <c r="D218" s="142"/>
      <c r="O218" s="143"/>
      <c r="AQ218" s="144"/>
      <c r="AV218" s="145"/>
    </row>
    <row r="219" spans="1:48" s="140" customFormat="1" ht="12.75">
      <c r="A219" s="109"/>
      <c r="B219" s="109"/>
      <c r="C219" s="141"/>
      <c r="D219" s="142"/>
      <c r="O219" s="143"/>
      <c r="AQ219" s="144"/>
      <c r="AV219" s="145"/>
    </row>
    <row r="220" spans="1:48" s="140" customFormat="1" ht="12.75">
      <c r="A220" s="146"/>
      <c r="B220" s="146"/>
      <c r="C220" s="141"/>
      <c r="D220" s="142"/>
      <c r="O220" s="143"/>
      <c r="AQ220" s="144"/>
      <c r="AV220" s="145"/>
    </row>
    <row r="221" spans="1:48" s="140" customFormat="1" ht="12.75">
      <c r="A221" s="146"/>
      <c r="B221" s="146"/>
      <c r="C221" s="141"/>
      <c r="D221" s="142"/>
      <c r="O221" s="143"/>
      <c r="AQ221" s="144"/>
      <c r="AV221" s="145"/>
    </row>
  </sheetData>
  <pageMargins left="0.78749999999999998" right="0.78749999999999998" top="1.1513888888888899" bottom="1.1513888888888899" header="0.78749999999999998" footer="0.78749999999999998"/>
  <pageSetup paperSize="9" firstPageNumber="0" orientation="portrait" horizontalDpi="300" verticalDpi="300" r:id="rId1"/>
  <headerFooter>
    <oddHeader>&amp;C&amp;"Times New Roman1,Normal"&amp;12&amp;A</oddHeader>
    <oddFooter>&amp;C&amp;"Times New Roman1,Normal"&amp;12Página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2023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Pamela</dc:creator>
  <cp:lastModifiedBy>Pamela</cp:lastModifiedBy>
  <dcterms:created xsi:type="dcterms:W3CDTF">2025-10-06T02:46:33Z</dcterms:created>
  <dcterms:modified xsi:type="dcterms:W3CDTF">2025-10-06T02:50:09Z</dcterms:modified>
</cp:coreProperties>
</file>