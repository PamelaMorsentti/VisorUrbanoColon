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080" yWindow="1230" windowWidth="27555" windowHeight="10695"/>
  </bookViews>
  <sheets>
    <sheet name="2024" sheetId="1" r:id="rId1"/>
  </sheets>
  <definedNames>
    <definedName name="_xlnm._FilterDatabase" localSheetId="0" hidden="1">'2024'!$W$1:$W$167</definedName>
  </definedNames>
  <calcPr calcId="125725"/>
</workbook>
</file>

<file path=xl/calcChain.xml><?xml version="1.0" encoding="utf-8"?>
<calcChain xmlns="http://schemas.openxmlformats.org/spreadsheetml/2006/main">
  <c r="AQ81" i="1"/>
  <c r="AP81"/>
  <c r="AM163"/>
  <c r="AF163"/>
  <c r="AJ163" s="1"/>
  <c r="AN163" s="1"/>
  <c r="AO162"/>
  <c r="AM162"/>
  <c r="AH162"/>
  <c r="AN162" s="1"/>
  <c r="Z162"/>
  <c r="AB162" s="1"/>
  <c r="AN161"/>
  <c r="AM161"/>
  <c r="AM160"/>
  <c r="AH160"/>
  <c r="AN160" s="1"/>
  <c r="Z160"/>
  <c r="AB160" s="1"/>
  <c r="AM159"/>
  <c r="AK159"/>
  <c r="AN159" s="1"/>
  <c r="AM158"/>
  <c r="AI158"/>
  <c r="AH158" s="1"/>
  <c r="Z158"/>
  <c r="AB158" s="1"/>
  <c r="U158"/>
  <c r="AM157"/>
  <c r="AH157"/>
  <c r="AF157"/>
  <c r="AM156"/>
  <c r="AJ156"/>
  <c r="AN156" s="1"/>
  <c r="AA156"/>
  <c r="AE156" s="1"/>
  <c r="AP155"/>
  <c r="AM155"/>
  <c r="AH155"/>
  <c r="AN155" s="1"/>
  <c r="AD155"/>
  <c r="AB155"/>
  <c r="AM154"/>
  <c r="AF154"/>
  <c r="AN154" s="1"/>
  <c r="Z154"/>
  <c r="AD154" s="1"/>
  <c r="U154"/>
  <c r="AP153"/>
  <c r="AO153"/>
  <c r="AM153"/>
  <c r="AN153" s="1"/>
  <c r="AD153"/>
  <c r="AB153"/>
  <c r="AM152"/>
  <c r="AF152"/>
  <c r="AN152" s="1"/>
  <c r="AD152"/>
  <c r="AB152"/>
  <c r="AM151"/>
  <c r="AH151"/>
  <c r="AN151" s="1"/>
  <c r="AD151"/>
  <c r="AB151"/>
  <c r="AM150"/>
  <c r="AH150"/>
  <c r="AN150" s="1"/>
  <c r="AD150"/>
  <c r="AB150"/>
  <c r="AM149"/>
  <c r="AJ149"/>
  <c r="AP149" s="1"/>
  <c r="AE149"/>
  <c r="AC149"/>
  <c r="AM148"/>
  <c r="AJ148"/>
  <c r="AN148" s="1"/>
  <c r="AE148"/>
  <c r="AC148"/>
  <c r="AP147"/>
  <c r="AM147"/>
  <c r="AF147"/>
  <c r="AN147" s="1"/>
  <c r="Z147"/>
  <c r="AD147" s="1"/>
  <c r="U147"/>
  <c r="AO146"/>
  <c r="AM146"/>
  <c r="AJ146"/>
  <c r="AN146" s="1"/>
  <c r="AA146"/>
  <c r="AC146" s="1"/>
  <c r="AM145"/>
  <c r="AI145"/>
  <c r="AN145" s="1"/>
  <c r="AO144"/>
  <c r="AM144"/>
  <c r="AH144"/>
  <c r="AN144" s="1"/>
  <c r="AP143"/>
  <c r="AM143"/>
  <c r="AK143"/>
  <c r="AN143" s="1"/>
  <c r="AM142"/>
  <c r="AK142"/>
  <c r="AN142" s="1"/>
  <c r="AM141"/>
  <c r="AH141"/>
  <c r="AN141" s="1"/>
  <c r="AP140"/>
  <c r="AN140"/>
  <c r="AM140"/>
  <c r="AM139"/>
  <c r="AH139"/>
  <c r="AN139" s="1"/>
  <c r="Z139"/>
  <c r="AB139" s="1"/>
  <c r="AM138"/>
  <c r="AF138"/>
  <c r="AH138" s="1"/>
  <c r="AP138" s="1"/>
  <c r="Z138"/>
  <c r="AB138" s="1"/>
  <c r="AM137"/>
  <c r="AK137"/>
  <c r="AJ137"/>
  <c r="AP137" s="1"/>
  <c r="AA137"/>
  <c r="AE137" s="1"/>
  <c r="V137"/>
  <c r="AP136"/>
  <c r="AJ136"/>
  <c r="AN136" s="1"/>
  <c r="AE136"/>
  <c r="AC136"/>
  <c r="AO135"/>
  <c r="AM135"/>
  <c r="AH135"/>
  <c r="AF135"/>
  <c r="Z135"/>
  <c r="AB135" s="1"/>
  <c r="AM134"/>
  <c r="AJ134"/>
  <c r="AN134" s="1"/>
  <c r="AM133"/>
  <c r="AI133"/>
  <c r="AN133" s="1"/>
  <c r="AQ132"/>
  <c r="AX133" s="1"/>
  <c r="AJ132"/>
  <c r="AP132" s="1"/>
  <c r="AF132"/>
  <c r="AE132"/>
  <c r="Z132"/>
  <c r="AB132" s="1"/>
  <c r="U132"/>
  <c r="AM131"/>
  <c r="AH131"/>
  <c r="AN131" s="1"/>
  <c r="AD131"/>
  <c r="AB131"/>
  <c r="AN130"/>
  <c r="Z130"/>
  <c r="AB130" s="1"/>
  <c r="AO129"/>
  <c r="AM129"/>
  <c r="AJ129"/>
  <c r="AP129" s="1"/>
  <c r="AE129"/>
  <c r="AC129"/>
  <c r="AK128"/>
  <c r="AG128"/>
  <c r="AD128"/>
  <c r="AB128"/>
  <c r="AM127"/>
  <c r="AH127"/>
  <c r="AN127" s="1"/>
  <c r="AD127"/>
  <c r="AB127"/>
  <c r="AM126"/>
  <c r="AI126"/>
  <c r="AP126" s="1"/>
  <c r="AH126"/>
  <c r="AG126"/>
  <c r="AD126"/>
  <c r="Z126"/>
  <c r="AB126" s="1"/>
  <c r="AM125"/>
  <c r="AJ125"/>
  <c r="AN125" s="1"/>
  <c r="AE125"/>
  <c r="AC125"/>
  <c r="AM124"/>
  <c r="AH124"/>
  <c r="AF124"/>
  <c r="U124"/>
  <c r="AP123"/>
  <c r="AL123"/>
  <c r="AM123" s="1"/>
  <c r="AN123" s="1"/>
  <c r="AM122"/>
  <c r="AJ122"/>
  <c r="AE122"/>
  <c r="AC122"/>
  <c r="AJ121"/>
  <c r="AM121" s="1"/>
  <c r="AE121"/>
  <c r="AM120"/>
  <c r="AH120"/>
  <c r="AF120"/>
  <c r="Z120"/>
  <c r="AD120" s="1"/>
  <c r="U120"/>
  <c r="AM119"/>
  <c r="AH119"/>
  <c r="AN119" s="1"/>
  <c r="AD119"/>
  <c r="AB119"/>
  <c r="AL118"/>
  <c r="AM118" s="1"/>
  <c r="AJ118"/>
  <c r="AE118"/>
  <c r="AC118"/>
  <c r="AM117"/>
  <c r="AH117"/>
  <c r="AN117" s="1"/>
  <c r="AD117"/>
  <c r="AB117"/>
  <c r="AI116"/>
  <c r="AH116" s="1"/>
  <c r="AG116"/>
  <c r="AF116" s="1"/>
  <c r="Z116"/>
  <c r="AB116" s="1"/>
  <c r="U116"/>
  <c r="AP115"/>
  <c r="AO115"/>
  <c r="AM115"/>
  <c r="AJ115"/>
  <c r="AN115" s="1"/>
  <c r="AE115"/>
  <c r="AC115"/>
  <c r="AM114"/>
  <c r="AH114"/>
  <c r="AP114" s="1"/>
  <c r="Z114"/>
  <c r="AB114" s="1"/>
  <c r="U114"/>
  <c r="AP113"/>
  <c r="AM113"/>
  <c r="AJ113"/>
  <c r="AH113"/>
  <c r="AF113"/>
  <c r="AD113"/>
  <c r="AB113"/>
  <c r="AM112"/>
  <c r="AH112"/>
  <c r="AN112" s="1"/>
  <c r="AD112"/>
  <c r="AB112"/>
  <c r="AO111"/>
  <c r="AM111"/>
  <c r="AJ111"/>
  <c r="AN111" s="1"/>
  <c r="AE111"/>
  <c r="AC111"/>
  <c r="AP110"/>
  <c r="AO110"/>
  <c r="AN110"/>
  <c r="AM110"/>
  <c r="AD110"/>
  <c r="AB110"/>
  <c r="AO109"/>
  <c r="AM109"/>
  <c r="AF109"/>
  <c r="AH109" s="1"/>
  <c r="Z109"/>
  <c r="AD109" s="1"/>
  <c r="AP108"/>
  <c r="AM107"/>
  <c r="AJ107"/>
  <c r="AN107" s="1"/>
  <c r="AE107"/>
  <c r="AC107"/>
  <c r="AO106"/>
  <c r="AM106"/>
  <c r="AH106"/>
  <c r="AN106" s="1"/>
  <c r="AD106"/>
  <c r="AB106"/>
  <c r="AM105"/>
  <c r="AH105"/>
  <c r="AN105" s="1"/>
  <c r="AD105"/>
  <c r="AB105"/>
  <c r="AM103"/>
  <c r="AK103"/>
  <c r="AJ103"/>
  <c r="AE103"/>
  <c r="AC103"/>
  <c r="AO102"/>
  <c r="AM102"/>
  <c r="AH102"/>
  <c r="AN102" s="1"/>
  <c r="Z102"/>
  <c r="AB102" s="1"/>
  <c r="AK101"/>
  <c r="AM100"/>
  <c r="AF100"/>
  <c r="AH100" s="1"/>
  <c r="Z100"/>
  <c r="AB100" s="1"/>
  <c r="AM99"/>
  <c r="AJ99"/>
  <c r="AN99" s="1"/>
  <c r="AE99"/>
  <c r="AC99"/>
  <c r="AP98"/>
  <c r="AN98"/>
  <c r="AM98"/>
  <c r="AE98"/>
  <c r="AM97"/>
  <c r="AF97"/>
  <c r="AP97" s="1"/>
  <c r="AM96"/>
  <c r="AH96"/>
  <c r="AN96" s="1"/>
  <c r="AO95"/>
  <c r="AM95"/>
  <c r="AJ95"/>
  <c r="AP95" s="1"/>
  <c r="AC95"/>
  <c r="AA95"/>
  <c r="AE95" s="1"/>
  <c r="V95"/>
  <c r="AM93"/>
  <c r="AK93"/>
  <c r="AJ93"/>
  <c r="AA93"/>
  <c r="AC93" s="1"/>
  <c r="V93"/>
  <c r="AM92"/>
  <c r="AH92"/>
  <c r="AP92" s="1"/>
  <c r="AF92"/>
  <c r="AD92"/>
  <c r="AM91"/>
  <c r="AH91"/>
  <c r="AN91" s="1"/>
  <c r="AD91"/>
  <c r="AB91"/>
  <c r="AM90"/>
  <c r="AH90"/>
  <c r="AN90" s="1"/>
  <c r="Z90"/>
  <c r="AD90" s="1"/>
  <c r="AM89"/>
  <c r="AK89"/>
  <c r="AJ89"/>
  <c r="AE89"/>
  <c r="AC89"/>
  <c r="AM87"/>
  <c r="AK87"/>
  <c r="AN87" s="1"/>
  <c r="AA87"/>
  <c r="AC87" s="1"/>
  <c r="AN88"/>
  <c r="AM88"/>
  <c r="AJ88"/>
  <c r="AP88" s="1"/>
  <c r="AE88"/>
  <c r="AC88"/>
  <c r="AM85"/>
  <c r="AJ85"/>
  <c r="AF85"/>
  <c r="AD85"/>
  <c r="AB85"/>
  <c r="AA85"/>
  <c r="AE85" s="1"/>
  <c r="AP84"/>
  <c r="AG84"/>
  <c r="AN84" s="1"/>
  <c r="AO83"/>
  <c r="AM83"/>
  <c r="AJ83"/>
  <c r="AN83" s="1"/>
  <c r="AE83"/>
  <c r="AC83"/>
  <c r="AM82"/>
  <c r="AH82"/>
  <c r="AN82" s="1"/>
  <c r="AD82"/>
  <c r="AB82"/>
  <c r="AO77"/>
  <c r="AM77"/>
  <c r="AK77"/>
  <c r="AI77"/>
  <c r="AF77"/>
  <c r="AD77"/>
  <c r="AB77"/>
  <c r="AO79"/>
  <c r="AM79"/>
  <c r="AF79"/>
  <c r="AN79" s="1"/>
  <c r="Z79"/>
  <c r="AB79" s="1"/>
  <c r="AM80"/>
  <c r="AJ80"/>
  <c r="AP80" s="1"/>
  <c r="AA80"/>
  <c r="AE80" s="1"/>
  <c r="AO78"/>
  <c r="AM78"/>
  <c r="AJ78"/>
  <c r="AP78" s="1"/>
  <c r="AE78"/>
  <c r="AC78"/>
  <c r="AO76"/>
  <c r="AM76"/>
  <c r="AJ76"/>
  <c r="AN76" s="1"/>
  <c r="AE76"/>
  <c r="AC76"/>
  <c r="AP75"/>
  <c r="AM75"/>
  <c r="AK75"/>
  <c r="AN75" s="1"/>
  <c r="AE75"/>
  <c r="AC75"/>
  <c r="AP74"/>
  <c r="AM74"/>
  <c r="AN74" s="1"/>
  <c r="AO73"/>
  <c r="AM73"/>
  <c r="AJ73"/>
  <c r="AN73" s="1"/>
  <c r="AA73"/>
  <c r="AC73" s="1"/>
  <c r="AM72"/>
  <c r="AH72"/>
  <c r="AN72" s="1"/>
  <c r="Z72"/>
  <c r="AB72" s="1"/>
  <c r="AM71"/>
  <c r="AJ71"/>
  <c r="AN71" s="1"/>
  <c r="AE71"/>
  <c r="AC71"/>
  <c r="AO70"/>
  <c r="AN70"/>
  <c r="AM70"/>
  <c r="AM94"/>
  <c r="AJ94"/>
  <c r="AN94" s="1"/>
  <c r="AE94"/>
  <c r="AC94"/>
  <c r="AM69"/>
  <c r="AH69"/>
  <c r="AP69" s="1"/>
  <c r="AD69"/>
  <c r="AB69"/>
  <c r="AM68"/>
  <c r="AH68"/>
  <c r="AN68" s="1"/>
  <c r="AM67"/>
  <c r="AJ67"/>
  <c r="AN67" s="1"/>
  <c r="AC67"/>
  <c r="Z67"/>
  <c r="AB67" s="1"/>
  <c r="AP66"/>
  <c r="AN66"/>
  <c r="AM66"/>
  <c r="AH66"/>
  <c r="Z66"/>
  <c r="AB66" s="1"/>
  <c r="U66"/>
  <c r="AM65"/>
  <c r="AI65"/>
  <c r="AN65" s="1"/>
  <c r="AM64"/>
  <c r="AJ64"/>
  <c r="AN64" s="1"/>
  <c r="AE64"/>
  <c r="AC64"/>
  <c r="AO63"/>
  <c r="AM63"/>
  <c r="AH63"/>
  <c r="AN63" s="1"/>
  <c r="Z63"/>
  <c r="AD63" s="1"/>
  <c r="AM62"/>
  <c r="AJ62"/>
  <c r="AN62" s="1"/>
  <c r="AE62"/>
  <c r="AC62"/>
  <c r="AM61"/>
  <c r="AH61"/>
  <c r="AN61" s="1"/>
  <c r="AE61"/>
  <c r="AD61"/>
  <c r="AC61"/>
  <c r="AB61"/>
  <c r="W61"/>
  <c r="AM60"/>
  <c r="AH60"/>
  <c r="AP60" s="1"/>
  <c r="AM58"/>
  <c r="AJ58"/>
  <c r="AP58" s="1"/>
  <c r="AA58"/>
  <c r="AE58" s="1"/>
  <c r="AM56"/>
  <c r="AK56"/>
  <c r="AN56" s="1"/>
  <c r="AA56"/>
  <c r="V56"/>
  <c r="AP55"/>
  <c r="AO55"/>
  <c r="AN55"/>
  <c r="AM55"/>
  <c r="AD55"/>
  <c r="AM54"/>
  <c r="AI54"/>
  <c r="AN54" s="1"/>
  <c r="AM53"/>
  <c r="AJ53"/>
  <c r="AN53" s="1"/>
  <c r="AE53"/>
  <c r="AC53"/>
  <c r="AO52"/>
  <c r="AM52"/>
  <c r="AH52"/>
  <c r="AN52" s="1"/>
  <c r="AD52"/>
  <c r="AB52"/>
  <c r="AJ51"/>
  <c r="AN51" s="1"/>
  <c r="AA51"/>
  <c r="AE51" s="1"/>
  <c r="AF50"/>
  <c r="AD50"/>
  <c r="AO49"/>
  <c r="AM49"/>
  <c r="AI49"/>
  <c r="AH49" s="1"/>
  <c r="AN49" s="1"/>
  <c r="U49"/>
  <c r="AP48"/>
  <c r="AO48"/>
  <c r="AN48"/>
  <c r="AM48"/>
  <c r="AM46"/>
  <c r="AJ46"/>
  <c r="AN46" s="1"/>
  <c r="AE46"/>
  <c r="AC46"/>
  <c r="AM47"/>
  <c r="AJ47"/>
  <c r="AF47"/>
  <c r="Z47"/>
  <c r="AD47" s="1"/>
  <c r="AO44"/>
  <c r="AM44"/>
  <c r="AF44"/>
  <c r="AH44" s="1"/>
  <c r="AP44" s="1"/>
  <c r="Z44"/>
  <c r="AB44" s="1"/>
  <c r="U44"/>
  <c r="AM42"/>
  <c r="AJ42"/>
  <c r="AP42" s="1"/>
  <c r="AE42"/>
  <c r="AC42"/>
  <c r="AM41"/>
  <c r="AH41"/>
  <c r="AN41" s="1"/>
  <c r="AD41"/>
  <c r="AB41"/>
  <c r="AM40"/>
  <c r="AH40"/>
  <c r="AN40" s="1"/>
  <c r="AD40"/>
  <c r="AB40"/>
  <c r="AM39"/>
  <c r="AH39"/>
  <c r="AN39" s="1"/>
  <c r="Z39"/>
  <c r="AB39" s="1"/>
  <c r="AM38"/>
  <c r="AJ38"/>
  <c r="AN38" s="1"/>
  <c r="AE38"/>
  <c r="AC38"/>
  <c r="AO37"/>
  <c r="AM37"/>
  <c r="AJ37"/>
  <c r="AN37" s="1"/>
  <c r="AA37"/>
  <c r="AC37" s="1"/>
  <c r="AM36"/>
  <c r="AJ36"/>
  <c r="AP36" s="1"/>
  <c r="AA36"/>
  <c r="AE36" s="1"/>
  <c r="AP34"/>
  <c r="AM34"/>
  <c r="AN34" s="1"/>
  <c r="Z34"/>
  <c r="AB34" s="1"/>
  <c r="AM33"/>
  <c r="AN33" s="1"/>
  <c r="AM32"/>
  <c r="AH32"/>
  <c r="AN32" s="1"/>
  <c r="AD32"/>
  <c r="AB32"/>
  <c r="AP31"/>
  <c r="AM31"/>
  <c r="AN31" s="1"/>
  <c r="AD31"/>
  <c r="AB31"/>
  <c r="AO30"/>
  <c r="AM30"/>
  <c r="AH30"/>
  <c r="AP30" s="1"/>
  <c r="AF30"/>
  <c r="AA30"/>
  <c r="AE30" s="1"/>
  <c r="AM29"/>
  <c r="AH29"/>
  <c r="AN29" s="1"/>
  <c r="Z29"/>
  <c r="AB29" s="1"/>
  <c r="AP28"/>
  <c r="AM28"/>
  <c r="AF28"/>
  <c r="AN28" s="1"/>
  <c r="AE28"/>
  <c r="Z28"/>
  <c r="AB28" s="1"/>
  <c r="U28"/>
  <c r="AM27"/>
  <c r="AJ27"/>
  <c r="AN27" s="1"/>
  <c r="AA27"/>
  <c r="AC27" s="1"/>
  <c r="AP26"/>
  <c r="AO26"/>
  <c r="AN26"/>
  <c r="AM26"/>
  <c r="AO25"/>
  <c r="AM25"/>
  <c r="AJ25"/>
  <c r="AN25" s="1"/>
  <c r="AE25"/>
  <c r="AC25"/>
  <c r="AM24"/>
  <c r="AK24"/>
  <c r="AN24" s="1"/>
  <c r="AN23"/>
  <c r="AM23"/>
  <c r="AJ22"/>
  <c r="AN22" s="1"/>
  <c r="AA22"/>
  <c r="AC22" s="1"/>
  <c r="V22"/>
  <c r="AM21"/>
  <c r="AH21"/>
  <c r="AN21" s="1"/>
  <c r="AD21"/>
  <c r="AB21"/>
  <c r="AO20"/>
  <c r="AM20"/>
  <c r="AH20"/>
  <c r="AN20" s="1"/>
  <c r="AD20"/>
  <c r="AB20"/>
  <c r="AP19"/>
  <c r="AM19"/>
  <c r="AJ19"/>
  <c r="AF19"/>
  <c r="AA19"/>
  <c r="AE19" s="1"/>
  <c r="Z19"/>
  <c r="AB19" s="1"/>
  <c r="AN18"/>
  <c r="AM18"/>
  <c r="AO17"/>
  <c r="AM17"/>
  <c r="AH17"/>
  <c r="AP17" s="1"/>
  <c r="AF17"/>
  <c r="Z17"/>
  <c r="AB17" s="1"/>
  <c r="AP16"/>
  <c r="AM16"/>
  <c r="AH16"/>
  <c r="AN16" s="1"/>
  <c r="Z16"/>
  <c r="AB16" s="1"/>
  <c r="U16"/>
  <c r="AM15"/>
  <c r="AH15"/>
  <c r="AP15" s="1"/>
  <c r="AF15"/>
  <c r="AB15"/>
  <c r="AP14"/>
  <c r="AO14"/>
  <c r="AM14"/>
  <c r="AH14"/>
  <c r="AF14"/>
  <c r="AN14" s="1"/>
  <c r="AD14"/>
  <c r="AB14"/>
  <c r="AP13"/>
  <c r="AO13"/>
  <c r="AM13"/>
  <c r="AN13" s="1"/>
  <c r="AD13"/>
  <c r="AB13"/>
  <c r="AP12"/>
  <c r="AN12"/>
  <c r="AM12"/>
  <c r="AA12"/>
  <c r="AM11"/>
  <c r="AN11" s="1"/>
  <c r="AN10"/>
  <c r="AM10"/>
  <c r="AM9"/>
  <c r="AJ9"/>
  <c r="AN9" s="1"/>
  <c r="AE9"/>
  <c r="AC9"/>
  <c r="AM8"/>
  <c r="AF8"/>
  <c r="AH8" s="1"/>
  <c r="AP8" s="1"/>
  <c r="Z8"/>
  <c r="AB8" s="1"/>
  <c r="U8"/>
  <c r="AM7"/>
  <c r="AH7"/>
  <c r="AF7"/>
  <c r="Z7"/>
  <c r="AB7" s="1"/>
  <c r="AO6"/>
  <c r="AM6"/>
  <c r="AJ6"/>
  <c r="AP6" s="1"/>
  <c r="AE6"/>
  <c r="AC6"/>
  <c r="AP5"/>
  <c r="AM5"/>
  <c r="AF5"/>
  <c r="AN5" s="1"/>
  <c r="AE5"/>
  <c r="AC5"/>
  <c r="AM4"/>
  <c r="AJ4"/>
  <c r="AN4" s="1"/>
  <c r="AE4"/>
  <c r="AC4"/>
  <c r="AO3"/>
  <c r="AM3"/>
  <c r="AF3"/>
  <c r="AH3" s="1"/>
  <c r="AP3" s="1"/>
  <c r="Z3"/>
  <c r="AM2"/>
  <c r="AJ2"/>
  <c r="AP2" s="1"/>
  <c r="AC2"/>
  <c r="AA2"/>
  <c r="AE2" s="1"/>
  <c r="AJ164" l="1"/>
  <c r="AN164" s="1"/>
  <c r="AD116"/>
  <c r="AP125"/>
  <c r="AC137"/>
  <c r="AN60"/>
  <c r="AN149"/>
  <c r="AP103"/>
  <c r="AE87"/>
  <c r="AE37"/>
  <c r="AN42"/>
  <c r="AN97"/>
  <c r="AP83"/>
  <c r="AE146"/>
  <c r="AD160"/>
  <c r="AP150"/>
  <c r="AP25"/>
  <c r="AN77"/>
  <c r="AN7"/>
  <c r="AP93"/>
  <c r="AE93"/>
  <c r="AN132"/>
  <c r="AN157"/>
  <c r="AP158"/>
  <c r="AN158"/>
  <c r="AP71"/>
  <c r="AP107"/>
  <c r="AP156"/>
  <c r="AP37"/>
  <c r="AP56"/>
  <c r="AN100"/>
  <c r="AP122"/>
  <c r="AE22"/>
  <c r="AP46"/>
  <c r="AN114"/>
  <c r="AP119"/>
  <c r="AN122"/>
  <c r="AP148"/>
  <c r="AC156"/>
  <c r="AN89"/>
  <c r="AC19"/>
  <c r="AP27"/>
  <c r="AN92"/>
  <c r="AP111"/>
  <c r="AN124"/>
  <c r="AD132"/>
  <c r="AN15"/>
  <c r="AC36"/>
  <c r="AB47"/>
  <c r="AC58"/>
  <c r="AD72"/>
  <c r="AN120"/>
  <c r="AN17"/>
  <c r="AN19"/>
  <c r="AD28"/>
  <c r="AN30"/>
  <c r="AP38"/>
  <c r="AN95"/>
  <c r="AN103"/>
  <c r="AB120"/>
  <c r="AN129"/>
  <c r="AN138"/>
  <c r="AN2"/>
  <c r="AD17"/>
  <c r="AC30"/>
  <c r="AD44"/>
  <c r="AP49"/>
  <c r="AP63"/>
  <c r="AD66"/>
  <c r="AE73"/>
  <c r="AC80"/>
  <c r="AN85"/>
  <c r="AB90"/>
  <c r="AN113"/>
  <c r="AP131"/>
  <c r="AD7"/>
  <c r="AD19"/>
  <c r="AP20"/>
  <c r="AB109"/>
  <c r="AP29"/>
  <c r="AP40"/>
  <c r="AP67"/>
  <c r="AN8"/>
  <c r="AN78"/>
  <c r="AP121"/>
  <c r="AP151"/>
  <c r="AB63"/>
  <c r="AP105"/>
  <c r="AN121"/>
  <c r="AN126"/>
  <c r="AN137"/>
  <c r="AD102"/>
  <c r="AN116"/>
  <c r="AN47"/>
  <c r="AC51"/>
  <c r="AP64"/>
  <c r="AN93"/>
  <c r="AN135"/>
  <c r="AN3"/>
  <c r="AD34"/>
  <c r="AP53"/>
  <c r="AD79"/>
  <c r="AD130"/>
  <c r="AD139"/>
  <c r="AD158"/>
  <c r="AN118"/>
  <c r="AD135"/>
  <c r="AN109"/>
  <c r="AP109"/>
  <c r="AD3"/>
  <c r="AP4"/>
  <c r="AD8"/>
  <c r="AE27"/>
  <c r="AN36"/>
  <c r="AN44"/>
  <c r="AP51"/>
  <c r="AP65"/>
  <c r="AN69"/>
  <c r="AN80"/>
  <c r="AP87"/>
  <c r="AP99"/>
  <c r="AP102"/>
  <c r="AP117"/>
  <c r="AD138"/>
  <c r="AP139"/>
  <c r="AD162"/>
  <c r="AB3"/>
  <c r="AN6"/>
  <c r="AP9"/>
  <c r="AP21"/>
  <c r="AP72"/>
  <c r="AP76"/>
  <c r="AC85"/>
  <c r="AD100"/>
  <c r="AM164"/>
  <c r="AP142"/>
  <c r="AP145"/>
  <c r="AD29"/>
  <c r="AP32"/>
  <c r="AP39"/>
  <c r="AP41"/>
  <c r="AP82"/>
  <c r="AP96"/>
  <c r="AP112"/>
  <c r="AD114"/>
  <c r="AP120"/>
  <c r="AP124"/>
  <c r="AP106"/>
  <c r="AP52"/>
  <c r="AP68"/>
  <c r="AP94"/>
  <c r="AP73"/>
  <c r="AP118"/>
  <c r="AP127"/>
  <c r="AP133"/>
  <c r="AP135"/>
  <c r="AP141"/>
  <c r="AP146"/>
  <c r="AP160"/>
  <c r="AE12"/>
  <c r="AD39"/>
  <c r="AP62"/>
  <c r="AP85"/>
  <c r="AP91"/>
  <c r="AC12"/>
</calcChain>
</file>

<file path=xl/sharedStrings.xml><?xml version="1.0" encoding="utf-8"?>
<sst xmlns="http://schemas.openxmlformats.org/spreadsheetml/2006/main" count="1797" uniqueCount="869">
  <si>
    <t>LEGAJO</t>
  </si>
  <si>
    <t>EXPEDIENTE</t>
  </si>
  <si>
    <t>INGRESO</t>
  </si>
  <si>
    <t>CONDICION del trámite</t>
  </si>
  <si>
    <t>Plano de Mensura</t>
  </si>
  <si>
    <t>Partida Provincial</t>
  </si>
  <si>
    <t>Partida Municipal</t>
  </si>
  <si>
    <t>Concesión</t>
  </si>
  <si>
    <t>Ex-Quinta</t>
  </si>
  <si>
    <t>Manzana</t>
  </si>
  <si>
    <t>Parcela</t>
  </si>
  <si>
    <t>Zonificación</t>
  </si>
  <si>
    <t>Ubicación</t>
  </si>
  <si>
    <t>Propietario</t>
  </si>
  <si>
    <t>Nombre del Establecimiento y/o empresa</t>
  </si>
  <si>
    <t>Proyecto</t>
  </si>
  <si>
    <t>Dirección de obra</t>
  </si>
  <si>
    <t>Estructura</t>
  </si>
  <si>
    <t>Constructor</t>
  </si>
  <si>
    <t>RELEVAMIENTO o existente</t>
  </si>
  <si>
    <t>A CONTRUIR / OBRA NUEVA</t>
  </si>
  <si>
    <t>AMPLIACION de obra existente</t>
  </si>
  <si>
    <t>PROYECTADO (no iniciado)</t>
  </si>
  <si>
    <t>Terreno</t>
  </si>
  <si>
    <t>F. O. S.</t>
  </si>
  <si>
    <t>F. O. T.</t>
  </si>
  <si>
    <t>CATEGORIA</t>
  </si>
  <si>
    <t>Monto de la Inversión (estimado y/o declarado)</t>
  </si>
  <si>
    <t>Derechos de edificación</t>
  </si>
  <si>
    <t>Observaciones</t>
  </si>
  <si>
    <t>AVANCE DE OBRA</t>
  </si>
  <si>
    <t>ENERO</t>
  </si>
  <si>
    <t>MAIL, 558439</t>
  </si>
  <si>
    <t>Periurbana</t>
  </si>
  <si>
    <t>Los Cardos s/Nº</t>
  </si>
  <si>
    <t>FARIAS Eduardo Luís</t>
  </si>
  <si>
    <t>PALACIOS Silvina Marìa</t>
  </si>
  <si>
    <t>MARTINEZ Jose L.</t>
  </si>
  <si>
    <t>Vivienda multifamiliar</t>
  </si>
  <si>
    <t>ARQ.</t>
  </si>
  <si>
    <t>piscinas, 3 a consrtuir, tanque de agua, depòsito, baños y sala de tableros, 4 unidades de dos dormitorios, baño, cocina comedor, cocheras descubiertas, BAJO ORD 27/10, art 1, punto 1, inc 9, Infraccion art 5, 27, 37 del CE</t>
  </si>
  <si>
    <t>22/12/23, obra iniciada, fundaciones realizadas y comienzo de capa aisladora</t>
  </si>
  <si>
    <t>RELEVAMIENTO</t>
  </si>
  <si>
    <t>Urbana</t>
  </si>
  <si>
    <t>Craviotto Nº 675, 677</t>
  </si>
  <si>
    <t>CEBALLO Angélica Mirta</t>
  </si>
  <si>
    <t>BERTOLDI Fabián A.</t>
  </si>
  <si>
    <t>relevaamiento de ampliaciones realizadas en vivienda multifamiliar con planos, una de dos dormitorios, cocina, cocmedor, otra con cocina comedor, lavadero, estar comedor, baño, pequeño deposito, dormitorio y baño en PA,, terraza al fondo, BAJO ORD 27/10, art 1, punto 2, inc 2 y 3, Infraccion Ord 130/22, art 20, Ord 53/07, CE art 5, 27, 37, 144, 178, 179, 182, 202, 214 del CE (construccion retirada de EM lateral, invade lote vecino al fondo</t>
  </si>
  <si>
    <t>A CONSTRUIR</t>
  </si>
  <si>
    <t xml:space="preserve">Urbana </t>
  </si>
  <si>
    <t>Girard N° 275</t>
  </si>
  <si>
    <t>FUERTES María Angélica y REBUFAT Nicolás</t>
  </si>
  <si>
    <t>REBUFAT Nicolás</t>
  </si>
  <si>
    <t>no identificado</t>
  </si>
  <si>
    <t>Vivienda unifamiliar</t>
  </si>
  <si>
    <t>ING. CIVIL</t>
  </si>
  <si>
    <t>vivienda unifamiliar a construir, dos dorimitorios, baño, cocina comedor estar, cochera dexcubierta</t>
  </si>
  <si>
    <t>27/9/23, baldío</t>
  </si>
  <si>
    <t>mail, 558726</t>
  </si>
  <si>
    <t>AMPLIACION</t>
  </si>
  <si>
    <t>Bvard Ferrari Nº 399</t>
  </si>
  <si>
    <t>FERNANDEZ Pablo Antonio</t>
  </si>
  <si>
    <t>PACCOT Javier Humberto</t>
  </si>
  <si>
    <t>vivienda unifamiliar a ampliar y reformar, dos dormitorios, baño, cocina, comedor estar, toilet, parrilla exterior, cochera cubierta, BAJO ORD 27/10, art 1, punto 2, inc 3 (existente), Infraciion Ord 130/22, art 20</t>
  </si>
  <si>
    <t>28/12/23, trabajos no comenzados</t>
  </si>
  <si>
    <t>mail, 549099</t>
  </si>
  <si>
    <t>Quintas</t>
  </si>
  <si>
    <t>Brovatti Nº 339</t>
  </si>
  <si>
    <t>STEVENS Jorge Alberto y PELLIZARI Ana Laura</t>
  </si>
  <si>
    <t>GOMEZ Iris Rocío</t>
  </si>
  <si>
    <t>C 828</t>
  </si>
  <si>
    <t>vivienda unifamiliar a construi, dos dormitorios, uno en suite con vestidor y baño completo compartimentado, baño completo, estar cocina comedor amplio, baño de servicoi con ducha, galeria permetral semicubierta cochera en el lateral de la cas, en PB entrepiso multiuso, BAJO ORD 27/10, art 1, punto 1, inc 9</t>
  </si>
  <si>
    <t>fundaciones contrapiso e inst ejecutadas, 30/12/22</t>
  </si>
  <si>
    <t>mail, 558136</t>
  </si>
  <si>
    <t>Paso de los Andes Nº 2194, 2196</t>
  </si>
  <si>
    <t>D´Angelo Carolina y D´Angelo Fabricio</t>
  </si>
  <si>
    <t>TRABICHET Romina</t>
  </si>
  <si>
    <t>relevamiento de monoambiente de madera, baño y semicubierto para cochera la fondo, vivienda existente al frente de dos dormitorios, baño, cocina comedor y cochera semicubierta, BAJO ORD 27/10, art 1, punto 2, inc 2, Çinfraccion CE art 5, 27, 37, 141, 144, 151, 176, 181, 182, 178, 198, 201, 202, 214, 232</t>
  </si>
  <si>
    <t>mail, 549001</t>
  </si>
  <si>
    <t>Centro</t>
  </si>
  <si>
    <t>Alvear Nº 97</t>
  </si>
  <si>
    <t>RUIZ DIAZ VALIENTE Serena Pastora</t>
  </si>
  <si>
    <t>GOMEZ Iris Rocìo</t>
  </si>
  <si>
    <t>Vivienda unifamiliar + Local comercial</t>
  </si>
  <si>
    <t>relevamiento de vivienda unifamiliar de cuatro dormitorios, cinco baños, dos depositos, cochera cubierta, quincho semicubierto, 2 hall, cocina, comedor estar, galeria semicubierta, SUM, local comercial con deposito, baño y kitchen, BAJO ORD 27/10, art 1, punto 2, inc 2 y 3, Infraccion CE art 5, 27, 37, 130, 179, 181, 182, ORd 130/11, art 19</t>
  </si>
  <si>
    <t>Calle Privada s/N° - Los Bretes</t>
  </si>
  <si>
    <t>CARABETTA Leonardo Anselmo</t>
  </si>
  <si>
    <t>VALLARINO Guillermo Daniel y MARIN Jorge Fabricio</t>
  </si>
  <si>
    <t>vivienda unifamiliar a construir, tres dormitorios, uno en suite con baño, baño completo, depósito, ñavadero, toilete, hall acceso, estar comedor cocina, quincho galería semicubierta al fondo, cochera semicubierta al frente</t>
  </si>
  <si>
    <t>9/11/23, baldio</t>
  </si>
  <si>
    <t>9 de Mayo Nº 289</t>
  </si>
  <si>
    <t>ANSALDI Marìa Josefina</t>
  </si>
  <si>
    <t>ZARAGO ZA Vìctor Andrès</t>
  </si>
  <si>
    <t xml:space="preserve">RAMOS </t>
  </si>
  <si>
    <t>Galpòn / Depòsito</t>
  </si>
  <si>
    <t>galpòn depòsito a construir, con oficina y toilete</t>
  </si>
  <si>
    <t>14/12/23, baldìo</t>
  </si>
  <si>
    <t>mail, 558364</t>
  </si>
  <si>
    <t>9 de Mayo Nº 283</t>
  </si>
  <si>
    <t>CLUB PIEDRAS COLORADAS</t>
  </si>
  <si>
    <t>ZARAGOZA Vìctor Andrès</t>
  </si>
  <si>
    <t>MAIL, 553064, 557913</t>
  </si>
  <si>
    <t>Alvear N° 375</t>
  </si>
  <si>
    <t>DIAZ Valeria Evangelina y VERNAZ Raul A</t>
  </si>
  <si>
    <t>SALDAÑA Guadalupe</t>
  </si>
  <si>
    <t>vivienda multifamiliar a construir, 4 unidades agrupadas de a dos, de un dormitorio, baño y cocina comedor c/u, cvocheras descubiertas, quincho al fondo con baño y parrilla, piscina, BAJO ORD 27/10, art 1, punto 2, inc 2 Infraccion art 5, 27, 37, 141, 178, 201, 202, 223, 232, 247, 254 del CE, Ord 95/14, art 16</t>
  </si>
  <si>
    <t>01/06/23 en ejecucion, altura encadenado superior</t>
  </si>
  <si>
    <t>Calle Pùblica s/Nº</t>
  </si>
  <si>
    <t>BARRETO Hugo Marcelo</t>
  </si>
  <si>
    <t>GOMEZ Iriz Rocìo</t>
  </si>
  <si>
    <t>relevamiento de vivienda unifamiliar, tres dormitorios, cocina comedor estar, baño, cochera lateral semicubierta, BAJO ORD 27/10, art 1, punto 2, inc 2 y 3, Infraccion CE art 5, 27, 37, 176, 178, 201, 236, ORD 130/22, art 21</t>
  </si>
  <si>
    <t>MAIL, 549003</t>
  </si>
  <si>
    <t>Bvard Sanguinetti Nº 436</t>
  </si>
  <si>
    <t>FOLLONIER Ricardo Darìo</t>
  </si>
  <si>
    <t>relevamiento de local comercial ejecutado al frente, con dos baños, ofice y deposito, al fondo del lote vivienda existente declarada, con dos dormitorios, baño, cocina comedor, BAJO OED 27/10 art 1, punto 2, inc 2 y 3, Infraccion Ord 130/22, art 20, anexo V, CE art 5, 27, 37, 179, 232, Ord 56/07, art 3, inc 2, sub inc 1</t>
  </si>
  <si>
    <t>mail, 549006</t>
  </si>
  <si>
    <t>Urbana 1</t>
  </si>
  <si>
    <t>Pte Illía N° 203</t>
  </si>
  <si>
    <t>ALMADA Marta Graciela</t>
  </si>
  <si>
    <t>vivienda 2002 existente con plano antecedente visado 2008, relevamiento de quincho, y cochera semicubierta, parrilla, Bajo Ord 27/10, art 1, punto 2, inc 2 Y 3, Infraccion CE art 5, 27, 37, Ord 130/22, art 20</t>
  </si>
  <si>
    <t>mail, 558881</t>
  </si>
  <si>
    <t>Ruta N° 130 ex 26, km</t>
  </si>
  <si>
    <t>RENDO José Gustavo</t>
  </si>
  <si>
    <t>PALACIOS Maria Silvina</t>
  </si>
  <si>
    <t>relevamiento de depositos hechos con contenedores al frente del lote, cabañas de madera de "dos dormitorios en entrepiso", cocheras semicubiertas, quincho, piscinas, BAJO ORD 27/10, art 1, punto 2, inc 2 y 3, Infraccion CE art 5, 27, 37, 176, 178, 179, 181 182, 198, 214, 236, Ord 130/22, art 20, Anexo V</t>
  </si>
  <si>
    <t>mail, 558863</t>
  </si>
  <si>
    <t>URBANA</t>
  </si>
  <si>
    <t>Esteva Berga N° 105 / 107</t>
  </si>
  <si>
    <t>GALLO Cesar Edgardo</t>
  </si>
  <si>
    <t>relevamiento de ampliacion realizada en vivienda existente con planos, se conviertio en dos departamentos, uno todo en PB de un dormitorio, baño, cocina comedor y en PA sala de estudio entrepiso, el otro en PB dormitorio, baño, estar comedor, cocina, patio cubierto, en PA baño, dos dormitorios y un deposito (dormitorio sin ventilacion), BAJO ORD 27/10, art 1, punto 2, inc 2 y 3, Infraccion CE art 5, 27, 37, 178, 179, 223, 232, 233, ORD 53/07, ORD 130/22, art 19</t>
  </si>
  <si>
    <t>12 de Abril Nª 1324</t>
  </si>
  <si>
    <t>MASE Andres Javier</t>
  </si>
  <si>
    <t>PENON Luciano Daniel</t>
  </si>
  <si>
    <t>Galpón / Depósito</t>
  </si>
  <si>
    <t>relevamiento galpones depositos, oficina con baño, entrepiso de madera, BAJO ORD 27/10, art 1, punto 2, inc 1, 2 y3, Infraccion CE art 5, 27, 37, 144, 179, 187, 200, 214, 223, 226, 233, 260, ORD 56/07, art 3, inc 2, sub inc 1, Ord 130/22, art 20</t>
  </si>
  <si>
    <t>mail, 558441</t>
  </si>
  <si>
    <t>Ruta N° 135</t>
  </si>
  <si>
    <t>MARTINEZ Héctor Arnaldo y PONZO Esmeralda Beatriz</t>
  </si>
  <si>
    <t>PALACIOS María Silvina</t>
  </si>
  <si>
    <t>vivienda declarada, relevamiento de ampliaciones y qiuncho, a construir viviendas bungalows de dos dormitorios, baño, cocina comedor, cocheras descubiertas, BAJO ORD 27/10, art 1, punto 2, inc 2, punto 1, inc 9,  Infraccion CE art 5, 27,37 del CE</t>
  </si>
  <si>
    <t>21/12/23, obra en terminaciones</t>
  </si>
  <si>
    <t>Alberdi Nº 3227</t>
  </si>
  <si>
    <t>DI PASQUO Andrea Daiana</t>
  </si>
  <si>
    <t>TOTORICA Jorge</t>
  </si>
  <si>
    <t>relevamiento de vivienda unifamiliar, dos dormitorios, baño, cocina lavadero,comedor estar, cochera semicubierta con quincho, BAJO ORD 27/10, art 1, punto 1, inc 2, Infraccion CE art 5, 27, 37, 236</t>
  </si>
  <si>
    <t>mail, 559318</t>
  </si>
  <si>
    <t>Noailles Nº 572</t>
  </si>
  <si>
    <t>STIEBEN Jorge Fulgencio</t>
  </si>
  <si>
    <t>MAHER Luciana</t>
  </si>
  <si>
    <t>ING.</t>
  </si>
  <si>
    <t>relevamiento de vivienda unifamiliar de un dormitorio, cocina comedor, baño, lavadero semicubierto y pequeño patio, y por otro lado local destinado a radiodifusora con local, sala de consola y cocina y baño, BAJO ORD 27/10, art 1,, punto 2, inc 2, Infraccion CE art 5, 27, 37, 179</t>
  </si>
  <si>
    <t>mail, 557581</t>
  </si>
  <si>
    <t>Bolívar Nº 443 esq Sourigues Nº 109</t>
  </si>
  <si>
    <t>Fideicomiso FRATTELLI</t>
  </si>
  <si>
    <t>GUTIERREZ Fernando Marcelo</t>
  </si>
  <si>
    <t>ORELLANA Hugo</t>
  </si>
  <si>
    <t>Apart Hotel</t>
  </si>
  <si>
    <t>apart hotel a consrtuir, vivienda existente a demoler, … deptos de … dormitorios, cocina comedor estar, baño, balcón, local comercial en PB, cocheras semicubiertas</t>
  </si>
  <si>
    <t>MODIFICACION</t>
  </si>
  <si>
    <t>San Martín N° 144 esq 3 de Febrero</t>
  </si>
  <si>
    <t>FRANCO Roberto Jorge</t>
  </si>
  <si>
    <t>Local gastronómico</t>
  </si>
  <si>
    <t>relevamiento y remodelación de local comercial gastronómico, BAJO ORD 27/10, art 1, punto 1, inc 9, Infraccion CE art 5, 27, 37, 130, 149, 176, 179, 181, 223, 230, 233, 254, 256, 258, Infraccion Ord 95/14</t>
  </si>
  <si>
    <t>27/10/2023, remodelacion en curso</t>
  </si>
  <si>
    <t>FEBRERO</t>
  </si>
  <si>
    <t>mail, 556431</t>
  </si>
  <si>
    <t>Salta N° 51, 53, 55, 57, 59 esq San Martín</t>
  </si>
  <si>
    <t>LOPEZ Marcelo Fabián</t>
  </si>
  <si>
    <t>MARTIN Melisa Paola</t>
  </si>
  <si>
    <t>RAMOS Omar Ricardo</t>
  </si>
  <si>
    <t>Locales comerciales + Oficinas</t>
  </si>
  <si>
    <t>reformas en antigua estación de servicio Shell, cinco locales en PB y dos oficinas en PA, BAJO ORD 27/10, art 1, punto 1, inc 9, Infraccion CE art 5, 27, 37</t>
  </si>
  <si>
    <t>12/10/23, obra iniciada</t>
  </si>
  <si>
    <t>Urbano</t>
  </si>
  <si>
    <t>René Favaloro Nº 680</t>
  </si>
  <si>
    <t>JOURDAN Aldo Roque</t>
  </si>
  <si>
    <t>LEMA Carolina</t>
  </si>
  <si>
    <t>PORTELA Josè</t>
  </si>
  <si>
    <t>vivienda a construir, dos dormitorios, baño, cocina comedor estar, cochera descubierta</t>
  </si>
  <si>
    <t>mail, 559955</t>
  </si>
  <si>
    <t>Piamonte Nº 505 esq M. M. Lima</t>
  </si>
  <si>
    <t>BONNOT Aldo Fabián</t>
  </si>
  <si>
    <t>SERRAMO María Laura y VIOLLAZ Carolina</t>
  </si>
  <si>
    <t>VULLIEZ Mar celo</t>
  </si>
  <si>
    <t>galpòn existentcon planos, galpòn pegado a relevar y dos sanitarios a construir, uno en cada galpón, BAJO ORD 27/10, art 1, punto 2, inc 2 y 3, Infraccion Ord 130/22, art 20, anexo V, Infraccion CE art 5, 27, 37, 130, 141, 144, 151, 179, 202, 262, 264</t>
  </si>
  <si>
    <t>7/2/24, no comenzada</t>
  </si>
  <si>
    <t>Alberdi Nº 2343</t>
  </si>
  <si>
    <t>BERNAY Lilian R y MOSCONI Eduardo J</t>
  </si>
  <si>
    <t>RODRIGUEZ Luís Miguel</t>
  </si>
  <si>
    <t>VERON David Omar</t>
  </si>
  <si>
    <t>vivienda unifamiliar a construir, en PB dos dormitorios, baño, bacha separada, cocina desayunador comedor estar, despensa, lavadero, porch semicubierto, galeria semicubierta al fondo con parrilla tipo quincho y baño de servicio, en PA oficina con balcon,  dormitorio ppal con vestidor y baño completo compartimentado y balcon</t>
  </si>
  <si>
    <t>14/12/23, baldio</t>
  </si>
  <si>
    <t>FACTIBILIDAD</t>
  </si>
  <si>
    <t>Chacabuco N° 170</t>
  </si>
  <si>
    <t>AMERICAN BUILDING SA</t>
  </si>
  <si>
    <t>PERNO Ruben Alberto</t>
  </si>
  <si>
    <t>553292, mail</t>
  </si>
  <si>
    <t>SCHANTON Emiliano</t>
  </si>
  <si>
    <t>ING. CONST.</t>
  </si>
  <si>
    <t>tercer piso, con quinco baño cocina barra, oficinas de la empresa con baño, cocina, ambos con terrazas, BAOJ ORD 27/10, art 1, punto 1, inc 9, Infraccion CE art 5, 27, 37</t>
  </si>
  <si>
    <t>30/1/24 - 15-02-24 obra iniciada</t>
  </si>
  <si>
    <t>MARQUES Gu8illermo Norberto y  Alberto Oscar</t>
  </si>
  <si>
    <t>relevamiento de vivienda unifamiliar de un dormitorio, cocina comedor, baño, galeria cochera semicubierta, local deposito, dos unidades de vivienda de madera de un dormitoir, BAJO  ORD 27/10, art 1, punto 2, inc 2, Infraccion CE art 5, 27, 37, 130, 141, 144, 176, 178, 181, 198, 201, ORd 56/07, art 4, Ord 130/22, art 21</t>
  </si>
  <si>
    <t>Madre y abuelas de plaza de mayo s/Nº</t>
  </si>
  <si>
    <t>FRANCO Christian Andrès</t>
  </si>
  <si>
    <t xml:space="preserve">relevamiento de dos unidades de vivienda de alquiler monoambiente y piscina, cocheras semicubiertas, BAJO ORD 27/10, art 1, punto 2, inc 2 y 3, Infraccion CE art 5, 27, 37,246, 247 Ord 130/22, art 21 </t>
  </si>
  <si>
    <t>MARZO</t>
  </si>
  <si>
    <t>MAIL, 560224</t>
  </si>
  <si>
    <t>E. Gouchón Nº 645</t>
  </si>
  <si>
    <t>BERLINGERI VIERA Ana Virginia</t>
  </si>
  <si>
    <t>DA SILVA Brian</t>
  </si>
  <si>
    <t>SACK Gustavo</t>
  </si>
  <si>
    <t>relevamiento de vivienda unifamiliar, dos dormitorios uno en suite con baño, baño, patio interno, estar comedor cocina, cochera semicubierta, BAJO ORD 27/10, art 1, punto 2, inc 2 y 3, Infraccion Ord 130/22, art 20, C.E. art 5, 27, 37, 141, 176, 178, 179, 232, Ord 53/07, Ord 56/07, art 3, inc b</t>
  </si>
  <si>
    <t>inspección 01/06/21</t>
  </si>
  <si>
    <t>mail, 560232</t>
  </si>
  <si>
    <t>Avda Paysandú N° 673</t>
  </si>
  <si>
    <t>INDA BARRIOS Natalia Vanessa</t>
  </si>
  <si>
    <t>GOMEZ FAURE Yanina Vanesa</t>
  </si>
  <si>
    <t>relevamiento de vivienda unifamiliar, dos dormitorios, baño completo, esta comedor, cocina, cochera descubierta lateral, bajo ord 27/10, art 1, punto 2, inc 2, Infraccion CE art 5, 27, 37, 144, 151 ,178, 202 del CE</t>
  </si>
  <si>
    <t>mail, 560274</t>
  </si>
  <si>
    <t>UF-01</t>
  </si>
  <si>
    <t>Avda. Urquiza N° 458</t>
  </si>
  <si>
    <t>GROSJEAN Rita</t>
  </si>
  <si>
    <t>LEONARDI Gerónimo y GOMEZ WIKY Diamela</t>
  </si>
  <si>
    <t>LOPEZ Jorge Daniel</t>
  </si>
  <si>
    <t>Local comercial</t>
  </si>
  <si>
    <t>local comercial a remodelar, de vivienda unifamiliar a local comercial</t>
  </si>
  <si>
    <t>mail, 560417</t>
  </si>
  <si>
    <t>San Martìn Nº 1284 (antes 1274)</t>
  </si>
  <si>
    <t>WALSER Natalia María de los Ángeles</t>
  </si>
  <si>
    <t>dos unidades de vivienda existentes a relevar, cada una de dos dormitorios, baño, cocina comedor, sin cocheras, otra unidad a reformar pasa a ser administracion oficina, con baño, un local comercial con baño a consstruir al frenrte del lote, BAJO ORD 27/10, art 1, pùnto 2, inc 2, Infraccion Ord 53/07, C.E. art 5, 27, 37, 178, 179, 181, 182, 201, 202</t>
  </si>
  <si>
    <t>28/2/24, no comenzada</t>
  </si>
  <si>
    <t>mail</t>
  </si>
  <si>
    <t>12 de Abril Nº 195 esq Lavalle</t>
  </si>
  <si>
    <t>CLUB LA UNION</t>
  </si>
  <si>
    <t>Cancha - Local comercial</t>
  </si>
  <si>
    <t>ampliaciòn, demoliciòn y construcciòn de local comercial sobre 12 de abril, relevamiento de la cancha de basquet y dependencias del club</t>
  </si>
  <si>
    <t>Rocamora Nº 925 y 927</t>
  </si>
  <si>
    <t>DONNINI Luciano</t>
  </si>
  <si>
    <t>vivienda multifamiliar a construir, 3 unidades agrupadas, dos en PB de un dormitorio, baño y cocina comedor, en PA una vivienda con dos dormitorios, cocina comedor estar y baño, c/u, cvocheras descubiertas al frente</t>
  </si>
  <si>
    <t>1/3/24, baldio</t>
  </si>
  <si>
    <t>Combatientes de Malvinas Nº 503 y Vergniaud Nº 103</t>
  </si>
  <si>
    <t>AGUARA CONSTRUCTORA S.A.</t>
  </si>
  <si>
    <t>GOMEZ Erika</t>
  </si>
  <si>
    <t>tres unidades de vivienda a construir, de dos dormitorios uno con la posibilidad de tres, cocina desayunador  comedor estar, cochera semicubierta con parrilla semicubierta, Bajo ord 27/10, art 1, punto 1, inc 9, Infraccion CE art 5, 27, 37</t>
  </si>
  <si>
    <t>30/1/24, replanteo y movimiento de suelos</t>
  </si>
  <si>
    <t>Laprida Nº 117</t>
  </si>
  <si>
    <t>CERINI Pablo Atilio</t>
  </si>
  <si>
    <t>CANEL Maria Eugenia y MARIN Jorge Fabricio</t>
  </si>
  <si>
    <t>MARIN Jorge Fabricio</t>
  </si>
  <si>
    <t>vivienda unifmailiar a construir, tres dormitorios, uno en suite con baño compartimentado, vestidor, baño, en PB cocina comedor estar, cochera semicubierta para dos vehiculos con sector guardado y parrilla</t>
  </si>
  <si>
    <t>26/1/24, demolicion concluida</t>
  </si>
  <si>
    <t>ABRIL</t>
  </si>
  <si>
    <t>mail, 561482</t>
  </si>
  <si>
    <t>Tratado del Pilar Nº 229</t>
  </si>
  <si>
    <t>QUINTEROS Alfredo Paolo</t>
  </si>
  <si>
    <t>PERNO RENZI Maria Josè</t>
  </si>
  <si>
    <t>relevamiento de dos unidades de vivienda unifamiliar, una de dos dormitorios, cocina comedor, cochera descubierta, semicubierto en acceso, otra de un dormitorio, cocina comedor estar, toilete, baño, cochera cubierta, parrilla en el estar, BAJO ORD 27/10, art 1, punto 2, ic 2, Infraccion CE art 5, 27, 37, 176, 178, 179 del CE, Ord 130/22, art 20</t>
  </si>
  <si>
    <t>mail, 561193</t>
  </si>
  <si>
    <t>Benteveo s/Nº</t>
  </si>
  <si>
    <t>DELALOYE Andrea Mercedes</t>
  </si>
  <si>
    <t>RELEVAMIENTO DE VIVIENDA PARA ALQUILAR, CON UNA PLATEA EJECUTADA PARA UNA SEGUNDA UNIADAD, Y PILETA DE FIBRA PEQUEÑA, BAJO ORD 27/10, art 1, punto 2, ic 2 y 3, Infraccion CE, art 5, 27, 37, 178, 179, 181, 182, 214, 236, Ord 53/07, Ord 130/22, art 23</t>
  </si>
  <si>
    <t>mail, 560554</t>
  </si>
  <si>
    <t>SANTINELLI Jorge Guillermo y PALKOVIC Ana Marìa</t>
  </si>
  <si>
    <t>SOLIS Carlos Gustavo</t>
  </si>
  <si>
    <t>M.M.O.</t>
  </si>
  <si>
    <t>vivienda unifamiliar a relevar, tres dormitorios, baño, cocina comedor, deposito con acceso desde el exterior, baño exterior, galeria semicubierta el frente y lateral con parrilla, piscina al frente, BAJO ORD 27/10, art 1, punto 2, inc 2, Infraccion CE art 5, 27, 37, 178, 179, 201, 232, 236, Ord 56/07, art 4</t>
  </si>
  <si>
    <t>Chacabuco Nº 1085</t>
  </si>
  <si>
    <t>BERON Eduardo Horacio</t>
  </si>
  <si>
    <t>vivienda unifamiliar a construir, dos dormitorios, baño, cocian comedor estar. Cochera descubierta</t>
  </si>
  <si>
    <t>28/2/24, baldio</t>
  </si>
  <si>
    <t>mail, 549002</t>
  </si>
  <si>
    <t>Prioridad Turística</t>
  </si>
  <si>
    <t>Alberdi N° 70</t>
  </si>
  <si>
    <t>KAME S.A.</t>
  </si>
  <si>
    <t>CONFORME A OBRA</t>
  </si>
  <si>
    <t>Gouchón N° 10</t>
  </si>
  <si>
    <t>Vivienda multifamiliar + Local comercial</t>
  </si>
  <si>
    <t>plano relevamiento / conforme, locales comerciales en PB, acceso a deptos, 20 deptos en 4 pisos, 16 cocheras en subsuelo</t>
  </si>
  <si>
    <t>Balcarce Nº 674</t>
  </si>
  <si>
    <t>DOUBIK Clara</t>
  </si>
  <si>
    <t>BERTOLDI Fabiàn A.</t>
  </si>
  <si>
    <t>relevamiento de vivienda existnte, con antecedente, reformas, deposito (monoambiente) en el fondo del lote, BAJO ORD 27/110, art 1, punto 2 y 3, Infraccion Ord 130/22, art 20, Ord 53/07, CE art 5, 27, 37, 144, 176, 178, 179, 202, 223, 233, 235</t>
  </si>
  <si>
    <t>Las Moras s/Nº e/ Benteveo y Chajá - Aires del 1872</t>
  </si>
  <si>
    <t>PEREIRA Fàtima Leonora y PAREDES Milcar Francisco</t>
  </si>
  <si>
    <t>LEMA Carolina Isabel</t>
  </si>
  <si>
    <t>plano conforme parcial, viviendas terminadas ( falta pintura) y sector quincho cocheras pileta a construir</t>
  </si>
  <si>
    <t>18/1/24, deptos falta pintura, resto sin ejecutar</t>
  </si>
  <si>
    <t>Calle Privadas s/Nº - Los Bretes</t>
  </si>
  <si>
    <t>SALAS Fernando Gabriel y PINEDA Ines Lorena</t>
  </si>
  <si>
    <t>RODRIGUEZ Luìs Miguel</t>
  </si>
  <si>
    <t>vivienda unifamiliar a consrtuir, tres dormitorios, uno en suite con baño, baño, cocina desayunador comedor estar, lavadero, galeria expansion fondo semicubierta con parrilla, piscina, cochera semicubierta para dos autos</t>
  </si>
  <si>
    <t>20/2/24, baldio</t>
  </si>
  <si>
    <t>Avda. Pte. Perón Nº 102, 104, 106, 108</t>
  </si>
  <si>
    <t>BREM Justo Darío</t>
  </si>
  <si>
    <t>demolicion de existencias, 146,00 m2, a construir 4 locales comerciales</t>
  </si>
  <si>
    <t>26/3/24, NO INICIADA</t>
  </si>
  <si>
    <t>Combatientes de Malvinas Nº 505</t>
  </si>
  <si>
    <t>ACOSTA Pablo y ARGUET Malvina</t>
  </si>
  <si>
    <t>relevamiento de vivienda unifamiliar, tres dormitorios, baño, cocina comedor, estar, lavadero cubierto, toilete, local comercial tipo galpon con toilete, BAJO ORD 27/10, art 5, 27, 37, 179, 201, 202, 223, del CE, Ord 130/22, art 20</t>
  </si>
  <si>
    <t>mail, 561271</t>
  </si>
  <si>
    <t>Avda Quirós Nº 153</t>
  </si>
  <si>
    <t>Federación Argentina de Trabajadores de Luz y Fuerza</t>
  </si>
  <si>
    <t>ZARAGOZA Victor Andres</t>
  </si>
  <si>
    <t>Hotel + local + piscina</t>
  </si>
  <si>
    <t>ampliación sector piscina, a ejecutar unqa losa, BAJO ORD 27/10, art 1. punto 2, inc 2 y 3, CE art 5, 27, 37, 144, 176, 179, 226 del CE, Ord 130/22 art 20, Ord 56/07, art 3, Ord 53/07</t>
  </si>
  <si>
    <t>mail, 561666</t>
  </si>
  <si>
    <t>Batalla de Cepeda Nº 122</t>
  </si>
  <si>
    <t>DELASOIE Mario Alcides</t>
  </si>
  <si>
    <t>Apart hotel a construir, once deptos , uno de dos dormitorios y el resto de un dormitorio</t>
  </si>
  <si>
    <t>19/4/24, lote baldio</t>
  </si>
  <si>
    <t>ESPINDOLA Eduardo Rubèn</t>
  </si>
  <si>
    <t>JACQUET Ariel N.</t>
  </si>
  <si>
    <t>relevamiento de vivienda unifamiliar con quincho , dos dormitorios, baño compartimentado, baño, galeria semicubierta al fondo, baño de servicio grande en quincho, cochera semicubierta al fondo. Pileta de fibra, BAJO ORD 27/10, art 1, punto 2, infraccion CE art 5, 27, 37, 176, 179, 151; Ord 130/22, art 21</t>
  </si>
  <si>
    <t>Lantelme Nº 295</t>
  </si>
  <si>
    <t>PEREYRA Walter Maximiliano</t>
  </si>
  <si>
    <t>GRANE Carolina</t>
  </si>
  <si>
    <t>vivienda unifamiliar a construir, PRO.CRE.AR., BAJO ORD 27/10, art 1, punto 1, inc 9, Infraccion CE art 5, 27, 37</t>
  </si>
  <si>
    <t>28/2/24, a la altura de encadenado superior</t>
  </si>
  <si>
    <t>MAYO</t>
  </si>
  <si>
    <t xml:space="preserve">Ruta Nac Nº 135, km </t>
  </si>
  <si>
    <t>FALCON Matìas Serafìn</t>
  </si>
  <si>
    <t>relevamiento galpòn depòsito, BAJO ORD 27/10, art 1, punto 2, inc 2 y 3, Infraccion art 5, 27, 37, 179, 200, 202, 223, 232, 233, 236 del CE, Ord 53/07, Ord 130/22, art 21</t>
  </si>
  <si>
    <t>PERIURBANA</t>
  </si>
  <si>
    <t>Degeneve s/Nº</t>
  </si>
  <si>
    <t>LOKER Carlos Alberto</t>
  </si>
  <si>
    <t>monoambiente, BAJO ORD 27/10, art 1, punto 2, inc 2, Infraccion art 5, 27, 37 del CE</t>
  </si>
  <si>
    <t>Chacabuco s/Nº</t>
  </si>
  <si>
    <t>BESSON Neris Miguel</t>
  </si>
  <si>
    <t>CASULA Gustavo</t>
  </si>
  <si>
    <t>BAJO Resolucion HCD 109/2023, Escepcion Ord 130/22, art 15, inc 1; art 16, y Ord 56/07, art 3, inc 2. Local comercial a construir, PB local con baño, sala de espera, recepcion, espacios de trabajo, PA sala de reuniones, oficina, deposito y office</t>
  </si>
  <si>
    <t>22/3/24, demolicion terminada, obra no comenzada</t>
  </si>
  <si>
    <t>DEMOLICION</t>
  </si>
  <si>
    <t>Noailles Nº  esq Artigas</t>
  </si>
  <si>
    <t>FREI Federico Humberto</t>
  </si>
  <si>
    <t>ACUÑA Raúl Enrique</t>
  </si>
  <si>
    <t>BOGADO BENITEZ Eric</t>
  </si>
  <si>
    <t>demolicion de vivienda existente 97,835 m2</t>
  </si>
  <si>
    <t>16/5/24, demolicion no comenzada</t>
  </si>
  <si>
    <t>Bvard Gûemes Nº 168</t>
  </si>
  <si>
    <t>LENTINO Rosa Josefina</t>
  </si>
  <si>
    <t>ING. CONST</t>
  </si>
  <si>
    <t>18 departamentos a construir, 4 de dos dormitorios, baño, cocina comedor estar, el resto de un dormitorio, cocina comedor estar, cocheras descubiertas y semicubiertas en PB</t>
  </si>
  <si>
    <t>10/5/24, no comenzada</t>
  </si>
  <si>
    <t>25/4/274</t>
  </si>
  <si>
    <t>Avda Urquiza Nº 25</t>
  </si>
  <si>
    <t>ORGANIZACIÓN HOTELERA COSTA SRL</t>
  </si>
  <si>
    <t>CRETTON Manuel Emiliano</t>
  </si>
  <si>
    <t>BURGOS Alfredo</t>
  </si>
  <si>
    <t>Vivivenda unifamiliar</t>
  </si>
  <si>
    <t>demolición de vivienda unifamiliar, un dormitorio en suite, cocheras semicubiertas, baño, toilete, 208m2</t>
  </si>
  <si>
    <t>14/5/24, terminada, sin permiso</t>
  </si>
  <si>
    <t>Calle Ñandubay s/Nº</t>
  </si>
  <si>
    <t>relevamieto de dos unidades de vivienda, dos dormitorios y baño en PA, cocina comedor estar y toilete, semicubierto al fondo con parrilla en PB cochera semicubierta lateral, BAJO ORD 27/10, art 1, punto 2, inc 2 y 3, Infraccion CE art 5, 27, 37, 141, 144, 149, 151, 179, 236, Ord 53/07, Ord 130/22, art 21</t>
  </si>
  <si>
    <t>Laprida Nº 123</t>
  </si>
  <si>
    <t>CRICEL Eduardo Esteban</t>
  </si>
  <si>
    <t>relevamiento y ampliacion, vivienda unifamiliar existente, otra a ejecutar, cada una de un dormitorio, una con el dormitorio en PA, la otra en PB con vestidor, ambas tiene baño, cocina comedor, una sola cochera descubierta</t>
  </si>
  <si>
    <t>16/4/2024, materiales en la via publlica</t>
  </si>
  <si>
    <t>mail, 551774</t>
  </si>
  <si>
    <t>Reibel Nº 1277</t>
  </si>
  <si>
    <t>MARENZI German Esteban</t>
  </si>
  <si>
    <t>VIOLLAZ Jose Alberto</t>
  </si>
  <si>
    <t>vivienda unifamiliar a construir, cindo dormitorio, playroom, dormitorio de servicio o sala de planchada, estar comedor desayunador cocina, tres baños, galeria perimetral semicubierta, cochera</t>
  </si>
  <si>
    <t>13/4/23, apertura de pozos</t>
  </si>
  <si>
    <t>LOKER Roque Alberto</t>
  </si>
  <si>
    <t>relevamiento de dos unidades de vivienda de dos dormitorios, baño y cocina comedor con galeria semicubierta cochera, una vivienda de tres dormitorios, baño, cocina comedor estar, galeria perimetral semicubierta, galpon cochera cubierta, pileta, BAJO ord 27/10, art 1, punto 2, inc 2,, infraccion CE art 5, 27, 37, 178, 179</t>
  </si>
  <si>
    <t>mail, 562591</t>
  </si>
  <si>
    <t>Espinillo s/Nº</t>
  </si>
  <si>
    <t>CEBALLOS Carlos Germàn y PEREZ Natalia Luciana</t>
  </si>
  <si>
    <t>WIDMER Irene</t>
  </si>
  <si>
    <t>RENDO José G</t>
  </si>
  <si>
    <t>vivienda unifamiliar a cosntruir, dos dormitorios, baño, taller, cocina comedor, estar, estudio, cochera semicubierta y galeria al fondo como quincho, en PA dormitoio en suite con vestidor, baño separado, balcon terraza,</t>
  </si>
  <si>
    <t>21/5/2024, rdplanteo</t>
  </si>
  <si>
    <t>JUNIO</t>
  </si>
  <si>
    <t>MAIL, 562854</t>
  </si>
  <si>
    <t xml:space="preserve">URBANA </t>
  </si>
  <si>
    <t>Artigas Nº 244 esq 25 de Mayo Nº 229</t>
  </si>
  <si>
    <t>PACCOT Andrés Fabián</t>
  </si>
  <si>
    <t>Local Comercial</t>
  </si>
  <si>
    <t xml:space="preserve">relevamiento de dos locales comerciales, deposito en PA, BAJO ORD 27/10, art 1, punto 2, inc 2 y 3, Infraccion CE art 5, 27, 37, 130, 144, 179, 181, 182, 202, 247 del CE </t>
  </si>
  <si>
    <t>mail, 562149</t>
  </si>
  <si>
    <t>Avda Paysandù Nº 195</t>
  </si>
  <si>
    <t>PICCOLI Lorenzo Tomàs y FRANCO Isabel Soledad</t>
  </si>
  <si>
    <t xml:space="preserve">Local comerical + Vivienda </t>
  </si>
  <si>
    <t>relevamiento de local comercial y dos deptos, uno de un dormitorio cocina comedor y baño, pequeño patio y lavadero, el otro con dos dormitorios, baño, cocina comedor y patio con lavadero, BAJO ORD 27/110, art 1, punto 2, inc 2 y 3, Infraccion CE art 5, 27, 37, 130, 179, 202, 214, Ord 56/07, Ord 130/22, art 20</t>
  </si>
  <si>
    <t>mail, 552610</t>
  </si>
  <si>
    <t>Residencial Norte</t>
  </si>
  <si>
    <t>Sarmiento N° 375</t>
  </si>
  <si>
    <t>RODRIGUEZ José Alejandro</t>
  </si>
  <si>
    <t>BENITEZ Enrique</t>
  </si>
  <si>
    <t>ROSANO Diego</t>
  </si>
  <si>
    <t>obra con plano Visado Revocado, esta es la nueva presentación, viviendas en construcción, Bajo Ord 27/10, art 1, punto 2, inc 2, art 1, punto 1, inc 9, INFRACCION ART 5, 27, 37, 176, 178, 181, 182, 202, 226 DEL CE</t>
  </si>
  <si>
    <t>REMODELACION</t>
  </si>
  <si>
    <t>San Martín N° 476, 480, 482</t>
  </si>
  <si>
    <t>PRALONG Mario Hector</t>
  </si>
  <si>
    <t>reformas en local comercial, modificacions de fachada - NO FACTIBLE, con Resolución HCD 51/2023 (excepcion), BAJO ORD 27/10, art 1, punto 2, inc 2, CE art 5, 27, 37, 179, BAJO Resolucion HCD 51/2023</t>
  </si>
  <si>
    <t>12/12/23, obra no comenzada</t>
  </si>
  <si>
    <t>Bvard Sanguinetti Nº 416</t>
  </si>
  <si>
    <t>ESPINDOLA Esteban Ricardo</t>
  </si>
  <si>
    <t>CABRAL Fernando Antonio</t>
  </si>
  <si>
    <t>relevamiento de vivienda unoifamiliar, tres dormitorios, baño completo compartimentado, cocina comedor estar, cochera semicubierta, BAJO ORD 27/10, art 1, punto 2, inc 2, Infraccion arrt 5, 27, 37, 144 del CE</t>
  </si>
  <si>
    <t>mail, 563153</t>
  </si>
  <si>
    <t>Paso de los Andes Nº esq Aguaribay</t>
  </si>
  <si>
    <t>IRIGOY Fernando</t>
  </si>
  <si>
    <t>CHAMI Yanina</t>
  </si>
  <si>
    <t>CERGNEUX Jorge R.</t>
  </si>
  <si>
    <t>FAVRE Raúl H.</t>
  </si>
  <si>
    <t>19/6/24, baldio</t>
  </si>
  <si>
    <t>JULIO</t>
  </si>
  <si>
    <t>Avda Paysandù Nº 1078</t>
  </si>
  <si>
    <t>OTERO Gustavo Alberto</t>
  </si>
  <si>
    <t>relevamiento y refuincionalizaciòn galpòn, estacionamiento de vehìculos de transporte, BAJO ORD 27/10, art 1, punto 2, inc 2, Infraccion art 5, 27, 37 del CE (Honorarios: 4193855)</t>
  </si>
  <si>
    <t>22/4/24, estructura de tinglado terminada</t>
  </si>
  <si>
    <t>GIMENEZ PEREZ Guillermo José y NIETO Virginia Leticia</t>
  </si>
  <si>
    <t xml:space="preserve">vivienda unifamiliar a cosntruir, tres dormitrios, uno en suite, baño, cocina desayunador  comedor estar, cocheras semicubiertas, galeria fondoe con parrilla, toilete, lavadero, </t>
  </si>
  <si>
    <t>22/4/2024, BALDIO</t>
  </si>
  <si>
    <t>Bolivar Nº 1002 esq Vergniaud Nº 96 y 98</t>
  </si>
  <si>
    <t>MOREL CHEVILLET  Roberto Luis</t>
  </si>
  <si>
    <t>CANEL Maria Eugenia</t>
  </si>
  <si>
    <t>relevamiento de tres unidades de vivienda, dos de un dormitorio, baño y cocina comedor, la mas grande de un dormitorio, cocina comedor estar, lavadero, baño interior, baño exrterior a una galeria semicubierta, galeria semicubierta, BAJO ORD 27/10, art 1, punto 2, inc 2 y 3, Infraccion Ord 130/22, art 20, Ord 56/07, Ord 53/07, CE art 5, 27, 37, 141, 144, 151, 176, 178, 179, 202, 214, 223, 232, 233,</t>
  </si>
  <si>
    <t>Primera Junta Nº 186, 188, 190, 192 esq. Chacabuco</t>
  </si>
  <si>
    <t>FREY Federico Humberto</t>
  </si>
  <si>
    <t>SALDAÑA María Guadalupe y DA SILVA Brian</t>
  </si>
  <si>
    <t>cuatro unidades de vivienda a consrtuir, apaeadas, cocheras descubiertas, cada vivienda en PA dos dormitorios, baño y balcon al frente, en PB cocina comedor estar y toilete bajo escalera, patio</t>
  </si>
  <si>
    <t>21/5/2024, baldio</t>
  </si>
  <si>
    <t>25 de Mayo Nº 30 Y 38</t>
  </si>
  <si>
    <t>ACUÑA Raul Enrique y PAIRONE Juan Ramon</t>
  </si>
  <si>
    <t>BOGADO BENITEZ Eric Wilfrido</t>
  </si>
  <si>
    <t>vivenda existente a reformar, pasa a ser dos locales comerciales con baño cada uno,BAJO ORD 27/10, art 1, punto 1, inc 9, Infraccion art 5, 27, 37 del CE</t>
  </si>
  <si>
    <t>11/7/24, comenzada</t>
  </si>
  <si>
    <t>mail, 563103</t>
  </si>
  <si>
    <t>RODRIGUEZ Francisco</t>
  </si>
  <si>
    <t>GRAZIANI Jorge Agustín</t>
  </si>
  <si>
    <t>vivienda unifamiliar a construir, dos dormitorios, baño, depósito, alacena, cocina desayunador, comedor estar, cochera descubierta, piscina</t>
  </si>
  <si>
    <t>12/6/24, baldío</t>
  </si>
  <si>
    <t>AGOSTO</t>
  </si>
  <si>
    <t>mail, 563879</t>
  </si>
  <si>
    <t>Chacras</t>
  </si>
  <si>
    <t>Calle Pública s/Nº</t>
  </si>
  <si>
    <t>MARTINEZ Zulma Anabella</t>
  </si>
  <si>
    <t>SOMMACAL Mauricio</t>
  </si>
  <si>
    <t>vivienda unifamiliar a construir, tres dormitorios, baño completo, baño, cocina desayunador, comedor estar, toilete ext, cochera descubierta</t>
  </si>
  <si>
    <t>30/7/24, baldio</t>
  </si>
  <si>
    <t>Raúl Alfonsín Nº esq Artigas Nº 656</t>
  </si>
  <si>
    <t>PEREZ Mónica Ramona</t>
  </si>
  <si>
    <t>BRITEZ Daniel</t>
  </si>
  <si>
    <t xml:space="preserve">vivienda a cosntruir, dos dormitorios  uno con baño privado, baño, escritorio, cocina comedor estar, galeria semicubierta con parrilla, cochera en subsuelo por desnivel del terreno, </t>
  </si>
  <si>
    <t>7/5/24, baldio</t>
  </si>
  <si>
    <t>mail, 563845</t>
  </si>
  <si>
    <t>Bvard Paraiso s/Nº, Loteo Ayres del 1872</t>
  </si>
  <si>
    <t>BERALDI Vanina Graciela</t>
  </si>
  <si>
    <t>ZAPATA Hugo</t>
  </si>
  <si>
    <t>vivienda multifamiliar a construir, dos dormitorios, baño, cocina comedor estar, una de ellas con lavadero cubierto, ambas con cocheras descubiertas</t>
  </si>
  <si>
    <t>25/7/24, baldio</t>
  </si>
  <si>
    <t>Balcarce Nº 386</t>
  </si>
  <si>
    <t>MONTERO Alejandra Mónica</t>
  </si>
  <si>
    <t>RUIZ DIAZ Marcelo Javier</t>
  </si>
  <si>
    <t>vivienda unifamiliar con planos, plantea reformas para convertirlo en dos deptos, BAJO ORD 27/10, art 1, punto 2, inc 2, Infraccion art179, 223, 227, 233 del CE</t>
  </si>
  <si>
    <t>26/7/24, no comenzada</t>
  </si>
  <si>
    <t>MAIL, 563263</t>
  </si>
  <si>
    <t>REFORMA</t>
  </si>
  <si>
    <t>Gouchòn Nº</t>
  </si>
  <si>
    <t>ALVAREZ Mariano Samuel</t>
  </si>
  <si>
    <t>NOYER Colon - VESPASIANO Matías</t>
  </si>
  <si>
    <t>refacciones en galpòn existente, se instalarà una fàbrica de elaboraciòn de aceites, harinas y otros derivados de nuez pecàn, con salòn de ventas, elaboración, depósitos, degustación, baño empleados, baño visitantes, "terraza de acceso", existe en el lote también una vivienda unifamiliar de dos dormitorios, baño, cocina comedor estar, terreno en cota +9 aprox, BAJO ORD 27/10, art 1, punto 2, inc 2, Infraccion art 179 del CE</t>
  </si>
  <si>
    <t>25/5/24, no comenzado</t>
  </si>
  <si>
    <t>mail, 563985</t>
  </si>
  <si>
    <t>Juan Carlos POZZI S/Nº</t>
  </si>
  <si>
    <t xml:space="preserve">NAVEIRA Pamela y STEWART USHER Octavio </t>
  </si>
  <si>
    <t>GRAZIANI Jorge Agustín Alexis</t>
  </si>
  <si>
    <t>relevamiento de vivienda unifamiliar, un dormitorio, baño compartimentado, cocina comedor estar, BAJO ORD 27/10, art 1, punto 2, inc 2 y 3, Infraccion Ord 130/22, art 21 Zona Periurbana, C.E. art 5, 27, 37, 151, 176, 178, Ord 53/07</t>
  </si>
  <si>
    <t>Castelli Nº 562 esq. Evita</t>
  </si>
  <si>
    <t>SOTELO Alexis Mariano y ROTUNDO Lucìa Belèn</t>
  </si>
  <si>
    <t>MORARD Manuel A.</t>
  </si>
  <si>
    <t>vivienda unifamiliar a construir, dos dormitorios, uno de ellos en suite con vestidor y baño, baño, lavadero, depósito familiar, cocina desayunador, comedor estar, cochera descubierta</t>
  </si>
  <si>
    <t>6/8/2024, baldio</t>
  </si>
  <si>
    <t xml:space="preserve">Ruta Nº 130, km </t>
  </si>
  <si>
    <t>MANA DISTRIBUCIONES S.A.</t>
  </si>
  <si>
    <t>Depósito / Local comercial</t>
  </si>
  <si>
    <t>conforme a obra de galpon, construidos menos metros de los proyectados, BAJO ORD 27/10, art 1, punto 2, inc 2, Infraccion art 10, 27, 37, 179 del CE</t>
  </si>
  <si>
    <t>mail, 564265</t>
  </si>
  <si>
    <t>San Martín N° 49</t>
  </si>
  <si>
    <t>RAVEY JOVITA Sofia</t>
  </si>
  <si>
    <t>GAMBELLA Sebastiàn Rubèn</t>
  </si>
  <si>
    <t>vivienda unifamiliar existente, tres dormitorios, cocina comedor, estar, acceso semicubierto, galeria tipo glorieta, cochera descubierta, a construir apareado a la casa, tres monoambientes en altura</t>
  </si>
  <si>
    <t>14/8/24, en encadenado de 2º piso</t>
  </si>
  <si>
    <t>San Martín Nº 625</t>
  </si>
  <si>
    <t>CAJA de PREVISION SOCIAL para profesionales de la Ingenieria de E.R.</t>
  </si>
  <si>
    <t>GOMEZ Iris Rocìo, LEMA Carolina, TRABICHET Romina</t>
  </si>
  <si>
    <t>GOMEZ Iris Rocío, TRABICHET Romina</t>
  </si>
  <si>
    <t>ACOSTA Rafael y ACOSTA CABALLERO Oscar SH</t>
  </si>
  <si>
    <t>Cartel</t>
  </si>
  <si>
    <t>cartel a construir, aeñalizaciòn instituciòn</t>
  </si>
  <si>
    <t>27/6/24, base</t>
  </si>
  <si>
    <t>ALARI Blas Juan</t>
  </si>
  <si>
    <t>Federación de Obreros y empleados de la Industria del Papel, cartón y químicos</t>
  </si>
  <si>
    <t>RAMO Omar Ricardo</t>
  </si>
  <si>
    <t>Hotel</t>
  </si>
  <si>
    <t>Calle Privada s/Nº - Los Bretes</t>
  </si>
  <si>
    <t>FAVRE Ariana Fernanda</t>
  </si>
  <si>
    <t>CARROZZO Juan Manuel</t>
  </si>
  <si>
    <t>vivienda unifamiliar a construir, tres dormitorios, uno en suite con vestidor y baño, baño, estar comedor cocina desayunador, cochera semicubierta dos vehiculos, sector parrilla con mesada y barra de apoyo semicubierta, baño exterior, cuarto de planchado(D de servicio), baño, biblioteca, acceso, subsuelo bodega</t>
  </si>
  <si>
    <t>26/6/24, baldio</t>
  </si>
  <si>
    <t>mail, 563152</t>
  </si>
  <si>
    <t>Bolívar Nº esq. Conte Grand</t>
  </si>
  <si>
    <t>BUET Jorge Aurelio y SILVA Lucia Alejandra</t>
  </si>
  <si>
    <t>dos locales comerciales a construir en PB, cada uno con baño, acceso por escalera a PA, dos viviendas de un dormitorio, baño y cocina comedor, balcon, cocheras descubiertas</t>
  </si>
  <si>
    <t>mail, 560740</t>
  </si>
  <si>
    <t>Avda Urquiza Nº esq L. N. Alem Nº 33</t>
  </si>
  <si>
    <t>VIOLLAZ Marcos Anibal y Natalia Mariel</t>
  </si>
  <si>
    <t>GUIFFRE Ana Delia</t>
  </si>
  <si>
    <t>Hostel + Locales Comerciales</t>
  </si>
  <si>
    <t>demolicion de exixtente,7 locales en PB a construir y en pisos superiores hostel a construir, BAJO ORD 27/10, art 1, punto 1, inc 9, ÇI nfraccion art 5, 27, 37 del CE, BAJO Resolucion HCD 039/2024</t>
  </si>
  <si>
    <t>27/6/24, en ultimo piso</t>
  </si>
  <si>
    <t>MAIL, 564519</t>
  </si>
  <si>
    <t>Celia Pellenc Nº 314, 316</t>
  </si>
  <si>
    <t>CAMPBELL Gerardo Adrián</t>
  </si>
  <si>
    <t>PACCOT Javier Humberto y BLANC Maximiliano G</t>
  </si>
  <si>
    <t>grupo de viviendas a relevar, 4 unidades, todas de un dormitorio, baño y cocina comedor, espacio para dos vehiculos descubierto, BAJO ORD 27/10, art 1, punto 2 y 3, Infraccion Ord 130/22, art 20, CE art 5, 27, 37, 144, 151, 17…</t>
  </si>
  <si>
    <t>WALSER María Cecilia</t>
  </si>
  <si>
    <t>CHINELLATO Pablo A</t>
  </si>
  <si>
    <t>Vivienda unifamilair</t>
  </si>
  <si>
    <t>relevamiento de vivienda unifamiliar, dos dormitorios, baño, cocina comedor, BAJO ORD 27/10, art 1, punto 2, inc 2, infraccion art 5, 27,37,178, 181, 182, 201, 202, 223, 236, Infraccion Ord 130/22, art 21</t>
  </si>
  <si>
    <t>VERON Sandra Beatriz</t>
  </si>
  <si>
    <t>GRAZIANI Jorge Agustìn</t>
  </si>
  <si>
    <t>relevamiento de seis unidades monoambientes de alquiler, 3 en PB y 3 en PA, BAJO ORD 27/10, art 1, punto 2, inc 2, Infraccion CE art 5, 27, 37, 176,178, 179, 181, 182, 201, 202, 226, 232, 236, Ord 56/07, art 3, inc 2, sub inc 1, Ord 53/07</t>
  </si>
  <si>
    <t>Belgrano Nº 364 y 368</t>
  </si>
  <si>
    <t>STRAZZULLO Ailen Vanina y CASTAGNOLA Lorenzo</t>
  </si>
  <si>
    <t>vivienda unifamiliar a construir en PB tres dormitorios, uno en suite con vestidor y baño, dos dormitorios, baño, lavadero, comedor estar cocina desayunador, galeria con espacio de parrilla, cochera semicfubierta para dos vehiculos, semicubierto lateral, pegado a la casa institutos de masajes con dos boxes, cocina, baño y recepcion, en PA depto con un dormitorio con balcon, baño, cocina comedor estar, patio</t>
  </si>
  <si>
    <t>27/6/24, baldio</t>
  </si>
  <si>
    <t>SEPTIEMBRE</t>
  </si>
  <si>
    <t>Creppy Nº 178</t>
  </si>
  <si>
    <t>ASCAR Darìo Alejandro y BABUCI Gladys Esther y FORMOSO Maximiliano Gabriel</t>
  </si>
  <si>
    <t>CACERES GALEANO Marciano</t>
  </si>
  <si>
    <t>cuatro vivienda a construir, PB cocina comedor estar y baño, plantra alta un dormitorio, y baño las unidades de adelante, dos dormitorios y baño las dos unidades del fondo, cocheras descubiertas</t>
  </si>
  <si>
    <t>16/4/24, obra no comenzada</t>
  </si>
  <si>
    <t>Periurbano</t>
  </si>
  <si>
    <t>Colibrí s/Nº</t>
  </si>
  <si>
    <t>SALVAGNO Eslinda Inés</t>
  </si>
  <si>
    <t>562105, 564543</t>
  </si>
  <si>
    <t>Avda. Paysandù Nº 1118 y 1120</t>
  </si>
  <si>
    <t>CATELOTTI Ricardo Daniel</t>
  </si>
  <si>
    <t>LEONARDI Jerónimo</t>
  </si>
  <si>
    <t xml:space="preserve">plano conforme a obra de galpon, local comercial, </t>
  </si>
  <si>
    <t>6/9/024</t>
  </si>
  <si>
    <t>VIOLANTE Carina Andrea y TIGNINO Diego Alejandro</t>
  </si>
  <si>
    <t>MANUCCI José María</t>
  </si>
  <si>
    <t>monoambiente a construir, intimado previamente por acta, BAJO ORD 27/10, art 1, punto 2, inc 2, Infraccion art 5, 27, 37 del CE</t>
  </si>
  <si>
    <t>2/9/24, platea ejecutada</t>
  </si>
  <si>
    <t>Avda. Paysndù Nº 920</t>
  </si>
  <si>
    <t>BARTL Adrina y otros</t>
  </si>
  <si>
    <t>BIDAL Arnoldo Francisco</t>
  </si>
  <si>
    <t>ING. En CONST.</t>
  </si>
  <si>
    <t>vivienda unifamiliar a cponstruir en el fondo del lote, un dormitorio, baño compartimentado, cocina comedor estar, cochera descubierta</t>
  </si>
  <si>
    <t>7/11/23, baldio</t>
  </si>
  <si>
    <t>Combatientes de Malvinas Nº 1036, 1038 ,1048 esq Santa Cruz</t>
  </si>
  <si>
    <t>PLANO CONFORME,res unidades de vivienda a construidas, de dos dormitorios, baño en PA y en PB cocina comedor estar, cochera semicubierta y toilette</t>
  </si>
  <si>
    <t>2/9/2024, terminada</t>
  </si>
  <si>
    <t>E - 11323</t>
  </si>
  <si>
    <t>Cementerio</t>
  </si>
  <si>
    <t>ROUILLER Alejandra Marìa B.</t>
  </si>
  <si>
    <t>MALGOR José Manuel</t>
  </si>
  <si>
    <t>BUFFET Hugo</t>
  </si>
  <si>
    <t>Panteòn Familiar</t>
  </si>
  <si>
    <t>panteon familiar a construir</t>
  </si>
  <si>
    <t>6/8/24, no comenzado</t>
  </si>
  <si>
    <t>Balcarce Nº 688</t>
  </si>
  <si>
    <t>NUÑEZ Pablo Alejandro</t>
  </si>
  <si>
    <t>BERTOLDI Fabian A</t>
  </si>
  <si>
    <t>relevamiento de dos unidades de vivienda, una al fondo con dos dormitorios, cocina comedor y baño, pileta, otra al frente de dos dormitorios, cocina comedor estar, baño, cochera lateral semicubierta larga, BAJO ORD 27/10, art 1, punto 2, inc 2, Infraccion art 5, 27, 37, 144, 151, 176, 178, 178, 187, 201,202, 232, 247, 248, 256 del CE, ORd 53/07, Ord 130/22, art 20</t>
  </si>
  <si>
    <t>mail, 564919</t>
  </si>
  <si>
    <t>Alberdi Nº 734</t>
  </si>
  <si>
    <t>CASTRO Carlos Fernando</t>
  </si>
  <si>
    <t>local comercial en PB a construir, vivienda unifamiliar en PA, dos dormitorios, baño, cocina comedor, lavadero, terraza, cochera en PB</t>
  </si>
  <si>
    <t>mail, 564993</t>
  </si>
  <si>
    <t xml:space="preserve">San Martín Nº </t>
  </si>
  <si>
    <t>DERUDDER Susana María</t>
  </si>
  <si>
    <t>LUXURY CARS S.R.L.</t>
  </si>
  <si>
    <t>NOLASCO Joaquina</t>
  </si>
  <si>
    <t>VOMMARO Alexis Gabriel</t>
  </si>
  <si>
    <t>demoliciòn de vivienda unifamiliar antigua, paso previo obra galpon, 91,28+5,54/2</t>
  </si>
  <si>
    <t>mail, 564994</t>
  </si>
  <si>
    <t>Zona de Charac</t>
  </si>
  <si>
    <t>Calle Pùblica s/Nº esq. Calle Pùblica</t>
  </si>
  <si>
    <t>CHIUCCARIELLO Selva Gisela</t>
  </si>
  <si>
    <t>vivienda unifamiliar, tipo monoambiente, baño, galeria semicubierta con parrilla, galeria semicubierta, toilete exterior, deposito pequeño, piscina, separado de todo semicubierto para dos vehiculos, deposito cubierto adosado, BAJO ORD 27/10, art 1, punto 2, inc 2, Infraccion CE art 5, 27, 37, Ord 130/22, art 24</t>
  </si>
  <si>
    <t>mail, 565078</t>
  </si>
  <si>
    <t>Avda. Fernández s/Nº esq Sastre</t>
  </si>
  <si>
    <t>CASTILLO Alberto Antonio y CAMANDULI María Noemi</t>
  </si>
  <si>
    <t>GOMEZ Iris Rocio</t>
  </si>
  <si>
    <t>relevamiento de vivienda unifamiliar, un dormitorio, baño, cocina comedor estar, galeria semicubierta perimetral con sector parrilla, separado de la casa un galpon deposito, piscina, solarium semiubierto con pergola, BAJO ORD 27/10, art 1, punto 2, inc 2 y 3</t>
  </si>
  <si>
    <t>OCTUBRE</t>
  </si>
  <si>
    <t>mail, 566011</t>
  </si>
  <si>
    <t>Dominchin s/Nº</t>
  </si>
  <si>
    <t>IMPINI Lorena Paola</t>
  </si>
  <si>
    <t>GONZALEZ Juan Maria</t>
  </si>
  <si>
    <t>vivienda unifamiliar a construir, dos dormitorios, baño, lavadero, cocina desayunador comedor estar, cochera semicubierta, acceso semicubierto</t>
  </si>
  <si>
    <t>30/9/24, baldio</t>
  </si>
  <si>
    <t>Noailles Nº 79 , 85</t>
  </si>
  <si>
    <t>DEYMONNAZ Oscar Rodolfo</t>
  </si>
  <si>
    <t>BOGADO Wilfredo</t>
  </si>
  <si>
    <t>DEMOLICION DE VIVIENDA UNIFAMILIAR AÑO 1920 Y 1940</t>
  </si>
  <si>
    <t>Paso de los Andes Nº 1067 esq Pasaje Maneco Sosa</t>
  </si>
  <si>
    <t>SAMPALLO Oscar Daniel y VERON Rosa Marina</t>
  </si>
  <si>
    <t>Vivienda multifamilair</t>
  </si>
  <si>
    <t>relevamiento dos unidades de vivienda unifamiliar, una de un dormitorio, cocina comedor, baño, otra unidad de dos dormitorios, cocina comedor estar, baño, galpon deposito separado de la vivienda, BAJO ORD 27/110, art 1, punto2, inc 1, 2, 3, Infraccion ORD 130/22, art 20, CD art 5, 27, 37, 130, 178, 179, 202, 223, 232, y 233</t>
  </si>
  <si>
    <t>Bolívar Nº 422</t>
  </si>
  <si>
    <t>ESPINDOLA Adolfo Hernán y BARAVAGLIO Nélida Lita</t>
  </si>
  <si>
    <t>relevamiento de vivienda unifamiliar, un dormitorio, cocina comedor estar, baño, BAJO ORD 27/10, art 1, punto 2, inc 2, Infraccion CE art 5, 27, 37, 179, 202</t>
  </si>
  <si>
    <t>Alberdi s/Nº</t>
  </si>
  <si>
    <t>BOSCH Mariana Vanesa</t>
  </si>
  <si>
    <t>vivienda unifamiliar a cosntruir, terreno calle anegadiza, dos dormitorios, baño compartimentado, lavadero, cocina desayunador comedor estar, baño de servicio, estudio, hall de acceso, cochera descubierta, semicubierto galeria fondo con parrilla</t>
  </si>
  <si>
    <t>15/8/24, baldio</t>
  </si>
  <si>
    <t>Río Iguazú Nº esq Las Piedras Nº 444</t>
  </si>
  <si>
    <t>OLMEDO PEREZ Patricio</t>
  </si>
  <si>
    <t>relevamiento de vivienda unifamiliar, tres dormitorios, uno con baño privado, baño completo, lavadero, cocina comedor estar, galeria semicubierta cochera, BAJO ORD 27/10, art 1, punto 2, inc 2 y 3, Infraccion ORD 130/22, art 20, CE art 5, 27, 37, 130, 141, 151, 236</t>
  </si>
  <si>
    <t>MAIL, 565178</t>
  </si>
  <si>
    <t>RELEVAMIENTO y AMPLIACION</t>
  </si>
  <si>
    <t>Gouchón Nª 1333</t>
  </si>
  <si>
    <t>CESPEDES Natalia y ROSSIER Pablo</t>
  </si>
  <si>
    <t>vivienda unifamiliar con tres dormitorios en PA, uno en suite con baño vestidor y escritorio, terraza, otrs dos al frente con balcón, baño, en PB cocina comedor estar, baño, galeria semicubierta, cochera cubierta para dos vehiculos, lavadero a relevar, quincho semicubierto a construir, BAJO ORD 27/10, art 1, punto 2, inc 2, Infraccion CE art 5, 27, 37, 144, 151, 179, 181, 182, 202, Ord 130/22, art 20</t>
  </si>
  <si>
    <t>25/9/24, ampliacion no comenzada</t>
  </si>
  <si>
    <t>mail, 565932</t>
  </si>
  <si>
    <t>Maipú Nº 383 y 385</t>
  </si>
  <si>
    <t>BOUJON Stella Maris</t>
  </si>
  <si>
    <t>vivienda unifamiliar existente reformada transformada en dos unidades, una de dos dormitorios, baño, comedor cocina; otra ampliada de dormitorio, hall acceso, cocina comedor , quincho / sala con baño ampliado, sin cocheras BAJO ORD 27/10, art 1, punto 2, inc 2 y 3, Infraccion CE art 5, 27, 37, 144, 178, 179, 202, 223, y 233; ORd 53/07, ORd 130/22, art 20</t>
  </si>
  <si>
    <t>Carlos Saavedra Lamas s/Nº</t>
  </si>
  <si>
    <t>MARAI Leandro</t>
  </si>
  <si>
    <t>CHINELLATO Damián</t>
  </si>
  <si>
    <t>vivienda unifamiliar a construir, tres dormitorios, uno en suite con vestidor y baño, acceso semicubierto, estar cocina desayunador comedor, baño, galeria semicubierta fondo</t>
  </si>
  <si>
    <t>6/9/24, baldio</t>
  </si>
  <si>
    <t>mail, 565208</t>
  </si>
  <si>
    <t>Esteva Berga Nº 127</t>
  </si>
  <si>
    <t>BLANC Aldo Rodolfo y BOUVET Isabel Amelia</t>
  </si>
  <si>
    <t>Vivienda unifamiliar + Galpón depòsito</t>
  </si>
  <si>
    <t>relevamiento de vivienda multifamiliar, 3 unidades, una en PB de 4 dormitorios, uno en PB con baño privado, dos en PA, baño, estar, comedor cocina quincho, baño de servicio, otras dos vivienda en ultimo piso, una con un dormitorio, cocina comedor estar, baño lavadero, otra con lavadero parrilla, cocina comedor estar, baño, dormitoir con balcon, en PB cocheras galpon deposito, en 1º piso ddeposito baño y kitchinet, BAJO ORD 27/10, art1, punto 2, inc 2 y 3, Ord 20/10, art 1, Ord 56/07, art 3, inc 1, Ord 53/07, CE art 5, 27, 37, 1444, 151, 179, 181, 182, 202, 223, 226, 233, 246, 247</t>
  </si>
  <si>
    <t>mail, 545914</t>
  </si>
  <si>
    <t>Faustino Dominchin s/Nº</t>
  </si>
  <si>
    <t>DALL´ORTO Pablo Dario y GUERRA Vanesa Edith</t>
  </si>
  <si>
    <t>MARONE Leandro E</t>
  </si>
  <si>
    <t>Vivienda unifmailiar</t>
  </si>
  <si>
    <t>relevamiento de vivienda unifamiliar, dos dormitorios, baño, cocina comedor, semicubirto de acceso, cochera descubierta, BAJO ORD 27/10, art 1, punto 2, inc 2, Infraccion CE art 5, 27, 37, 144, 151, 178, 179, 181, 182, 202, 223, 232, 233, 260</t>
  </si>
  <si>
    <t>Avda. Juan A Fernandez esq El Mojòn</t>
  </si>
  <si>
    <t>BASGALL Natalia María y DODERA Ulises Fernando</t>
  </si>
  <si>
    <t>vivienda unifamiliar a construir, tres dormitorios, uno con baño privado, baño completo, lavadero, cocina desayunador comedor estar, hall de acceso, separado deposito y toilete al exterior, semicubierto con sector quincho parrilla, cochera semicubierta</t>
  </si>
  <si>
    <t>MORENO Migue Angel</t>
  </si>
  <si>
    <t>vivienda unifamiliar en cosntrucción pasada por relevamiento, con piscina de fibra de vidrio a colocar y deck a eecutar, BAJO ORD 27/10, art 1, punto 2, inc 2, Infraccion CE art 5, 27, 37, 176, 178,201</t>
  </si>
  <si>
    <t>mail, 566195</t>
  </si>
  <si>
    <t>Gouchón Nª 935</t>
  </si>
  <si>
    <t>ELGART Diego Ismael, NUÑEZ Eva Beatriz</t>
  </si>
  <si>
    <t>ELGART Diego Ramón</t>
  </si>
  <si>
    <t>relevamienot de ampliacion vivienda multiifamiliar, dos unidades al fondo de dos dormitorios, cocina comedor, baño, dos unidades al frente de un dormitorio, cocina comedor, baño, BAJO ORD 27/10, art 1, punto 2, inc 2 y 3, Infraccion ORD 130/22, art20, ORd 53/07, Ord 56/07, art 3, inc 2, sub inc 1, CE art 5, 27, 37, 144, 151, 176, 178, 179, 101, 182, 201, 202, 226, 232, 236</t>
  </si>
  <si>
    <t>Salsipuedes Nº</t>
  </si>
  <si>
    <t>BORDET German Andres Alejandro</t>
  </si>
  <si>
    <t>vivienda unifamiliar de madea a construir, domo de estructura metàlica al frente ya construido, BAJO ORD 27/10, art 1, punto 2, inc 2, Infraccion CE art 5, 27, 37, 194</t>
  </si>
  <si>
    <t>26/8/24, domo existente</t>
  </si>
  <si>
    <t>Hernández Nº 434</t>
  </si>
  <si>
    <t>VILLAGRA Ramiro Agustín y RODRIGUEZ María Fernanda</t>
  </si>
  <si>
    <t>vivienda unifamiliar, dos dormitorios, en PA baño, escritorio, dormitorio, doble altura, en PB, un dormitorio en suite con vestidor y baño compartimentado completo, cocina desayunador comedor ppal y estar acceso, lavadero y despensa, toilete, cochera semicubierta para dos autos, al fondo, quincho con parrilla, horno, deposito, baño completo, galeria semicubierta, piscina  con solarium</t>
  </si>
  <si>
    <t>vivienda unifamiliar a construir, dos dormitorios, cada uno con baño completo compartimentado, uno en PB otro en PA, PA un estudio playroom, en PB cocina desayunador comedor estar,hall de acceso, despensa, lavadero, baño, galeria semicubierta, cochera semicubierta para dos autos, al fondo y separado, quincho con baño, deposito, ...</t>
  </si>
  <si>
    <t>San Martín Nº 1318</t>
  </si>
  <si>
    <t>BRUN Raúl Rogelio y BONVIN Sonia Isabel</t>
  </si>
  <si>
    <t>ZARAGOZA Víctor Andrés</t>
  </si>
  <si>
    <t>ampliación local comercial,nueva unidad pegada al existente, con toilete y kitchinet, existente se demuele un sector de 3,00 metros por el ancho del lote al fondo, BAJO ORD 27/10, art 1, punto 2, inc 2 y 3, Infraccion CE art 5, 27, 37, 151, 179, 187, 260, Ord 130/22, art 20</t>
  </si>
  <si>
    <t>2/9/24, ampliacion no comenzada</t>
  </si>
  <si>
    <t>mail, 566245</t>
  </si>
  <si>
    <t>Calle Sauce s/Nº</t>
  </si>
  <si>
    <t>ROULLIER Luis Dario</t>
  </si>
  <si>
    <t>vivienda unifamiliar existente con planos, dos unidades a relevar, de dos dormitorios, baño, cocina comedor estar, una de ellas tiene piscina, vivienda existente, en PB dormitorio, baño compartimentado, lavadero, cocina desayunador comedor, estar, galeria semicubierta, en PAtres dormitorios, uno con vestidor, estar intimo, terraza</t>
  </si>
  <si>
    <t>Noailles Nº 218</t>
  </si>
  <si>
    <t>MALGOR María Eugenia</t>
  </si>
  <si>
    <t>BORDET Germán</t>
  </si>
  <si>
    <t>demolición de vivienda existente, vivienda unifamiliar a construir, tres dormitorios, baño completo, estar, baño de servicio, cocina comedor desayunador, lavadero, balcones terrazas, en subsuelo, cochera para dos vehiculos, deposito, toilete semicubierto con parrilla</t>
  </si>
  <si>
    <t>2/8/24, demolición ejecutada</t>
  </si>
  <si>
    <t>Ruta 135 km .., esq Calle Paraíso</t>
  </si>
  <si>
    <t>Superior Gobierno de la Provincia de Entre Ríos</t>
  </si>
  <si>
    <t>Geriatrico + Vivienda unifamiliar</t>
  </si>
  <si>
    <t>relevamiento de ampliaciones realizadas en geriatrico con antecedentes 2011, vivienda cosntruida aislada dentro del predio, BAJO ORD 27/10, art 1, punto 2, inc 2, Infraccion CE art 5, 27, 37, Capacida max de alojamiento 28 residentes, no incluyen los dormitorios de la vivienda separada del cuerpo ppal</t>
  </si>
  <si>
    <t>mail, 566117</t>
  </si>
  <si>
    <t xml:space="preserve">Calle Pùblica esq. Cornelio Saavedra </t>
  </si>
  <si>
    <t>RUIZ Cristian Pablo</t>
  </si>
  <si>
    <t>SOTO Lorena</t>
  </si>
  <si>
    <t>vivienda unifamiliar, dos dormitorios, baño, cocina comedor estar, cochera semicubierta, deposito cubierto separado de la casa, BAJO ORD 27/10, art 1, punto 2, inc 2, Infraccion CE art 5, 27, 37178, 179, 181, 182, 214, 232, Ord 56/07, art 4, Ord 130/22, art 21</t>
  </si>
  <si>
    <t>San Martín Nº 625 y Primera Junta Nº 81</t>
  </si>
  <si>
    <t>Unidades habitacionales / Quincho / Oficinas  / Cocheras</t>
  </si>
  <si>
    <t>remodelación en los bungalows de la CAJA, refacciones varias, BAJO ORD 27/10, art 1, punto 2, inc 2, punto 1, inc 9, Infraccion art 5, 27, 37, 148, 178, 179, 182, 256 del CE</t>
  </si>
  <si>
    <t>8/2/24, opbra comenzada</t>
  </si>
  <si>
    <t>Combatientes de Malvinas Nº 1022</t>
  </si>
  <si>
    <t>MOGGIA CAMAGNI Joaquin Mario</t>
  </si>
  <si>
    <t>vivienda unifamiliar a construir, en PA tres dormitoriosuno en suite con vestidor y baño compartimentado, baño completo compartimentado, balcon,, en PB cocina desayunador, comedor estar, escritorio, cochera semicubierta</t>
  </si>
  <si>
    <t>18/9/2024, baldio</t>
  </si>
  <si>
    <t>mail, 566081</t>
  </si>
  <si>
    <t>Vergniaud Nº 533 e/ Avda Paysandù y Rocamora</t>
  </si>
  <si>
    <t xml:space="preserve">MUCCIACCIARO Andrea y GRAZIANO Cristian </t>
  </si>
  <si>
    <t>relevamiento de dos viviendas existentes ejecutadas con "containers", ya posee antecedente de 5 unidades ejecutadas de igual manera, monoambientes, galeria frontal con parrilla, piscina y solarium, semicubierto, BAJO ORD 27/10, art 1, punto 2, inc 1, 2, y 3, Infraccion CE art 5, 27, 37, 144, 151, 178, 179, 181, 182, 194, 201, 202, 214, 223, 226, 232, 233, Ord 53/07, Ord 130/22, art 20, anexo V</t>
  </si>
  <si>
    <t>mail, 566530</t>
  </si>
  <si>
    <t>Castelli Nº 185</t>
  </si>
  <si>
    <t>ALVAREZ GIMENEZ Regina Beatriz</t>
  </si>
  <si>
    <t>relevamiento de vivienda existente, posee entecedentes, releva ampliación de estar hacia el frente, quincho con semicubierto al fondo, tiene tres dormitorios, uno con baño privado, baño, estar comedor cocina, lavadero al exterior, BAJO ORD 27/110, art 1, punto 2, inc 2, Infraccion art 5, 27, 37, 151, 179, 247 del CE, retiro VER</t>
  </si>
  <si>
    <t>564748, 566641</t>
  </si>
  <si>
    <t>9 de Julio Nº 194</t>
  </si>
  <si>
    <t>INCHAUSPE Carlos María</t>
  </si>
  <si>
    <t>LESCANO Carlos</t>
  </si>
  <si>
    <t>local comercial y vivienda existente con antecedente, local con baño, vivienda de dos dormitorios, cocina comedor estar, cochera cubierta todo en PB, en PA agregado, un depto de un dormitorio, baño cocina comedor estar, lavadero, remodelacion de la vivienda existente demolicion de parte,, en PB se agrande ala cocina comedor y estar, se hace en PA dormitorio, baño, balcon, piscina fondo. BAJO ORD 27/10, art 1, punto 1, inc 9, putno 2, inc 2 y 3, Infraccion art CE 5, 27, 37, 151, 178, 179, 181, 182, 202, 232, Ord 56/07, art 3, inc 1, sub inc a, Ord 130/22, art 20 - PILETA presentada durante el visaod, con fecha de visado 12/11/24</t>
  </si>
  <si>
    <t>4/9/24, demolicion concluida, obra gruesa terminada</t>
  </si>
  <si>
    <t>3 de Febrero Nº 451</t>
  </si>
  <si>
    <t>CARNEMOLLA Mario Norberto</t>
  </si>
  <si>
    <t>relevamiento de locales comerciales, dos locales, BAJO ORD 27/10, art 1, punto 2, inc 1, 2 y 3, Infraccion Ord 130/22, art 20 Ord 29/10, art 1, CE art 5, 27, 37, 130, 144, 179, 223, 233 - ACTAS 1628 y 1623</t>
  </si>
  <si>
    <t>Noailles Nº 424 ( antes 430)</t>
  </si>
  <si>
    <t>BOZZOLI Luis Maria Norberto</t>
  </si>
  <si>
    <t>FIDEICOMISO NOAILLES</t>
  </si>
  <si>
    <t>edificio de departamentos a cosntruir, 22 unidades, cocheras en PB, 2 unidades de depto de un dormitorio, baño, cocina, comedor estar, lavadero ext, 12 de dos dormitorios, cocina desayunador, comedor estar, baño, toilete, lavadero cubierto, balcon, 6 de un dormitorio, baño, cocina comedor estar, balcon, dos de tres dormitorios, uno en suite con baño y vestidor, baño, toilete, cocina desayunador, lavadero cubierto, estar comedor, terraza balcon</t>
  </si>
  <si>
    <t>Lantelme Nº 382</t>
  </si>
  <si>
    <t>MARTINEZ Daniel Antonio</t>
  </si>
  <si>
    <t>vivienda unifamiliar existente, a relevar quincho con baño y lavadero en el fondo del lote, ampliacion de la vivienda en PB cochera semicubierta y en PA dos dormitorios y baño y balcon / terraza, BAJO ORD 27/10, art 1, punto 2, inc 2, Infraccion CE art 5, 27, 37, 144, 151, 179, 223, 232, 233..</t>
  </si>
  <si>
    <t>MAIL, 564349</t>
  </si>
  <si>
    <t>Alte Brown Nº 38</t>
  </si>
  <si>
    <t>BERNARD Franco Walter Oscar</t>
  </si>
  <si>
    <t>cosntruccion existente a demoler salvo fachada vieja, apart hotel a cosntruir, 16 habitaciones, comedor desayunador en PB, oficina, lavadero y dependiencias, cocheras en subsuelo</t>
  </si>
  <si>
    <t>26/8/24, no comenzada</t>
  </si>
  <si>
    <t>NOVIEMBRE</t>
  </si>
  <si>
    <t>Urbanoa</t>
  </si>
  <si>
    <t>Avda Quirós Nº83, 87 esq M. Moreno</t>
  </si>
  <si>
    <t>GERMANIER María Rosa</t>
  </si>
  <si>
    <t>FIDEICOMISO DON LEANDRO</t>
  </si>
  <si>
    <t>A</t>
  </si>
  <si>
    <t>edificio de departamentos a cosntruir, local en PB, cocheras en subsuelo, 16 unidades de depto de dos dormitorios cada una, cocina comedor, baño, balcon</t>
  </si>
  <si>
    <t>2/10/24, no comenzada</t>
  </si>
  <si>
    <t>Calle A Houssay S/Nº esq. Calle ..</t>
  </si>
  <si>
    <t>VOGEL Ayelen Nahir</t>
  </si>
  <si>
    <t>ACEVEDO Angelina</t>
  </si>
  <si>
    <t>conforme a obra, declara ampliación ejecutada en PB, BAJO ORD 27/10, art 1, punto 2, inc 2 y 3, Infraccion CE art 10, 27, 37, 141, 181, 182, 202, 236, Ord 53/07, Ord 130/22, art 21</t>
  </si>
  <si>
    <t>18/7/24, terminado</t>
  </si>
  <si>
    <t>Calle A Houssay S/Nº</t>
  </si>
  <si>
    <t>relevamiento de vivienda multifamiliar, dos uinidades, cada una de dos dormitorios, baño, cocina comedor, pequeño semicubierto de acceso, con parrilla, quincho comun separado, cocheras semicubiertas en retiro, BAJO ORD 27/10, art 1, punto 2, inc 2 y 3, Infraccion Ord 130/21, CE art 5, 27, 37, 141, 144, 176, 178, 179, 202, 232, 236, 247, Ord 53/07</t>
  </si>
  <si>
    <t>mail, 563575</t>
  </si>
  <si>
    <t>Ruta Nac 135 y Calle Pública</t>
  </si>
  <si>
    <t>BOUVET Neri</t>
  </si>
  <si>
    <t>BOUVET COMBUSTIBLES SAS</t>
  </si>
  <si>
    <t>ROSSIER Betiana Carolina</t>
  </si>
  <si>
    <t>DEGENEVE Ruben</t>
  </si>
  <si>
    <t>galpòn depòsito a construir, BAJO ORD 27/10, art 1, punto 1, inc 9, Infraccion CE art 5, 27, 37</t>
  </si>
  <si>
    <t>11/7/24, replanteo</t>
  </si>
  <si>
    <t>mail, 567573</t>
  </si>
  <si>
    <t>Mitre Nº 1430</t>
  </si>
  <si>
    <t>GODEIN María Gabriela</t>
  </si>
  <si>
    <t>PERNO Rubén Alberto</t>
  </si>
  <si>
    <t>relevamiento de 4 unidades de vviienda de alquiler, dos delante de un dormitorio, baño, cocina comedor, y dos al fondo de iguales caracteristicas, cocheras semicubiertas al frente en area de retiro, BAJO ORD 27/10, art 1, punto 2, inc 2 y 3, Infraccion CE art 5, 27, 37, 151, 178, 202, 226, 232, 246, Ord 56/07, art 3, inc 2, sub inc 1, Ord 53/07, ORd 130/22, art 20</t>
  </si>
  <si>
    <t>mail, 566680</t>
  </si>
  <si>
    <t>Paso de los Andes Nº 671</t>
  </si>
  <si>
    <t>BOUVET Vanesa Victoria</t>
  </si>
  <si>
    <t>ROSSIER Betiana</t>
  </si>
  <si>
    <t>galpón, salón de usos múltiples a construir, en PA vestuarios con baño, sala de sonido, depòsiot;en PB salón, baños hombre , baños mujer, adaptado discapacitado, cocina barra, VER TRAZA CUENCA SALTA, BAJO ORD 27/10, art 1, punto 1, inc 9, Infraccion art 5, 27, 37, del CE</t>
  </si>
  <si>
    <t>12/11/2024, estructura metalica colocada</t>
  </si>
  <si>
    <t>Bvard. Gaillard Nº 485, 487, 489</t>
  </si>
  <si>
    <t>PITER Daniel Oscar , RINALDO Claudia Maria</t>
  </si>
  <si>
    <t>ELENO PITER SH</t>
  </si>
  <si>
    <t>Local comercial / Oficina</t>
  </si>
  <si>
    <t>dos locales comerciales a construir en PB, cada uno con baño, acceso por escalera a PA, dos oficinas con baño</t>
  </si>
  <si>
    <t>12/11/24, no comenzada</t>
  </si>
  <si>
    <t>Andrade Nº 233 ( antes 237)</t>
  </si>
  <si>
    <t>PIETROBONI Virginia Liza (Armando Ernesto)</t>
  </si>
  <si>
    <t>GOMEZ WICKY Diamela y LEONARDI Jeronimo</t>
  </si>
  <si>
    <t>relevamiento de amplaiciones realizadas , oficinas y local comercial, BAJO ORD 27/10, art 1, punto 2, inc 2, Infraccion CE art 5, 27, 37, 179, 223, Ord 130/22, art 20, Ord 29/10, art 1</t>
  </si>
  <si>
    <t>Avda. Paysandú Nº 855</t>
  </si>
  <si>
    <t>VILLA Maximiliano</t>
  </si>
  <si>
    <t>Galpín / Local comercial</t>
  </si>
  <si>
    <t>relevamiento de galpón , taller mecánico, local comercial, BAJO ORD 27/10, art 1, punto 2, inc 2 y 3, Infraccion Ord 130/22, art 20, CE art 5, 27, 37, 144, 151, 179, 181, 202</t>
  </si>
  <si>
    <t>Angela Santa Cruz Nº 524, Vergniaud Nº 526</t>
  </si>
  <si>
    <t>ocho unidades de vivienda a construir, terreno pasante, dos unidades de tres dormitorios, baño, cocina comedor estar, cochera semicubierta, seie unidades de dos dormitorios, baño, cocina comedor estar, cochera semicubierta</t>
  </si>
  <si>
    <t>13/8/24, baldio</t>
  </si>
  <si>
    <t>mail, 567817</t>
  </si>
  <si>
    <t>Noailles Nº 289</t>
  </si>
  <si>
    <t>BONETTO Maria Inés</t>
  </si>
  <si>
    <t>relevamiento de modificacione sinternas en vivienda existente con planos, de una vivienda paso a ser tres unidades de monoambiente, BAJO ORD 27/10, art 1, punto 2, inc 2, Infraccion CE art 5, 27, 37, 178, 179, 256, Ord 56/07, art 3, inc 2, sub inc 1, Ord 53/07</t>
  </si>
  <si>
    <t>Maipú Nº 485</t>
  </si>
  <si>
    <t>ALMADA Diego Emanuel</t>
  </si>
  <si>
    <t>FERNANDEZ Gustavo Rubèn</t>
  </si>
  <si>
    <t>vivienda unifamiliar a construir, dos dormitorio, uno mal, baño, lavadero, deposito, hall acceso, cocina desayunador comedor estar, el dormitorio de PB con baño semi privado, galeria posterior , espacio para dos autos en semicubierto al frente</t>
  </si>
  <si>
    <t>8/8/24, baldio</t>
  </si>
  <si>
    <t>DICIEMBRE</t>
  </si>
  <si>
    <t>MAIL, 567827</t>
  </si>
  <si>
    <t>Bolìvar Nº 1206</t>
  </si>
  <si>
    <t>GIANI Andrès Antonio</t>
  </si>
  <si>
    <t>GIANI Andrés Antonio</t>
  </si>
  <si>
    <t>LOKER Luìs</t>
  </si>
  <si>
    <t>vivienda a construir de tres dormitorios, uno en PB, baño completo, cochera cubierta, cocina desayunador comedor diario comedor estar, galeria semicubierta quincho, lavadero, toilete, en PA dos dormitorios, baño</t>
  </si>
  <si>
    <t>21/11/24, armado de hierros</t>
  </si>
  <si>
    <t>mail, 567942</t>
  </si>
  <si>
    <t>Tucumán Nº 1226 e/ Lantelme y Gómes Miranda</t>
  </si>
  <si>
    <t>SERDAN Marcos Emmanuel</t>
  </si>
  <si>
    <t>relevamiento de vivienda unifamiliar, dos dormitorios, baño, cocina comedor estar, BAJO ORD 27/10, art 1, punto 2, inc 2, Infraccion art 5, 27, 37, 141, 144, 151, 181, 182, 201, 202, 214 del CE</t>
  </si>
  <si>
    <t>mail, 567978</t>
  </si>
  <si>
    <t>Pasaje Alarcón Nº 469</t>
  </si>
  <si>
    <t>PERE Matías Alejandro</t>
  </si>
  <si>
    <t>relevamiento de vivienda unifamiliar de tres dormitorios, uno en suite con vestidor y baño, baño completo, cocina comedor esta, semicubierto cochera lateral con parrilla, lavadero, local comerical con baño al frente,  BAJO ORD 27/10, art 1, punto 2, in 2, Infraccion CE art 5, 27, 37, 141, 144, 151, 202, 223, 232, 233, 247, Ord 130/22, art 20</t>
  </si>
  <si>
    <t>ZAPPEGNO Celso José</t>
  </si>
  <si>
    <t>AREVALO Rogelio Enrique</t>
  </si>
  <si>
    <t>vivienda unifamiliar construida declarada, con planos, pileta de natacion a construir, BAJO ORD 27/10, art 1, punto 2, inc 2, infraccion CE art 5, 27, 37</t>
  </si>
  <si>
    <t>14/10/24, en construccion</t>
  </si>
  <si>
    <t>Pte Illia Nº 413</t>
  </si>
  <si>
    <t>ETCHEVARNE Carina Alejanra</t>
  </si>
  <si>
    <t>MOYANO María Laura</t>
  </si>
  <si>
    <t>relevamiento de vivienda unifamiliar de dos dormitorios uno en suite con baño compartimentado, baño compartimentado, lavadero exterior, cocina comedor estar, cochera descubierta, buhardila sobre dormitorio, BAJO ORD 27/10, art 1, punto 2, inc 2, Infraccion CE art 5, 27, 37, 141, 144, 151, 202</t>
  </si>
  <si>
    <t>relevamiento de modificacioneS en vivienda existente con planos, de una vivienda paso a ser tres unidades de monoambiente, paso un semicubierto en el fondo a cubierto, BAJO ORD 27/10, art 1, punto 2, inc 2, Infraccion CE art 5, 27, 37, 178, 179, 256, Ord 56/07, art 3, inc 2, sub inc 1, Ord 53/07</t>
  </si>
  <si>
    <t>12 de Abril Nº 1181</t>
  </si>
  <si>
    <t>LESCANO Miguel Angel</t>
  </si>
  <si>
    <t>LASCANO Carlos</t>
  </si>
  <si>
    <t>relevamiento de vivieda unifamiliar de tres dormitorios, baño, cocina comedor estar, cochera semicubierta, pileta, a cosntruir quincho con lavadero, baño, parrilla en espacio semicubierto, al fondo del lote, BAJO ORD 27/10, art 1, punto 2, inc 2, Infraccion CE art 5, 27, 37, 254</t>
  </si>
  <si>
    <t>7/10/24,</t>
  </si>
  <si>
    <t>mail, 568484</t>
  </si>
  <si>
    <t>Reibel Nº 487, 491, 493</t>
  </si>
  <si>
    <t>PREMAT Ruben Arturo</t>
  </si>
  <si>
    <t>GONZALEZ Luìs Marìa - C 715</t>
  </si>
  <si>
    <t>tres unidades de vivienda a construir, cada una con dos dormitorios y baño en PA, cocina comedor estar y cochera semicubierta en PB, BAJO ORD 27/10, art 1, punto 1, inc 9 y punto 2 inc 2, Infraccion art 5, 27, 37 del CE</t>
  </si>
  <si>
    <t>06-12-2024, demoliciòn terminada</t>
  </si>
  <si>
    <t>Combatientes de Malvinas Nº 453</t>
  </si>
  <si>
    <t>PUGLIESE Osvaldo Raùl</t>
  </si>
  <si>
    <t>DRAY Daniel Alberto</t>
  </si>
  <si>
    <t>viviend atipo alina de material existente con planos, reformas a ejecutar y ampliacion quincho, BAJO ORD 27/10, art 1, punto 1, inc 9, punto 2, inc 2 uy 3, Infraccion ORD 53/07, Ord 130/22, art 20, CE art 5, 27, 37, 178, 179, 181, 182, 202, 223, 233, 247</t>
  </si>
  <si>
    <t>5/4/24, en ejecucion semicubierto de hierro</t>
  </si>
  <si>
    <t>mail, 566014</t>
  </si>
  <si>
    <t>Avda. Urquiza Nº 262</t>
  </si>
  <si>
    <t>GIANI Hibe</t>
  </si>
  <si>
    <t>GIANI Marcelo Fabián</t>
  </si>
  <si>
    <t>Local comercial y vivienda multifamiliar</t>
  </si>
  <si>
    <t>relevamiento de dos unidades de viienda con entrepiso de madera, altillo, un dormitorio, cocina, baño, patio compartido, un local comercial sin baño, BAJO ORD 27/10, art 1, punto 2, inc 2, Infraccion CE art 5, 27, 37, 176, 178, 179, 202, 207, Ord 53/07</t>
  </si>
  <si>
    <t>mail, 567675</t>
  </si>
  <si>
    <t>Avda. Paysandú Nº 472</t>
  </si>
  <si>
    <t>FABRE Marcelo Andres</t>
  </si>
  <si>
    <t>CHALLIOL German</t>
  </si>
  <si>
    <t>galpòn depòsito a construir, en vivienda existente, BAJO ORD 27/10, art 1, punto 1, inc 9, INFRACCION CE art 5, 27, 37</t>
  </si>
  <si>
    <t>14/11/24, estructura ejecutada</t>
  </si>
  <si>
    <t>CHACRAS</t>
  </si>
  <si>
    <t>RAGGIO Maria Adriana y ECHEVERRIA Juan Carlos</t>
  </si>
  <si>
    <t>relevamiento de vivienda de un dormitorios en PA, cocina comedor y baño, galeria perimtral semicubierta en PB, cuatro unidades de vivienda de alquiler tipo bungalow de dos dormitorios cada una, baño, cocina comedor estar, cochera semicubierta lateral, sector parrilla, piscina, BAJO ORD 27/10, art 1, punto 2, inc 2, Infraccion CE art 5, 27, 37, 178</t>
  </si>
  <si>
    <t>Urtbana</t>
  </si>
  <si>
    <t>Avda. Paysandú Nº 1078</t>
  </si>
  <si>
    <t>galpón a construir, estructura ya "plantada", BAJO ORD 27/10, art 1, punto 1, inc 9, Infraccion CE art 5, 27, 37</t>
  </si>
  <si>
    <t>14/11/24, no comenzada</t>
  </si>
  <si>
    <t>Bernard Nº 627</t>
  </si>
  <si>
    <t>GOMEZ Maximiliano E y otros</t>
  </si>
  <si>
    <t>relevamiento de dos deptos, cada uno con cuatro dormitorios en PA, baño, en PB cocina comedor estar, toilete, espacio de estacionamiento descubierto al frente, piscina compartida al fondo, BAJO ORD 27/10, art 1, punto 2, inc 2 y 3, Infraccion ORD 53/07, Ord 62/13, art 20, CE art 5, 27, 37, 144, 151, 176, 178, 179, 181, 182, 201, 202, 227, 2362, 247, 254</t>
  </si>
  <si>
    <t>mail, 568698</t>
  </si>
  <si>
    <t>3 de Febrero Nº 444</t>
  </si>
  <si>
    <t>DAMMAN Susanne</t>
  </si>
  <si>
    <t>MARTINEZ José</t>
  </si>
  <si>
    <t>ampliaciòn remodelaciòn de local esquina, BAJO ORD 27/10, art 1, punto 1, inc 9 y punto 2, inc 2 y 3, Infraccion CE art 5, 27, 37, 144, 175, 178, 179, 200 y 230, Ord 53/07, Ord 130/22, art 20</t>
  </si>
  <si>
    <t>16/12/24, terminado</t>
  </si>
  <si>
    <t>MES</t>
  </si>
  <si>
    <t>USO</t>
  </si>
  <si>
    <t>Cantidad de Habitaciones (dormitorios) Existente</t>
  </si>
  <si>
    <t>Cantidad de Habitaciones (dormitorios) Nuevas</t>
  </si>
  <si>
    <t>Locales de 1º, Habitables Existente</t>
  </si>
  <si>
    <t>Locales de 1º, Habitables Nuevos</t>
  </si>
  <si>
    <t>N° de Plazas Existente</t>
  </si>
  <si>
    <t>N° de Plazas Nuevas</t>
  </si>
  <si>
    <t>M² existentes (con antecedente) Vivienda</t>
  </si>
  <si>
    <t>M² existentes (con antecedente) Local</t>
  </si>
  <si>
    <t>M² existentes (relevados) Vivienda</t>
  </si>
  <si>
    <t>M² existentes (relevados) Local</t>
  </si>
  <si>
    <t>M²     (a construir Vivienda</t>
  </si>
  <si>
    <t>M²     (a construir Local</t>
  </si>
  <si>
    <t>TITULO PROFESIONAL</t>
  </si>
  <si>
    <t>VISADO</t>
  </si>
  <si>
    <t>FINAL OBRA</t>
  </si>
  <si>
    <t>DEMOLICION / AMPLIACION</t>
  </si>
  <si>
    <t xml:space="preserve">demolición de vivienda unifamiliar, 109,26 M2 CUBIERTOS, 84,00 M2 SEMICUBIERTOS, demolición de vivienda unifamiliar, 110,10 M2 CUBIERTOS Y 42,00 M2 SEMICUBIERTOS - hotel con planos antecedentes, ampliaciòn remodelaciòn, se cambian de lugar las escaleras de emergencia, se cambia de lugar la pileta, 6 habitaciones nuevas, </t>
  </si>
  <si>
    <t>Lavalle N° 180 - Chacabuco N° 210</t>
  </si>
</sst>
</file>

<file path=xl/styles.xml><?xml version="1.0" encoding="utf-8"?>
<styleSheet xmlns="http://schemas.openxmlformats.org/spreadsheetml/2006/main">
  <numFmts count="3">
    <numFmt numFmtId="164" formatCode="[$-2C0A]dd/mm/yyyy"/>
    <numFmt numFmtId="165" formatCode="&quot;$&quot;\ #,##0.00"/>
    <numFmt numFmtId="166" formatCode="[$€-2C0A]#,##0.00\ ;[$€-2C0A]\-#,##0.00\ ;[$€-2C0A]\-#\ "/>
  </numFmts>
  <fonts count="38">
    <font>
      <sz val="11"/>
      <color rgb="FF000000"/>
      <name val="Arial1"/>
      <charset val="1"/>
    </font>
    <font>
      <sz val="11"/>
      <color theme="1"/>
      <name val="Calibri"/>
      <family val="2"/>
      <scheme val="minor"/>
    </font>
    <font>
      <sz val="11"/>
      <color rgb="FF000000"/>
      <name val="Arial1"/>
      <charset val="1"/>
    </font>
    <font>
      <b/>
      <sz val="10"/>
      <name val="Arial"/>
      <family val="2"/>
      <charset val="1"/>
    </font>
    <font>
      <b/>
      <sz val="10"/>
      <color rgb="FF000000"/>
      <name val="Arial"/>
      <family val="2"/>
      <charset val="1"/>
    </font>
    <font>
      <sz val="10"/>
      <color rgb="FF000000"/>
      <name val="Arial"/>
      <family val="2"/>
      <charset val="1"/>
    </font>
    <font>
      <i/>
      <sz val="10"/>
      <color rgb="FF000000"/>
      <name val="Arial"/>
      <family val="2"/>
    </font>
    <font>
      <i/>
      <sz val="10"/>
      <color rgb="FF000000"/>
      <name val="Arial"/>
      <family val="2"/>
      <charset val="1"/>
    </font>
    <font>
      <sz val="10"/>
      <color rgb="FF000000"/>
      <name val="Arial"/>
      <family val="2"/>
    </font>
    <font>
      <sz val="10"/>
      <name val="Arial"/>
      <family val="2"/>
    </font>
    <font>
      <b/>
      <sz val="10"/>
      <name val="Arial"/>
      <family val="2"/>
    </font>
    <font>
      <i/>
      <sz val="10"/>
      <name val="Arial"/>
      <family val="2"/>
    </font>
    <font>
      <sz val="10"/>
      <name val="Arial"/>
      <family val="2"/>
      <charset val="1"/>
    </font>
    <font>
      <i/>
      <sz val="10"/>
      <name val="Arial"/>
      <family val="2"/>
      <charset val="1"/>
    </font>
    <font>
      <b/>
      <sz val="10"/>
      <color rgb="FF000000"/>
      <name val="Arial"/>
      <family val="2"/>
    </font>
    <font>
      <sz val="11"/>
      <name val="Arial1"/>
      <charset val="1"/>
    </font>
    <font>
      <sz val="10"/>
      <color rgb="FFFFFFFF"/>
      <name val="Arial"/>
      <family val="2"/>
      <charset val="1"/>
    </font>
    <font>
      <sz val="10"/>
      <color rgb="FFFFFFFF"/>
      <name val="Arial1"/>
      <charset val="1"/>
    </font>
    <font>
      <b/>
      <sz val="10"/>
      <color rgb="FF000000"/>
      <name val="Arial1"/>
      <charset val="1"/>
    </font>
    <font>
      <sz val="10"/>
      <color rgb="FFCC0000"/>
      <name val="Arial"/>
      <family val="2"/>
      <charset val="1"/>
    </font>
    <font>
      <sz val="10"/>
      <color rgb="FFCC0000"/>
      <name val="Arial1"/>
      <charset val="1"/>
    </font>
    <font>
      <b/>
      <sz val="10"/>
      <color rgb="FFFFFFFF"/>
      <name val="Arial"/>
      <family val="2"/>
      <charset val="1"/>
    </font>
    <font>
      <b/>
      <sz val="10"/>
      <color rgb="FFFFFFFF"/>
      <name val="Arial1"/>
      <charset val="1"/>
    </font>
    <font>
      <i/>
      <sz val="10"/>
      <color rgb="FF808080"/>
      <name val="Arial"/>
      <family val="2"/>
      <charset val="1"/>
    </font>
    <font>
      <i/>
      <sz val="10"/>
      <color rgb="FF808080"/>
      <name val="Arial1"/>
      <charset val="1"/>
    </font>
    <font>
      <sz val="10"/>
      <color rgb="FF006600"/>
      <name val="Arial"/>
      <family val="2"/>
      <charset val="1"/>
    </font>
    <font>
      <sz val="10"/>
      <color rgb="FF006600"/>
      <name val="Arial1"/>
      <charset val="1"/>
    </font>
    <font>
      <b/>
      <sz val="24"/>
      <color rgb="FF000000"/>
      <name val="Arial1"/>
      <charset val="1"/>
    </font>
    <font>
      <sz val="18"/>
      <color rgb="FF000000"/>
      <name val="Arial"/>
      <family val="2"/>
      <charset val="1"/>
    </font>
    <font>
      <sz val="18"/>
      <color rgb="FF000000"/>
      <name val="Arial1"/>
      <charset val="1"/>
    </font>
    <font>
      <sz val="12"/>
      <color rgb="FF000000"/>
      <name val="Arial"/>
      <family val="2"/>
      <charset val="1"/>
    </font>
    <font>
      <sz val="12"/>
      <color rgb="FF000000"/>
      <name val="Arial1"/>
      <charset val="1"/>
    </font>
    <font>
      <b/>
      <sz val="24"/>
      <color rgb="FF000000"/>
      <name val="Arial"/>
      <family val="2"/>
      <charset val="1"/>
    </font>
    <font>
      <u/>
      <sz val="10"/>
      <color rgb="FF0000EE"/>
      <name val="Arial"/>
      <family val="2"/>
      <charset val="1"/>
    </font>
    <font>
      <u/>
      <sz val="10"/>
      <color rgb="FF0000EE"/>
      <name val="Arial1"/>
      <charset val="1"/>
    </font>
    <font>
      <sz val="10"/>
      <color rgb="FF996600"/>
      <name val="Arial"/>
      <family val="2"/>
      <charset val="1"/>
    </font>
    <font>
      <sz val="10"/>
      <color rgb="FF333333"/>
      <name val="Arial"/>
      <family val="2"/>
      <charset val="1"/>
    </font>
    <font>
      <sz val="10"/>
      <color rgb="FF333333"/>
      <name val="Arial1"/>
      <charset val="1"/>
    </font>
  </fonts>
  <fills count="27">
    <fill>
      <patternFill patternType="none"/>
    </fill>
    <fill>
      <patternFill patternType="gray125"/>
    </fill>
    <fill>
      <patternFill patternType="solid">
        <fgColor rgb="FF00B0F0"/>
        <bgColor rgb="FFC0C0C0"/>
      </patternFill>
    </fill>
    <fill>
      <patternFill patternType="gray125">
        <fgColor rgb="FFFF0000"/>
      </patternFill>
    </fill>
    <fill>
      <patternFill patternType="gray0625">
        <bgColor theme="9" tint="0.79998168889431442"/>
      </patternFill>
    </fill>
    <fill>
      <patternFill patternType="solid">
        <fgColor rgb="FFAFD095"/>
        <bgColor rgb="FFC0C0C0"/>
      </patternFill>
    </fill>
    <fill>
      <patternFill patternType="gray0625">
        <bgColor theme="6" tint="0.79998168889431442"/>
      </patternFill>
    </fill>
    <fill>
      <patternFill patternType="solid">
        <fgColor rgb="FFFFFF00"/>
        <bgColor rgb="FFC0C0C0"/>
      </patternFill>
    </fill>
    <fill>
      <patternFill patternType="solid">
        <fgColor theme="9" tint="0.39997558519241921"/>
        <bgColor rgb="FFC0C0C0"/>
      </patternFill>
    </fill>
    <fill>
      <patternFill patternType="gray0625">
        <bgColor theme="7" tint="0.79998168889431442"/>
      </patternFill>
    </fill>
    <fill>
      <patternFill patternType="gray0625">
        <bgColor theme="8" tint="0.79998168889431442"/>
      </patternFill>
    </fill>
    <fill>
      <patternFill patternType="solid">
        <fgColor rgb="FF00B0F0"/>
        <bgColor indexed="64"/>
      </patternFill>
    </fill>
    <fill>
      <patternFill patternType="gray0625">
        <bgColor theme="4" tint="0.79998168889431442"/>
      </patternFill>
    </fill>
    <fill>
      <patternFill patternType="gray0625">
        <bgColor theme="5" tint="0.79998168889431442"/>
      </patternFill>
    </fill>
    <fill>
      <patternFill patternType="solid">
        <fgColor theme="9" tint="0.39997558519241921"/>
        <bgColor indexed="64"/>
      </patternFill>
    </fill>
    <fill>
      <patternFill patternType="gray0625">
        <fgColor auto="1"/>
        <bgColor theme="9" tint="0.79998168889431442"/>
      </patternFill>
    </fill>
    <fill>
      <patternFill patternType="lightGray">
        <fgColor rgb="FF3399FF"/>
        <bgColor auto="1"/>
      </patternFill>
    </fill>
    <fill>
      <patternFill patternType="lightGray">
        <fgColor rgb="FF9966FF"/>
        <bgColor auto="1"/>
      </patternFill>
    </fill>
    <fill>
      <patternFill patternType="lightGray">
        <fgColor rgb="FF9966FF"/>
      </patternFill>
    </fill>
    <fill>
      <patternFill patternType="solid">
        <fgColor rgb="FFFFFF00"/>
        <bgColor indexed="64"/>
      </patternFill>
    </fill>
    <fill>
      <patternFill patternType="solid">
        <fgColor rgb="FF000000"/>
        <bgColor rgb="FF000080"/>
      </patternFill>
    </fill>
    <fill>
      <patternFill patternType="solid">
        <fgColor rgb="FF808080"/>
        <bgColor rgb="FF969696"/>
      </patternFill>
    </fill>
    <fill>
      <patternFill patternType="solid">
        <fgColor rgb="FFDDDDDD"/>
        <bgColor rgb="FFDDE8CB"/>
      </patternFill>
    </fill>
    <fill>
      <patternFill patternType="solid">
        <fgColor rgb="FFFFCCCC"/>
        <bgColor rgb="FFFFCC99"/>
      </patternFill>
    </fill>
    <fill>
      <patternFill patternType="solid">
        <fgColor rgb="FFCC0000"/>
        <bgColor rgb="FFFF0000"/>
      </patternFill>
    </fill>
    <fill>
      <patternFill patternType="solid">
        <fgColor rgb="FFCCFFCC"/>
        <bgColor rgb="FFE0EFD4"/>
      </patternFill>
    </fill>
    <fill>
      <patternFill patternType="solid">
        <fgColor rgb="FFFFFFCC"/>
        <bgColor rgb="FFFFFFA6"/>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medium">
        <color indexed="64"/>
      </left>
      <right style="medium">
        <color indexed="64"/>
      </right>
      <top/>
      <bottom/>
      <diagonal/>
    </border>
    <border>
      <left style="medium">
        <color indexed="64"/>
      </left>
      <right style="thin">
        <color auto="1"/>
      </right>
      <top/>
      <bottom/>
      <diagonal/>
    </border>
    <border>
      <left/>
      <right style="thin">
        <color auto="1"/>
      </right>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diagonal/>
    </border>
    <border>
      <left style="medium">
        <color auto="1"/>
      </left>
      <right style="thin">
        <color auto="1"/>
      </right>
      <top/>
      <bottom style="thin">
        <color auto="1"/>
      </bottom>
      <diagonal/>
    </border>
    <border>
      <left/>
      <right style="thin">
        <color auto="1"/>
      </right>
      <top/>
      <bottom/>
      <diagonal/>
    </border>
    <border>
      <left style="thin">
        <color auto="1"/>
      </left>
      <right style="thin">
        <color auto="1"/>
      </right>
      <top/>
      <bottom/>
      <diagonal/>
    </border>
    <border>
      <left style="medium">
        <color indexed="64"/>
      </left>
      <right style="thin">
        <color auto="1"/>
      </right>
      <top style="thin">
        <color auto="1"/>
      </top>
      <bottom/>
      <diagonal/>
    </border>
    <border>
      <left/>
      <right style="medium">
        <color indexed="64"/>
      </right>
      <top/>
      <bottom/>
      <diagonal/>
    </border>
    <border>
      <left style="thin">
        <color rgb="FF808080"/>
      </left>
      <right style="thin">
        <color rgb="FF808080"/>
      </right>
      <top style="thin">
        <color rgb="FF808080"/>
      </top>
      <bottom style="thin">
        <color rgb="FF808080"/>
      </bottom>
      <diagonal/>
    </border>
  </borders>
  <cellStyleXfs count="37">
    <xf numFmtId="0" fontId="0" fillId="0" borderId="0"/>
    <xf numFmtId="0" fontId="16" fillId="20" borderId="0"/>
    <xf numFmtId="0" fontId="17" fillId="20" borderId="0"/>
    <xf numFmtId="0" fontId="16" fillId="21" borderId="0"/>
    <xf numFmtId="0" fontId="17" fillId="21" borderId="0"/>
    <xf numFmtId="0" fontId="4" fillId="22" borderId="0"/>
    <xf numFmtId="0" fontId="18" fillId="22" borderId="0"/>
    <xf numFmtId="0" fontId="4" fillId="0" borderId="0"/>
    <xf numFmtId="0" fontId="18" fillId="0" borderId="0"/>
    <xf numFmtId="0" fontId="19" fillId="23" borderId="0"/>
    <xf numFmtId="0" fontId="20" fillId="23" borderId="0"/>
    <xf numFmtId="0" fontId="21" fillId="24" borderId="0"/>
    <xf numFmtId="0" fontId="22" fillId="24" borderId="0"/>
    <xf numFmtId="166" fontId="5" fillId="0" borderId="0"/>
    <xf numFmtId="0" fontId="23" fillId="0" borderId="0"/>
    <xf numFmtId="0" fontId="24" fillId="0" borderId="0"/>
    <xf numFmtId="0" fontId="25" fillId="25" borderId="0"/>
    <xf numFmtId="0" fontId="26" fillId="25"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35" fillId="26" borderId="0"/>
    <xf numFmtId="0" fontId="1" fillId="0" borderId="0"/>
    <xf numFmtId="0" fontId="1" fillId="0" borderId="0"/>
    <xf numFmtId="0" fontId="36" fillId="26" borderId="16"/>
    <xf numFmtId="0" fontId="37" fillId="26" borderId="16"/>
    <xf numFmtId="0" fontId="5" fillId="0" borderId="0"/>
    <xf numFmtId="0" fontId="2" fillId="0" borderId="0"/>
    <xf numFmtId="0" fontId="5" fillId="0" borderId="0"/>
    <xf numFmtId="0" fontId="2" fillId="0" borderId="0"/>
    <xf numFmtId="0" fontId="19" fillId="0" borderId="0"/>
    <xf numFmtId="0" fontId="20" fillId="0" borderId="0"/>
  </cellStyleXfs>
  <cellXfs count="213">
    <xf numFmtId="0" fontId="0" fillId="0" borderId="0" xfId="0"/>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0" borderId="8" xfId="0" applyFont="1" applyBorder="1" applyAlignment="1">
      <alignment horizontal="center" wrapText="1"/>
    </xf>
    <xf numFmtId="164" fontId="6" fillId="0" borderId="8" xfId="0" applyNumberFormat="1" applyFont="1" applyBorder="1" applyAlignment="1">
      <alignment horizontal="center" vertical="top" wrapText="1"/>
    </xf>
    <xf numFmtId="14" fontId="7" fillId="0" borderId="8" xfId="0" applyNumberFormat="1" applyFont="1" applyBorder="1" applyAlignment="1">
      <alignment horizontal="center" vertical="top" wrapText="1"/>
    </xf>
    <xf numFmtId="3" fontId="5" fillId="0" borderId="4" xfId="0" applyNumberFormat="1" applyFont="1" applyBorder="1" applyAlignment="1">
      <alignment horizontal="center" vertical="top" wrapText="1"/>
    </xf>
    <xf numFmtId="0" fontId="5" fillId="0" borderId="4" xfId="0" applyFont="1" applyBorder="1" applyAlignment="1">
      <alignment horizontal="center" vertical="top" wrapText="1"/>
    </xf>
    <xf numFmtId="0" fontId="8" fillId="0" borderId="4" xfId="0" applyFont="1" applyBorder="1" applyAlignment="1">
      <alignment horizontal="center" vertical="top" wrapText="1"/>
    </xf>
    <xf numFmtId="0" fontId="5" fillId="3" borderId="4" xfId="0" applyFont="1" applyFill="1" applyBorder="1" applyAlignment="1">
      <alignment horizontal="center" vertical="top" wrapText="1"/>
    </xf>
    <xf numFmtId="0" fontId="9" fillId="0" borderId="4" xfId="0" applyFont="1" applyFill="1" applyBorder="1" applyAlignment="1">
      <alignment horizontal="center" vertical="top" wrapText="1"/>
    </xf>
    <xf numFmtId="1" fontId="5" fillId="0" borderId="4" xfId="0" applyNumberFormat="1" applyFont="1" applyBorder="1" applyAlignment="1">
      <alignment horizontal="center" vertical="top" wrapText="1"/>
    </xf>
    <xf numFmtId="1" fontId="5" fillId="3" borderId="4" xfId="0" applyNumberFormat="1" applyFont="1" applyFill="1" applyBorder="1" applyAlignment="1">
      <alignment horizontal="center" vertical="top" wrapText="1"/>
    </xf>
    <xf numFmtId="1" fontId="5" fillId="0" borderId="4" xfId="0" applyNumberFormat="1" applyFont="1" applyFill="1" applyBorder="1" applyAlignment="1">
      <alignment horizontal="center" vertical="top" wrapText="1"/>
    </xf>
    <xf numFmtId="0" fontId="5" fillId="3" borderId="4" xfId="0" applyFont="1" applyFill="1" applyBorder="1" applyAlignment="1">
      <alignment horizontal="center" wrapText="1"/>
    </xf>
    <xf numFmtId="0" fontId="5" fillId="0" borderId="4" xfId="0" applyFont="1" applyBorder="1" applyAlignment="1">
      <alignment horizontal="center" wrapText="1"/>
    </xf>
    <xf numFmtId="165" fontId="5" fillId="4" borderId="4" xfId="0" applyNumberFormat="1" applyFont="1" applyFill="1" applyBorder="1" applyAlignment="1">
      <alignment horizontal="center" vertical="center" wrapText="1"/>
    </xf>
    <xf numFmtId="0" fontId="5" fillId="0" borderId="4" xfId="0" applyFont="1" applyBorder="1" applyAlignment="1">
      <alignment horizontal="left" vertical="top" wrapText="1"/>
    </xf>
    <xf numFmtId="14" fontId="5" fillId="0" borderId="4" xfId="0" applyNumberFormat="1" applyFont="1" applyBorder="1" applyAlignment="1">
      <alignment horizontal="center" vertical="center" wrapText="1"/>
    </xf>
    <xf numFmtId="0" fontId="5" fillId="0" borderId="4" xfId="0" applyFont="1" applyBorder="1" applyAlignment="1">
      <alignment horizontal="center" vertical="center" wrapText="1"/>
    </xf>
    <xf numFmtId="14" fontId="5" fillId="0" borderId="4" xfId="0" applyNumberFormat="1" applyFont="1" applyBorder="1" applyAlignment="1">
      <alignment horizontal="left" vertical="top" wrapText="1"/>
    </xf>
    <xf numFmtId="0" fontId="5" fillId="0" borderId="0" xfId="0" applyFont="1" applyBorder="1" applyAlignment="1">
      <alignment horizontal="center" wrapText="1"/>
    </xf>
    <xf numFmtId="0" fontId="5" fillId="0" borderId="0" xfId="0" applyFont="1" applyBorder="1" applyAlignment="1">
      <alignment horizontal="center" vertical="center" wrapText="1"/>
    </xf>
    <xf numFmtId="0" fontId="5" fillId="0" borderId="0" xfId="0" applyFont="1" applyAlignment="1">
      <alignment horizontal="center" vertical="center" wrapText="1"/>
    </xf>
    <xf numFmtId="0" fontId="10" fillId="0" borderId="2" xfId="0" applyFont="1" applyFill="1" applyBorder="1" applyAlignment="1">
      <alignment horizontal="center" wrapText="1"/>
    </xf>
    <xf numFmtId="14" fontId="9" fillId="0" borderId="2" xfId="0" applyNumberFormat="1" applyFont="1" applyFill="1" applyBorder="1" applyAlignment="1">
      <alignment horizontal="center" wrapText="1"/>
    </xf>
    <xf numFmtId="164" fontId="11" fillId="0" borderId="2" xfId="0" applyNumberFormat="1" applyFont="1" applyFill="1" applyBorder="1" applyAlignment="1">
      <alignment horizontal="center" vertical="top" wrapText="1"/>
    </xf>
    <xf numFmtId="3" fontId="9" fillId="0" borderId="1" xfId="0" applyNumberFormat="1" applyFont="1" applyFill="1" applyBorder="1" applyAlignment="1">
      <alignment horizontal="center" vertical="top" wrapText="1"/>
    </xf>
    <xf numFmtId="0" fontId="9" fillId="0" borderId="1" xfId="0" applyFont="1" applyFill="1" applyBorder="1" applyAlignment="1">
      <alignment horizontal="center" vertical="top" wrapText="1"/>
    </xf>
    <xf numFmtId="0" fontId="12" fillId="3" borderId="1" xfId="0" applyFont="1" applyFill="1" applyBorder="1" applyAlignment="1">
      <alignment horizontal="center" vertical="top" wrapText="1"/>
    </xf>
    <xf numFmtId="1" fontId="9" fillId="0" borderId="1" xfId="0" applyNumberFormat="1" applyFont="1" applyFill="1" applyBorder="1" applyAlignment="1">
      <alignment horizontal="center" vertical="top" wrapText="1"/>
    </xf>
    <xf numFmtId="1" fontId="12" fillId="3" borderId="1" xfId="0" applyNumberFormat="1" applyFont="1" applyFill="1" applyBorder="1" applyAlignment="1">
      <alignment horizontal="center" vertical="top" wrapText="1"/>
    </xf>
    <xf numFmtId="0" fontId="9" fillId="0" borderId="1" xfId="0" applyFont="1" applyFill="1" applyBorder="1" applyAlignment="1">
      <alignment horizontal="center" wrapText="1"/>
    </xf>
    <xf numFmtId="165" fontId="9" fillId="4" borderId="1" xfId="0" applyNumberFormat="1" applyFont="1" applyFill="1" applyBorder="1" applyAlignment="1">
      <alignment horizontal="center" vertical="center" wrapText="1"/>
    </xf>
    <xf numFmtId="0" fontId="9" fillId="0" borderId="1" xfId="0" applyFont="1" applyFill="1" applyBorder="1" applyAlignment="1">
      <alignment horizontal="left" vertical="top" wrapText="1"/>
    </xf>
    <xf numFmtId="14" fontId="9" fillId="0" borderId="1"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14" fontId="9" fillId="0" borderId="1" xfId="0" applyNumberFormat="1" applyFont="1" applyFill="1" applyBorder="1" applyAlignment="1">
      <alignment horizontal="left" vertical="top" wrapText="1"/>
    </xf>
    <xf numFmtId="0" fontId="9" fillId="0" borderId="0" xfId="0" applyFont="1" applyFill="1" applyBorder="1" applyAlignment="1">
      <alignment horizontal="center" wrapText="1"/>
    </xf>
    <xf numFmtId="0" fontId="9" fillId="0" borderId="0" xfId="0" applyFont="1" applyFill="1" applyBorder="1" applyAlignment="1">
      <alignment horizontal="center" vertical="center" wrapText="1"/>
    </xf>
    <xf numFmtId="0" fontId="9" fillId="0" borderId="0" xfId="0" applyFont="1" applyFill="1" applyAlignment="1">
      <alignment horizontal="center" vertical="center" wrapText="1"/>
    </xf>
    <xf numFmtId="0" fontId="10" fillId="0" borderId="8" xfId="0" applyFont="1" applyFill="1" applyBorder="1" applyAlignment="1">
      <alignment horizontal="center" wrapText="1"/>
    </xf>
    <xf numFmtId="14" fontId="9" fillId="0" borderId="8" xfId="0" applyNumberFormat="1" applyFont="1" applyFill="1" applyBorder="1" applyAlignment="1">
      <alignment horizontal="center" wrapText="1"/>
    </xf>
    <xf numFmtId="164" fontId="11" fillId="0" borderId="8" xfId="0" applyNumberFormat="1" applyFont="1" applyFill="1" applyBorder="1" applyAlignment="1">
      <alignment horizontal="center" vertical="top" wrapText="1"/>
    </xf>
    <xf numFmtId="0" fontId="9" fillId="0" borderId="4" xfId="0" applyFont="1" applyFill="1" applyBorder="1" applyAlignment="1">
      <alignment horizontal="center" wrapText="1"/>
    </xf>
    <xf numFmtId="14" fontId="9" fillId="0" borderId="4" xfId="0" applyNumberFormat="1" applyFont="1" applyFill="1" applyBorder="1" applyAlignment="1">
      <alignment horizontal="center" vertical="top" wrapText="1"/>
    </xf>
    <xf numFmtId="164" fontId="6" fillId="0" borderId="2" xfId="0" applyNumberFormat="1" applyFont="1" applyBorder="1" applyAlignment="1">
      <alignment horizontal="center" vertical="top" wrapText="1"/>
    </xf>
    <xf numFmtId="14" fontId="7" fillId="0" borderId="1" xfId="0" applyNumberFormat="1" applyFont="1" applyBorder="1" applyAlignment="1">
      <alignment horizontal="center" vertical="top" wrapText="1"/>
    </xf>
    <xf numFmtId="3" fontId="5" fillId="0" borderId="1" xfId="0" applyNumberFormat="1" applyFont="1" applyBorder="1" applyAlignment="1">
      <alignment horizontal="center" vertical="top" wrapText="1"/>
    </xf>
    <xf numFmtId="0" fontId="5" fillId="0" borderId="1" xfId="0" applyFont="1" applyBorder="1" applyAlignment="1">
      <alignment horizontal="center" vertical="top" wrapText="1"/>
    </xf>
    <xf numFmtId="0" fontId="8" fillId="0" borderId="1" xfId="0" applyFont="1" applyBorder="1" applyAlignment="1">
      <alignment horizontal="center" vertical="top" wrapText="1"/>
    </xf>
    <xf numFmtId="0" fontId="5" fillId="3" borderId="1" xfId="0" applyFont="1" applyFill="1" applyBorder="1" applyAlignment="1">
      <alignment horizontal="center" vertical="top" wrapText="1"/>
    </xf>
    <xf numFmtId="1" fontId="5" fillId="0" borderId="1" xfId="0" applyNumberFormat="1" applyFont="1" applyBorder="1" applyAlignment="1">
      <alignment horizontal="center" vertical="top" wrapText="1"/>
    </xf>
    <xf numFmtId="1" fontId="5" fillId="3" borderId="1" xfId="0" applyNumberFormat="1" applyFont="1" applyFill="1" applyBorder="1" applyAlignment="1">
      <alignment horizontal="center" vertical="top" wrapText="1"/>
    </xf>
    <xf numFmtId="1" fontId="5" fillId="0" borderId="1" xfId="0" applyNumberFormat="1" applyFont="1" applyFill="1" applyBorder="1" applyAlignment="1">
      <alignment horizontal="center" vertical="top" wrapText="1"/>
    </xf>
    <xf numFmtId="0" fontId="5" fillId="3" borderId="1" xfId="0" applyFont="1" applyFill="1" applyBorder="1" applyAlignment="1">
      <alignment horizontal="center" wrapText="1"/>
    </xf>
    <xf numFmtId="0" fontId="5" fillId="0" borderId="1" xfId="0" applyFont="1" applyBorder="1" applyAlignment="1">
      <alignment horizontal="center" wrapText="1"/>
    </xf>
    <xf numFmtId="165" fontId="5" fillId="4" borderId="1" xfId="0" applyNumberFormat="1" applyFont="1" applyFill="1" applyBorder="1" applyAlignment="1">
      <alignment horizontal="center" vertical="center" wrapText="1"/>
    </xf>
    <xf numFmtId="0" fontId="5" fillId="0" borderId="1" xfId="0" applyFont="1" applyBorder="1" applyAlignment="1">
      <alignment horizontal="left" vertical="top" wrapText="1"/>
    </xf>
    <xf numFmtId="14"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4" fillId="0" borderId="2" xfId="0" applyFont="1" applyBorder="1" applyAlignment="1">
      <alignment horizontal="center" wrapText="1"/>
    </xf>
    <xf numFmtId="164" fontId="6" fillId="0" borderId="1" xfId="0" applyNumberFormat="1" applyFont="1" applyBorder="1" applyAlignment="1">
      <alignment horizontal="center" vertical="top" wrapText="1"/>
    </xf>
    <xf numFmtId="14" fontId="5" fillId="0" borderId="9" xfId="0" applyNumberFormat="1" applyFont="1" applyBorder="1" applyAlignment="1">
      <alignment horizontal="left" vertical="top" wrapText="1"/>
    </xf>
    <xf numFmtId="0" fontId="4" fillId="0" borderId="2" xfId="0" applyFont="1" applyBorder="1" applyAlignment="1">
      <alignment horizontal="center" vertical="top" wrapText="1"/>
    </xf>
    <xf numFmtId="164" fontId="8" fillId="0" borderId="2" xfId="0" applyNumberFormat="1" applyFont="1" applyBorder="1" applyAlignment="1">
      <alignment horizontal="center" vertical="top" wrapText="1"/>
    </xf>
    <xf numFmtId="0" fontId="5" fillId="0" borderId="1" xfId="0" applyFont="1" applyFill="1" applyBorder="1" applyAlignment="1">
      <alignment horizontal="center" vertical="top" wrapText="1"/>
    </xf>
    <xf numFmtId="0" fontId="5" fillId="0" borderId="1" xfId="0" applyFont="1" applyBorder="1"/>
    <xf numFmtId="0" fontId="5" fillId="3" borderId="1" xfId="0" applyFont="1" applyFill="1" applyBorder="1"/>
    <xf numFmtId="0" fontId="5" fillId="0" borderId="1" xfId="0" applyFont="1" applyBorder="1" applyAlignment="1">
      <alignment horizontal="center"/>
    </xf>
    <xf numFmtId="14" fontId="5" fillId="0" borderId="1" xfId="0" applyNumberFormat="1" applyFont="1" applyBorder="1" applyAlignment="1">
      <alignment wrapText="1"/>
    </xf>
    <xf numFmtId="14" fontId="5" fillId="0" borderId="1" xfId="0" applyNumberFormat="1" applyFont="1" applyBorder="1"/>
    <xf numFmtId="0" fontId="5" fillId="0" borderId="0" xfId="0" applyFont="1" applyBorder="1"/>
    <xf numFmtId="14" fontId="5" fillId="0" borderId="1" xfId="0" applyNumberFormat="1" applyFont="1" applyBorder="1" applyAlignment="1">
      <alignment horizontal="left" vertical="top" wrapText="1"/>
    </xf>
    <xf numFmtId="0" fontId="4" fillId="2" borderId="7" xfId="0" applyFont="1" applyFill="1" applyBorder="1" applyAlignment="1">
      <alignment horizontal="center" wrapText="1"/>
    </xf>
    <xf numFmtId="0" fontId="10" fillId="0" borderId="10" xfId="0" applyFont="1" applyFill="1" applyBorder="1" applyAlignment="1">
      <alignment horizontal="center" wrapText="1"/>
    </xf>
    <xf numFmtId="14" fontId="9" fillId="0" borderId="3" xfId="0" applyNumberFormat="1" applyFont="1" applyFill="1" applyBorder="1" applyAlignment="1">
      <alignment horizontal="center" wrapText="1"/>
    </xf>
    <xf numFmtId="164" fontId="11" fillId="0" borderId="10" xfId="0" applyNumberFormat="1" applyFont="1" applyFill="1" applyBorder="1" applyAlignment="1">
      <alignment horizontal="center" vertical="top" wrapText="1"/>
    </xf>
    <xf numFmtId="3" fontId="9" fillId="0" borderId="3" xfId="0" applyNumberFormat="1" applyFont="1" applyFill="1" applyBorder="1" applyAlignment="1">
      <alignment horizontal="center" vertical="top" wrapText="1"/>
    </xf>
    <xf numFmtId="0" fontId="9" fillId="0" borderId="3" xfId="0" applyFont="1" applyFill="1" applyBorder="1" applyAlignment="1">
      <alignment horizontal="center" vertical="top" wrapText="1"/>
    </xf>
    <xf numFmtId="1" fontId="9" fillId="0" borderId="3" xfId="0" applyNumberFormat="1" applyFont="1" applyFill="1" applyBorder="1" applyAlignment="1">
      <alignment horizontal="center" vertical="top" wrapText="1"/>
    </xf>
    <xf numFmtId="0" fontId="9" fillId="0" borderId="3" xfId="0" applyFont="1" applyFill="1" applyBorder="1" applyAlignment="1">
      <alignment horizontal="center" wrapText="1"/>
    </xf>
    <xf numFmtId="165" fontId="9" fillId="4" borderId="3" xfId="0" applyNumberFormat="1" applyFont="1" applyFill="1" applyBorder="1" applyAlignment="1">
      <alignment horizontal="center" vertical="center" wrapText="1"/>
    </xf>
    <xf numFmtId="0" fontId="9" fillId="0" borderId="3" xfId="0" applyFont="1" applyFill="1" applyBorder="1" applyAlignment="1">
      <alignment horizontal="left" vertical="top" wrapText="1"/>
    </xf>
    <xf numFmtId="14" fontId="9" fillId="0" borderId="3" xfId="0" applyNumberFormat="1" applyFont="1" applyFill="1" applyBorder="1" applyAlignment="1">
      <alignment horizontal="center" vertical="center" wrapText="1"/>
    </xf>
    <xf numFmtId="0" fontId="9" fillId="0" borderId="3" xfId="0" applyFont="1" applyFill="1" applyBorder="1" applyAlignment="1">
      <alignment horizontal="center" vertical="center" wrapText="1"/>
    </xf>
    <xf numFmtId="14" fontId="9" fillId="0" borderId="3" xfId="0" applyNumberFormat="1" applyFont="1" applyFill="1" applyBorder="1" applyAlignment="1">
      <alignment horizontal="left" vertical="top" wrapText="1"/>
    </xf>
    <xf numFmtId="14" fontId="9" fillId="0" borderId="1" xfId="0" applyNumberFormat="1" applyFont="1" applyFill="1" applyBorder="1" applyAlignment="1">
      <alignment horizontal="center" wrapText="1"/>
    </xf>
    <xf numFmtId="164" fontId="11" fillId="0" borderId="1" xfId="0" applyNumberFormat="1" applyFont="1" applyFill="1" applyBorder="1" applyAlignment="1">
      <alignment horizontal="center" vertical="top" wrapText="1"/>
    </xf>
    <xf numFmtId="14" fontId="9" fillId="0" borderId="9" xfId="0" applyNumberFormat="1" applyFont="1" applyFill="1" applyBorder="1" applyAlignment="1">
      <alignment horizontal="left" vertical="top" wrapText="1"/>
    </xf>
    <xf numFmtId="0" fontId="4" fillId="2" borderId="11" xfId="0" applyFont="1" applyFill="1" applyBorder="1" applyAlignment="1">
      <alignment horizontal="center" vertical="center" wrapText="1"/>
    </xf>
    <xf numFmtId="0" fontId="4" fillId="5" borderId="7" xfId="0" applyFont="1" applyFill="1" applyBorder="1" applyAlignment="1">
      <alignment horizontal="center" vertical="center" wrapText="1"/>
    </xf>
    <xf numFmtId="165" fontId="9" fillId="6" borderId="1" xfId="0" applyNumberFormat="1" applyFont="1" applyFill="1" applyBorder="1" applyAlignment="1">
      <alignment horizontal="center" vertical="center" wrapText="1"/>
    </xf>
    <xf numFmtId="0" fontId="4" fillId="5" borderId="7" xfId="0" applyFont="1" applyFill="1" applyBorder="1" applyAlignment="1">
      <alignment horizontal="center" wrapText="1"/>
    </xf>
    <xf numFmtId="165" fontId="5" fillId="6" borderId="1" xfId="0" applyNumberFormat="1" applyFont="1" applyFill="1" applyBorder="1" applyAlignment="1">
      <alignment horizontal="center" vertical="center" wrapText="1"/>
    </xf>
    <xf numFmtId="0" fontId="3" fillId="8" borderId="7" xfId="0" applyFont="1" applyFill="1" applyBorder="1" applyAlignment="1">
      <alignment horizontal="center" wrapText="1"/>
    </xf>
    <xf numFmtId="0" fontId="4" fillId="0" borderId="2" xfId="0" applyFont="1" applyFill="1" applyBorder="1" applyAlignment="1">
      <alignment horizontal="center" wrapText="1"/>
    </xf>
    <xf numFmtId="164" fontId="6" fillId="0" borderId="2" xfId="0" applyNumberFormat="1" applyFont="1" applyFill="1" applyBorder="1" applyAlignment="1">
      <alignment horizontal="center" vertical="top" wrapText="1"/>
    </xf>
    <xf numFmtId="3" fontId="5" fillId="0" borderId="1" xfId="0" applyNumberFormat="1" applyFont="1" applyFill="1" applyBorder="1" applyAlignment="1">
      <alignment horizontal="center" vertical="top" wrapText="1"/>
    </xf>
    <xf numFmtId="0" fontId="8" fillId="0" borderId="1" xfId="0" applyFont="1" applyFill="1" applyBorder="1" applyAlignment="1">
      <alignment horizontal="center" vertical="top" wrapText="1"/>
    </xf>
    <xf numFmtId="0" fontId="5" fillId="0" borderId="1" xfId="0" applyFont="1" applyFill="1" applyBorder="1" applyAlignment="1">
      <alignment horizontal="center" wrapText="1"/>
    </xf>
    <xf numFmtId="165" fontId="5" fillId="9" borderId="1" xfId="0" applyNumberFormat="1" applyFont="1" applyFill="1" applyBorder="1" applyAlignment="1">
      <alignment horizontal="center" vertical="center" wrapText="1"/>
    </xf>
    <xf numFmtId="0" fontId="5" fillId="0" borderId="1" xfId="0" applyFont="1" applyFill="1" applyBorder="1" applyAlignment="1">
      <alignment horizontal="left" vertical="top" wrapText="1"/>
    </xf>
    <xf numFmtId="14"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0" xfId="0" applyFont="1" applyFill="1" applyBorder="1" applyAlignment="1">
      <alignment horizontal="center" wrapText="1"/>
    </xf>
    <xf numFmtId="0" fontId="5" fillId="0" borderId="0" xfId="0" applyFont="1" applyFill="1" applyBorder="1" applyAlignment="1">
      <alignment horizontal="center" vertical="center" wrapText="1"/>
    </xf>
    <xf numFmtId="0" fontId="5" fillId="0" borderId="0" xfId="0" applyFont="1" applyFill="1" applyAlignment="1">
      <alignment horizontal="center" vertical="center" wrapText="1"/>
    </xf>
    <xf numFmtId="165" fontId="9" fillId="9" borderId="1" xfId="0" applyNumberFormat="1" applyFont="1" applyFill="1" applyBorder="1" applyAlignment="1">
      <alignment horizontal="center" vertical="center" wrapText="1"/>
    </xf>
    <xf numFmtId="165" fontId="5" fillId="10" borderId="1" xfId="0" applyNumberFormat="1" applyFont="1" applyFill="1" applyBorder="1" applyAlignment="1">
      <alignment horizontal="center" vertical="center" wrapText="1"/>
    </xf>
    <xf numFmtId="0" fontId="9" fillId="3" borderId="1" xfId="0" applyFont="1" applyFill="1" applyBorder="1" applyAlignment="1">
      <alignment horizontal="center" vertical="top" wrapText="1"/>
    </xf>
    <xf numFmtId="0" fontId="9" fillId="3" borderId="1" xfId="0" applyFont="1" applyFill="1" applyBorder="1" applyAlignment="1">
      <alignment horizontal="center" wrapText="1"/>
    </xf>
    <xf numFmtId="165" fontId="9" fillId="10" borderId="1" xfId="0" applyNumberFormat="1" applyFont="1" applyFill="1" applyBorder="1" applyAlignment="1">
      <alignment horizontal="center" vertical="center" wrapText="1"/>
    </xf>
    <xf numFmtId="0" fontId="10" fillId="11" borderId="7" xfId="0" applyFont="1" applyFill="1" applyBorder="1" applyAlignment="1">
      <alignment horizontal="center" vertical="center" wrapText="1"/>
    </xf>
    <xf numFmtId="14" fontId="9" fillId="0" borderId="5" xfId="0" applyNumberFormat="1" applyFont="1" applyFill="1" applyBorder="1" applyAlignment="1">
      <alignment horizontal="left" vertical="top" wrapText="1"/>
    </xf>
    <xf numFmtId="0" fontId="4" fillId="5" borderId="12" xfId="0" applyFont="1" applyFill="1" applyBorder="1" applyAlignment="1">
      <alignment horizontal="center" wrapText="1"/>
    </xf>
    <xf numFmtId="165" fontId="9" fillId="12" borderId="1" xfId="0" applyNumberFormat="1" applyFont="1" applyFill="1" applyBorder="1" applyAlignment="1">
      <alignment horizontal="center" vertical="center" wrapText="1"/>
    </xf>
    <xf numFmtId="165" fontId="5" fillId="12" borderId="1" xfId="0" applyNumberFormat="1" applyFont="1" applyFill="1" applyBorder="1" applyAlignment="1">
      <alignment horizontal="center" vertical="center" wrapText="1"/>
    </xf>
    <xf numFmtId="0" fontId="3" fillId="7" borderId="12" xfId="0" applyFont="1" applyFill="1" applyBorder="1" applyAlignment="1">
      <alignment horizontal="center" wrapText="1"/>
    </xf>
    <xf numFmtId="0" fontId="3" fillId="0" borderId="2" xfId="0" applyFont="1" applyBorder="1" applyAlignment="1">
      <alignment horizontal="center" wrapText="1"/>
    </xf>
    <xf numFmtId="164" fontId="11" fillId="0" borderId="2" xfId="0" applyNumberFormat="1" applyFont="1" applyBorder="1" applyAlignment="1">
      <alignment horizontal="center" vertical="top" wrapText="1"/>
    </xf>
    <xf numFmtId="14" fontId="13" fillId="0" borderId="1" xfId="0" applyNumberFormat="1" applyFont="1" applyBorder="1" applyAlignment="1">
      <alignment horizontal="center" vertical="top" wrapText="1"/>
    </xf>
    <xf numFmtId="3" fontId="12" fillId="0" borderId="1" xfId="0" applyNumberFormat="1" applyFont="1" applyBorder="1" applyAlignment="1">
      <alignment horizontal="center" vertical="top" wrapText="1"/>
    </xf>
    <xf numFmtId="0" fontId="12" fillId="0" borderId="1" xfId="0" applyFont="1" applyBorder="1" applyAlignment="1">
      <alignment horizontal="center" vertical="top" wrapText="1"/>
    </xf>
    <xf numFmtId="0" fontId="9" fillId="0" borderId="1" xfId="0" applyFont="1" applyBorder="1" applyAlignment="1">
      <alignment horizontal="center" vertical="top" wrapText="1"/>
    </xf>
    <xf numFmtId="1" fontId="12" fillId="0" borderId="1" xfId="0" applyNumberFormat="1" applyFont="1" applyBorder="1" applyAlignment="1">
      <alignment horizontal="center" vertical="top" wrapText="1"/>
    </xf>
    <xf numFmtId="1" fontId="12" fillId="0" borderId="1" xfId="0" applyNumberFormat="1" applyFont="1" applyFill="1" applyBorder="1" applyAlignment="1">
      <alignment horizontal="center" vertical="top" wrapText="1"/>
    </xf>
    <xf numFmtId="0" fontId="12" fillId="3" borderId="1" xfId="0" applyFont="1" applyFill="1" applyBorder="1" applyAlignment="1">
      <alignment horizontal="center" wrapText="1"/>
    </xf>
    <xf numFmtId="0" fontId="12" fillId="0" borderId="1" xfId="0" applyFont="1" applyBorder="1" applyAlignment="1">
      <alignment horizontal="center" wrapText="1"/>
    </xf>
    <xf numFmtId="165" fontId="12" fillId="12" borderId="1" xfId="0" applyNumberFormat="1" applyFont="1" applyFill="1" applyBorder="1" applyAlignment="1">
      <alignment horizontal="center" vertical="center" wrapText="1"/>
    </xf>
    <xf numFmtId="0" fontId="12" fillId="0" borderId="1" xfId="0" applyFont="1" applyBorder="1" applyAlignment="1">
      <alignment horizontal="left" vertical="top" wrapText="1"/>
    </xf>
    <xf numFmtId="14" fontId="12"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14" fontId="12" fillId="0" borderId="1" xfId="0" applyNumberFormat="1" applyFont="1" applyBorder="1" applyAlignment="1">
      <alignment horizontal="left" vertical="top" wrapText="1"/>
    </xf>
    <xf numFmtId="0" fontId="4" fillId="2" borderId="12" xfId="0" applyFont="1" applyFill="1" applyBorder="1" applyAlignment="1">
      <alignment horizontal="center" wrapText="1"/>
    </xf>
    <xf numFmtId="165" fontId="9" fillId="13" borderId="1" xfId="0" applyNumberFormat="1" applyFont="1" applyFill="1" applyBorder="1" applyAlignment="1">
      <alignment horizontal="center" vertical="center" wrapText="1"/>
    </xf>
    <xf numFmtId="165" fontId="5" fillId="13" borderId="1" xfId="0" applyNumberFormat="1" applyFont="1" applyFill="1" applyBorder="1" applyAlignment="1">
      <alignment horizontal="center" vertical="center" wrapText="1"/>
    </xf>
    <xf numFmtId="0" fontId="4" fillId="8" borderId="7" xfId="0" applyFont="1" applyFill="1" applyBorder="1" applyAlignment="1">
      <alignment horizontal="center" vertical="center" wrapText="1"/>
    </xf>
    <xf numFmtId="0" fontId="4" fillId="8" borderId="12" xfId="0" applyFont="1" applyFill="1" applyBorder="1" applyAlignment="1">
      <alignment horizontal="center" wrapText="1"/>
    </xf>
    <xf numFmtId="0" fontId="4" fillId="8" borderId="12" xfId="0" applyFont="1" applyFill="1" applyBorder="1" applyAlignment="1">
      <alignment horizontal="center" vertical="center" wrapText="1"/>
    </xf>
    <xf numFmtId="14" fontId="5" fillId="0" borderId="5" xfId="0" applyNumberFormat="1" applyFont="1" applyBorder="1" applyAlignment="1">
      <alignment horizontal="left" vertical="top" wrapText="1"/>
    </xf>
    <xf numFmtId="0" fontId="10" fillId="14" borderId="7" xfId="0" applyFont="1" applyFill="1" applyBorder="1" applyAlignment="1">
      <alignment horizontal="center" vertical="center" wrapText="1"/>
    </xf>
    <xf numFmtId="164" fontId="7" fillId="0" borderId="2" xfId="0" applyNumberFormat="1" applyFont="1" applyBorder="1" applyAlignment="1">
      <alignment horizontal="center" vertical="top" wrapText="1"/>
    </xf>
    <xf numFmtId="14" fontId="10" fillId="0" borderId="2" xfId="0" applyNumberFormat="1" applyFont="1" applyFill="1" applyBorder="1" applyAlignment="1">
      <alignment horizontal="center" wrapText="1"/>
    </xf>
    <xf numFmtId="0" fontId="4" fillId="8" borderId="0" xfId="0" applyFont="1" applyFill="1" applyBorder="1" applyAlignment="1">
      <alignment horizontal="center" wrapText="1"/>
    </xf>
    <xf numFmtId="0" fontId="10" fillId="0" borderId="4" xfId="0" applyFont="1" applyFill="1" applyBorder="1" applyAlignment="1">
      <alignment horizontal="center" wrapText="1"/>
    </xf>
    <xf numFmtId="14" fontId="10" fillId="0" borderId="8" xfId="0" applyNumberFormat="1" applyFont="1" applyFill="1" applyBorder="1" applyAlignment="1">
      <alignment horizontal="center" wrapText="1"/>
    </xf>
    <xf numFmtId="0" fontId="10" fillId="0" borderId="1" xfId="0" applyFont="1" applyFill="1" applyBorder="1" applyAlignment="1">
      <alignment horizontal="center" wrapText="1"/>
    </xf>
    <xf numFmtId="0" fontId="4" fillId="2" borderId="0" xfId="0" applyFont="1" applyFill="1" applyBorder="1" applyAlignment="1">
      <alignment horizontal="center" wrapText="1"/>
    </xf>
    <xf numFmtId="0" fontId="4" fillId="2" borderId="15" xfId="0" applyFont="1" applyFill="1" applyBorder="1" applyAlignment="1">
      <alignment horizontal="center" wrapText="1"/>
    </xf>
    <xf numFmtId="14" fontId="10" fillId="0" borderId="1" xfId="0" applyNumberFormat="1" applyFont="1" applyFill="1" applyBorder="1" applyAlignment="1">
      <alignment horizontal="center" wrapText="1"/>
    </xf>
    <xf numFmtId="0" fontId="4" fillId="5" borderId="0" xfId="0" applyFont="1" applyFill="1" applyBorder="1" applyAlignment="1">
      <alignment horizontal="center" wrapText="1"/>
    </xf>
    <xf numFmtId="165" fontId="9" fillId="15" borderId="1" xfId="0" applyNumberFormat="1" applyFont="1" applyFill="1" applyBorder="1" applyAlignment="1">
      <alignment horizontal="center" vertical="center" wrapText="1"/>
    </xf>
    <xf numFmtId="0" fontId="14" fillId="0" borderId="1" xfId="0" applyFont="1" applyBorder="1" applyAlignment="1">
      <alignment horizontal="center" wrapText="1"/>
    </xf>
    <xf numFmtId="165" fontId="5" fillId="15" borderId="1" xfId="0" applyNumberFormat="1" applyFont="1" applyFill="1" applyBorder="1" applyAlignment="1">
      <alignment horizontal="center" vertical="center" wrapText="1"/>
    </xf>
    <xf numFmtId="0" fontId="5" fillId="0" borderId="1" xfId="0" applyFont="1" applyBorder="1" applyAlignment="1">
      <alignment vertical="top" wrapText="1"/>
    </xf>
    <xf numFmtId="14" fontId="5" fillId="0" borderId="1" xfId="0" applyNumberFormat="1" applyFont="1" applyBorder="1" applyAlignment="1">
      <alignment horizontal="left" vertical="top"/>
    </xf>
    <xf numFmtId="0" fontId="4" fillId="7" borderId="15" xfId="0" applyFont="1" applyFill="1" applyBorder="1" applyAlignment="1">
      <alignment horizontal="center" wrapText="1"/>
    </xf>
    <xf numFmtId="164" fontId="7" fillId="0" borderId="1" xfId="0" applyNumberFormat="1" applyFont="1" applyBorder="1" applyAlignment="1">
      <alignment horizontal="center" vertical="top" wrapText="1"/>
    </xf>
    <xf numFmtId="165" fontId="9" fillId="16" borderId="1" xfId="0" applyNumberFormat="1" applyFont="1" applyFill="1" applyBorder="1" applyAlignment="1">
      <alignment horizontal="center" vertical="center" wrapText="1"/>
    </xf>
    <xf numFmtId="0" fontId="4" fillId="2" borderId="12" xfId="0" applyFont="1" applyFill="1" applyBorder="1" applyAlignment="1">
      <alignment horizontal="center" vertical="center" wrapText="1"/>
    </xf>
    <xf numFmtId="165" fontId="5" fillId="16" borderId="1" xfId="0" applyNumberFormat="1" applyFont="1" applyFill="1" applyBorder="1" applyAlignment="1">
      <alignment horizontal="center" vertical="center" wrapText="1"/>
    </xf>
    <xf numFmtId="0" fontId="5" fillId="0" borderId="9" xfId="0" applyFont="1" applyBorder="1" applyAlignment="1">
      <alignment horizontal="left" vertical="top" wrapText="1"/>
    </xf>
    <xf numFmtId="165" fontId="9" fillId="17" borderId="1" xfId="0" applyNumberFormat="1" applyFont="1" applyFill="1" applyBorder="1" applyAlignment="1">
      <alignment horizontal="center" vertical="center" wrapText="1"/>
    </xf>
    <xf numFmtId="165" fontId="9" fillId="18" borderId="1" xfId="0" applyNumberFormat="1" applyFont="1" applyFill="1" applyBorder="1" applyAlignment="1">
      <alignment horizontal="center" vertical="center" wrapText="1"/>
    </xf>
    <xf numFmtId="0" fontId="8" fillId="0" borderId="0" xfId="0" applyFont="1"/>
    <xf numFmtId="0" fontId="9" fillId="0" borderId="0" xfId="0" applyFont="1" applyFill="1" applyBorder="1" applyAlignment="1">
      <alignment horizontal="center" vertical="center"/>
    </xf>
    <xf numFmtId="0" fontId="9" fillId="0" borderId="12" xfId="0" applyFont="1" applyFill="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center"/>
    </xf>
    <xf numFmtId="0" fontId="8" fillId="0" borderId="0" xfId="0" applyFont="1" applyAlignment="1">
      <alignment horizontal="center" vertical="top"/>
    </xf>
    <xf numFmtId="165" fontId="8" fillId="0" borderId="0" xfId="0" applyNumberFormat="1" applyFont="1" applyAlignment="1">
      <alignment horizontal="center" vertical="center"/>
    </xf>
    <xf numFmtId="0" fontId="8" fillId="0" borderId="0" xfId="0" applyFont="1" applyAlignment="1">
      <alignment horizontal="left" vertical="top"/>
    </xf>
    <xf numFmtId="0" fontId="9" fillId="0" borderId="0" xfId="0" applyFont="1" applyFill="1" applyAlignment="1">
      <alignment horizontal="center" vertical="center"/>
    </xf>
    <xf numFmtId="0" fontId="15" fillId="0" borderId="0" xfId="0" applyFont="1" applyFill="1" applyAlignment="1">
      <alignment horizontal="center" vertical="center"/>
    </xf>
    <xf numFmtId="0" fontId="15" fillId="0" borderId="12"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xf>
    <xf numFmtId="0" fontId="0" fillId="0" borderId="0" xfId="0" applyFont="1"/>
    <xf numFmtId="0" fontId="0" fillId="0" borderId="0" xfId="0" applyAlignment="1">
      <alignment horizontal="center" vertical="top"/>
    </xf>
    <xf numFmtId="165" fontId="0" fillId="0" borderId="0" xfId="0" applyNumberFormat="1" applyAlignment="1">
      <alignment horizontal="center" vertical="center"/>
    </xf>
    <xf numFmtId="0" fontId="0" fillId="0" borderId="0" xfId="0" applyAlignment="1">
      <alignment horizontal="left" vertical="top"/>
    </xf>
    <xf numFmtId="49" fontId="4" fillId="0" borderId="4"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9" fontId="4" fillId="0" borderId="3" xfId="0" applyNumberFormat="1" applyFont="1" applyBorder="1" applyAlignment="1">
      <alignment vertical="center" wrapText="1"/>
    </xf>
    <xf numFmtId="49" fontId="5" fillId="0" borderId="3" xfId="0" applyNumberFormat="1" applyFont="1" applyBorder="1" applyAlignment="1">
      <alignment vertical="center" wrapText="1"/>
    </xf>
    <xf numFmtId="49" fontId="4" fillId="0" borderId="1" xfId="0" applyNumberFormat="1" applyFont="1" applyBorder="1" applyAlignment="1">
      <alignment horizontal="center" vertical="center" wrapText="1"/>
    </xf>
    <xf numFmtId="49" fontId="4" fillId="0" borderId="13" xfId="0" applyNumberFormat="1" applyFont="1" applyBorder="1" applyAlignment="1">
      <alignment vertical="center" wrapText="1"/>
    </xf>
    <xf numFmtId="49" fontId="4" fillId="0" borderId="3" xfId="0" applyNumberFormat="1" applyFont="1" applyBorder="1" applyAlignment="1">
      <alignment wrapText="1"/>
    </xf>
    <xf numFmtId="49" fontId="4" fillId="0" borderId="3" xfId="0" applyNumberFormat="1" applyFont="1" applyBorder="1" applyAlignment="1">
      <alignment horizontal="center" vertical="center" wrapText="1"/>
    </xf>
    <xf numFmtId="49" fontId="4" fillId="0" borderId="3" xfId="0" applyNumberFormat="1" applyFont="1" applyBorder="1" applyAlignment="1">
      <alignment vertical="top" wrapText="1"/>
    </xf>
    <xf numFmtId="49" fontId="4" fillId="0" borderId="4" xfId="0" applyNumberFormat="1" applyFont="1" applyBorder="1" applyAlignment="1">
      <alignment vertical="center" wrapText="1"/>
    </xf>
    <xf numFmtId="49" fontId="0" fillId="0" borderId="0" xfId="0" applyNumberFormat="1" applyAlignment="1">
      <alignment vertical="center"/>
    </xf>
    <xf numFmtId="164" fontId="11" fillId="0" borderId="3" xfId="0" applyNumberFormat="1" applyFont="1" applyFill="1" applyBorder="1" applyAlignment="1">
      <alignment horizontal="center" vertical="top" wrapText="1"/>
    </xf>
    <xf numFmtId="165" fontId="9" fillId="10" borderId="3" xfId="0" applyNumberFormat="1" applyFont="1" applyFill="1" applyBorder="1" applyAlignment="1">
      <alignment horizontal="center" vertical="center" wrapText="1"/>
    </xf>
    <xf numFmtId="14" fontId="9" fillId="0" borderId="3" xfId="0" applyNumberFormat="1" applyFont="1" applyFill="1" applyBorder="1" applyAlignment="1">
      <alignment horizontal="center" vertical="top" wrapText="1"/>
    </xf>
    <xf numFmtId="164" fontId="11" fillId="0" borderId="4" xfId="0" applyNumberFormat="1" applyFont="1" applyFill="1" applyBorder="1" applyAlignment="1">
      <alignment horizontal="center" vertical="top" wrapText="1"/>
    </xf>
    <xf numFmtId="0" fontId="10" fillId="0" borderId="3" xfId="0" applyFont="1" applyFill="1" applyBorder="1" applyAlignment="1">
      <alignment horizontal="center" wrapText="1"/>
    </xf>
    <xf numFmtId="14" fontId="10" fillId="0" borderId="3" xfId="0" applyNumberFormat="1" applyFont="1" applyFill="1" applyBorder="1" applyAlignment="1">
      <alignment horizontal="center" wrapText="1"/>
    </xf>
    <xf numFmtId="14" fontId="10" fillId="0" borderId="4" xfId="0" applyNumberFormat="1" applyFont="1" applyFill="1" applyBorder="1" applyAlignment="1">
      <alignment horizontal="center" wrapText="1"/>
    </xf>
    <xf numFmtId="0" fontId="4" fillId="2" borderId="6" xfId="0" applyFont="1" applyFill="1" applyBorder="1" applyAlignment="1">
      <alignment horizontal="center" wrapText="1"/>
    </xf>
    <xf numFmtId="0" fontId="10" fillId="19" borderId="0" xfId="0" applyFont="1" applyFill="1" applyBorder="1" applyAlignment="1">
      <alignment horizontal="center" vertical="center" wrapText="1"/>
    </xf>
    <xf numFmtId="0" fontId="10" fillId="11" borderId="0" xfId="0" applyFont="1" applyFill="1" applyBorder="1" applyAlignment="1">
      <alignment horizontal="center" vertical="center" wrapText="1"/>
    </xf>
    <xf numFmtId="0" fontId="10" fillId="14" borderId="15" xfId="0" applyFont="1" applyFill="1" applyBorder="1" applyAlignment="1">
      <alignment horizontal="center" vertical="center" wrapText="1"/>
    </xf>
    <xf numFmtId="0" fontId="4" fillId="8" borderId="14" xfId="0" applyFont="1" applyFill="1" applyBorder="1" applyAlignment="1">
      <alignment horizontal="center" wrapText="1"/>
    </xf>
    <xf numFmtId="0" fontId="4" fillId="8" borderId="7" xfId="0" applyFont="1" applyFill="1" applyBorder="1" applyAlignment="1">
      <alignment horizontal="center" wrapText="1"/>
    </xf>
    <xf numFmtId="0" fontId="4" fillId="5" borderId="0"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10" fillId="14" borderId="0" xfId="0" applyFont="1" applyFill="1" applyBorder="1" applyAlignment="1">
      <alignment horizontal="center" vertical="center" wrapText="1"/>
    </xf>
    <xf numFmtId="0" fontId="4" fillId="0" borderId="1" xfId="0" applyFont="1" applyBorder="1" applyAlignment="1">
      <alignment horizontal="center" wrapText="1"/>
    </xf>
    <xf numFmtId="14" fontId="7" fillId="0" borderId="2" xfId="0" applyNumberFormat="1" applyFont="1" applyBorder="1" applyAlignment="1">
      <alignment horizontal="center" vertical="top" wrapText="1"/>
    </xf>
    <xf numFmtId="165" fontId="9" fillId="6" borderId="3" xfId="0" applyNumberFormat="1" applyFont="1" applyFill="1" applyBorder="1" applyAlignment="1">
      <alignment horizontal="center" vertical="center" wrapText="1"/>
    </xf>
    <xf numFmtId="14" fontId="9" fillId="0" borderId="1" xfId="0" applyNumberFormat="1" applyFont="1" applyFill="1" applyBorder="1" applyAlignment="1">
      <alignment horizontal="center" vertical="top" wrapText="1"/>
    </xf>
  </cellXfs>
  <cellStyles count="37">
    <cellStyle name="Accent 1 1" xfId="1"/>
    <cellStyle name="Accent 1 6" xfId="2"/>
    <cellStyle name="Accent 2 1" xfId="3"/>
    <cellStyle name="Accent 2 7" xfId="4"/>
    <cellStyle name="Accent 3 1" xfId="5"/>
    <cellStyle name="Accent 3 8" xfId="6"/>
    <cellStyle name="Accent 4" xfId="7"/>
    <cellStyle name="Accent 5" xfId="8"/>
    <cellStyle name="Bad 1" xfId="9"/>
    <cellStyle name="Bad 9" xfId="10"/>
    <cellStyle name="Error 1" xfId="11"/>
    <cellStyle name="Error 10" xfId="12"/>
    <cellStyle name="Euro" xfId="13"/>
    <cellStyle name="Footnote 1" xfId="14"/>
    <cellStyle name="Footnote 11" xfId="15"/>
    <cellStyle name="Good 1" xfId="16"/>
    <cellStyle name="Good 12" xfId="17"/>
    <cellStyle name="Heading (user) 13" xfId="18"/>
    <cellStyle name="Heading 1 1" xfId="19"/>
    <cellStyle name="Heading 1 14" xfId="20"/>
    <cellStyle name="Heading 2 1" xfId="21"/>
    <cellStyle name="Heading 2 15" xfId="22"/>
    <cellStyle name="Heading 3" xfId="23"/>
    <cellStyle name="Hyperlink 1" xfId="24"/>
    <cellStyle name="Hyperlink 16" xfId="25"/>
    <cellStyle name="Neutral 1" xfId="26"/>
    <cellStyle name="Normal" xfId="0" builtinId="0"/>
    <cellStyle name="Normal 2" xfId="27"/>
    <cellStyle name="Normal 3" xfId="28"/>
    <cellStyle name="Note 1" xfId="29"/>
    <cellStyle name="Note 17" xfId="30"/>
    <cellStyle name="Status 1" xfId="31"/>
    <cellStyle name="Status 18" xfId="32"/>
    <cellStyle name="Text 1" xfId="33"/>
    <cellStyle name="Text 19" xfId="34"/>
    <cellStyle name="Warning 1" xfId="35"/>
    <cellStyle name="Warning 20" xfId="36"/>
  </cellStyles>
  <dxfs count="48">
    <dxf>
      <font>
        <b val="0"/>
        <i val="0"/>
        <strike val="0"/>
        <condense val="0"/>
        <extend val="0"/>
        <outline val="0"/>
        <shadow val="0"/>
        <u val="none"/>
        <vertAlign val="baseline"/>
        <sz val="10"/>
        <color auto="1"/>
        <name val="Arial"/>
        <scheme val="none"/>
      </font>
      <numFmt numFmtId="19" formatCode="dd/mm/yy"/>
      <fill>
        <patternFill patternType="none">
          <fgColor indexed="64"/>
          <bgColor indexed="65"/>
        </patternFill>
      </fill>
      <alignment horizontal="left"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9" formatCode="dd/mm/yy"/>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65" formatCode="&quot;$&quot;\ #,##0.00"/>
      <fill>
        <patternFill patternType="lightGray">
          <fgColor rgb="FF9966FF"/>
          <bgColor indexed="65"/>
        </patternFill>
      </fill>
      <alignment horizontal="center" vertical="center"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gray125">
          <fgColor rgb="FFFF0000"/>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 formatCode="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 formatCode="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 formatCode="0"/>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gray125">
          <fgColor rgb="FFFF0000"/>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strike val="0"/>
        <condense val="0"/>
        <extend val="0"/>
        <outline val="0"/>
        <shadow val="0"/>
        <u val="none"/>
        <vertAlign val="baseline"/>
        <sz val="10"/>
        <color auto="1"/>
        <name val="Arial"/>
        <scheme val="none"/>
      </font>
      <numFmt numFmtId="164" formatCode="[$-2C0A]dd/mm/yyyy"/>
      <fill>
        <patternFill patternType="none">
          <fgColor indexed="64"/>
          <bgColor indexed="65"/>
        </patternFill>
      </fill>
      <alignment horizontal="center" vertical="top" textRotation="0" wrapText="1" indent="0" relativeIndent="0" justifyLastLine="0" shrinkToFit="0" mergeCell="0" readingOrder="0"/>
      <border diagonalUp="0" diagonalDown="0">
        <left/>
        <right style="thin">
          <color auto="1"/>
        </right>
        <top style="thin">
          <color auto="1"/>
        </top>
        <bottom style="thin">
          <color auto="1"/>
        </bottom>
        <vertical/>
        <horizontal/>
      </border>
    </dxf>
    <dxf>
      <font>
        <b/>
        <i val="0"/>
        <strike val="0"/>
        <condense val="0"/>
        <extend val="0"/>
        <outline val="0"/>
        <shadow val="0"/>
        <u val="none"/>
        <vertAlign val="baseline"/>
        <sz val="10"/>
        <color auto="1"/>
        <name val="Arial"/>
        <scheme val="none"/>
      </font>
      <numFmt numFmtId="19" formatCode="dd/mm/yy"/>
      <fill>
        <patternFill patternType="none">
          <fgColor indexed="64"/>
          <bgColor indexed="65"/>
        </patternFill>
      </fill>
      <alignment horizontal="center" vertical="bottom" textRotation="0" wrapText="1" indent="0" relativeIndent="0" justifyLastLine="0" shrinkToFit="0" mergeCell="0" readingOrder="0"/>
      <border diagonalUp="0" diagonalDown="0">
        <left/>
        <right style="thin">
          <color auto="1"/>
        </right>
        <top style="thin">
          <color auto="1"/>
        </top>
        <bottom style="thin">
          <color auto="1"/>
        </bottom>
        <vertical/>
        <horizontal/>
      </border>
    </dxf>
    <dxf>
      <font>
        <b/>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0"/>
        <color rgb="FF000000"/>
        <name val="Arial"/>
        <scheme val="none"/>
      </font>
      <fill>
        <patternFill patternType="solid">
          <fgColor rgb="FFC0C0C0"/>
          <bgColor rgb="FFAFD095"/>
        </patternFill>
      </fill>
      <alignment horizontal="center" vertical="bottom" textRotation="0" wrapText="1" indent="0" relativeIndent="0" justifyLastLine="0" shrinkToFit="0" mergeCell="0" readingOrder="0"/>
    </dxf>
    <dxf>
      <font>
        <b/>
        <i val="0"/>
        <strike val="0"/>
        <condense val="0"/>
        <extend val="0"/>
        <outline val="0"/>
        <shadow val="0"/>
        <u val="none"/>
        <vertAlign val="baseline"/>
        <sz val="10"/>
        <color rgb="FF000000"/>
        <name val="Arial"/>
        <scheme val="none"/>
      </font>
      <fill>
        <patternFill patternType="solid">
          <fgColor rgb="FFC0C0C0"/>
          <bgColor rgb="FF00B0F0"/>
        </patternFill>
      </fill>
      <alignment horizontal="center" vertical="center" textRotation="0" wrapText="1" indent="0" relativeIndent="0" justifyLastLine="0" shrinkToFit="0" mergeCell="0" readingOrder="0"/>
      <border diagonalUp="0" diagonalDown="0">
        <left style="medium">
          <color indexed="64"/>
        </left>
        <right style="medium">
          <color indexed="64"/>
        </right>
        <top/>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1" name="Tabla1" displayName="Tabla1" ref="A1:AV164" totalsRowShown="0">
  <autoFilter ref="A1:AV164"/>
  <sortState ref="A2:AV164">
    <sortCondition ref="B2:B164"/>
  </sortState>
  <tableColumns count="48">
    <tableColumn id="1" name="MES" dataDxfId="47"/>
    <tableColumn id="2" name="LEGAJO" dataDxfId="46"/>
    <tableColumn id="3" name="EXPEDIENTE" dataDxfId="45"/>
    <tableColumn id="4" name="INGRESO" dataDxfId="44"/>
    <tableColumn id="5" name="CONDICION del trámite" dataDxfId="43"/>
    <tableColumn id="6" name="Plano de Mensura" dataDxfId="42"/>
    <tableColumn id="7" name="Partida Provincial" dataDxfId="41"/>
    <tableColumn id="8" name="Partida Municipal" dataDxfId="40"/>
    <tableColumn id="9" name="Concesión" dataDxfId="39"/>
    <tableColumn id="10" name="Ex-Quinta" dataDxfId="38"/>
    <tableColumn id="11" name="Manzana" dataDxfId="37"/>
    <tableColumn id="12" name="Parcela" dataDxfId="36"/>
    <tableColumn id="13" name="Zonificación" dataDxfId="35"/>
    <tableColumn id="14" name="Ubicación" dataDxfId="34"/>
    <tableColumn id="15" name="Propietario" dataDxfId="33"/>
    <tableColumn id="16" name="Nombre del Establecimiento y/o empresa" dataDxfId="32"/>
    <tableColumn id="17" name="Proyecto" dataDxfId="31"/>
    <tableColumn id="18" name="Dirección de obra" dataDxfId="30"/>
    <tableColumn id="19" name="Estructura" dataDxfId="29"/>
    <tableColumn id="20" name="Constructor" dataDxfId="28"/>
    <tableColumn id="21" name="RELEVAMIENTO o existente" dataDxfId="27"/>
    <tableColumn id="22" name="A CONTRUIR / OBRA NUEVA" dataDxfId="26"/>
    <tableColumn id="23" name="AMPLIACION de obra existente" dataDxfId="25"/>
    <tableColumn id="24" name="PROYECTADO (no iniciado)" dataDxfId="24"/>
    <tableColumn id="25" name="USO" dataDxfId="23"/>
    <tableColumn id="26" name="Cantidad de Habitaciones (dormitorios) Existente" dataDxfId="22"/>
    <tableColumn id="27" name="Cantidad de Habitaciones (dormitorios) Nuevas" dataDxfId="21"/>
    <tableColumn id="28" name="Locales de 1º, Habitables Existente" dataDxfId="20"/>
    <tableColumn id="29" name="Locales de 1º, Habitables Nuevos" dataDxfId="19"/>
    <tableColumn id="30" name="N° de Plazas Existente" dataDxfId="18"/>
    <tableColumn id="31" name="N° de Plazas Nuevas" dataDxfId="17"/>
    <tableColumn id="32" name="M² existentes (con antecedente) Vivienda" dataDxfId="16"/>
    <tableColumn id="33" name="M² existentes (con antecedente) Local" dataDxfId="15"/>
    <tableColumn id="34" name="M² existentes (relevados) Vivienda" dataDxfId="14"/>
    <tableColumn id="35" name="M² existentes (relevados) Local" dataDxfId="13"/>
    <tableColumn id="36" name="M²     (a construir Vivienda" dataDxfId="12"/>
    <tableColumn id="37" name="M²     (a construir Local" dataDxfId="11"/>
    <tableColumn id="38" name="Terreno" dataDxfId="10"/>
    <tableColumn id="39" name="F. O. S." dataDxfId="9"/>
    <tableColumn id="40" name="F. O. T." dataDxfId="8"/>
    <tableColumn id="41" name="CATEGORIA" dataDxfId="7"/>
    <tableColumn id="42" name="Monto de la Inversión (estimado y/o declarado)" dataDxfId="6"/>
    <tableColumn id="43" name="Derechos de edificación" dataDxfId="5"/>
    <tableColumn id="44" name="TITULO PROFESIONAL" dataDxfId="4"/>
    <tableColumn id="45" name="Observaciones" dataDxfId="3"/>
    <tableColumn id="46" name="VISADO" dataDxfId="2"/>
    <tableColumn id="47" name="FINAL OBRA" dataDxfId="1"/>
    <tableColumn id="48" name="AVANCE DE OBRA" dataDxfId="0"/>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W182"/>
  <sheetViews>
    <sheetView tabSelected="1" workbookViewId="0">
      <selection activeCell="B65" sqref="B65"/>
    </sheetView>
  </sheetViews>
  <sheetFormatPr baseColWidth="10" defaultColWidth="9" defaultRowHeight="14.25"/>
  <cols>
    <col min="1" max="1" width="9.5" style="174" customWidth="1"/>
    <col min="2" max="2" width="9.25" style="175" customWidth="1"/>
    <col min="3" max="3" width="12.75" style="176" customWidth="1"/>
    <col min="4" max="4" width="10.125" style="177" customWidth="1"/>
    <col min="5" max="5" width="21" customWidth="1"/>
    <col min="6" max="6" width="17.125" customWidth="1"/>
    <col min="7" max="7" width="17" customWidth="1"/>
    <col min="8" max="8" width="16.75" customWidth="1"/>
    <col min="9" max="9" width="11" customWidth="1"/>
    <col min="10" max="10" width="10.5" customWidth="1"/>
    <col min="11" max="11" width="10" customWidth="1"/>
    <col min="12" max="12" width="9.25" customWidth="1"/>
    <col min="13" max="13" width="12.375" customWidth="1"/>
    <col min="14" max="14" width="12.125" style="178" customWidth="1"/>
    <col min="15" max="15" width="11.875" style="179" customWidth="1"/>
    <col min="16" max="16" width="32.625" customWidth="1"/>
    <col min="17" max="17" width="11.25" customWidth="1"/>
    <col min="18" max="18" width="16.875" customWidth="1"/>
    <col min="19" max="19" width="10.625" customWidth="1"/>
    <col min="20" max="20" width="11.75" customWidth="1"/>
    <col min="21" max="21" width="24.625" customWidth="1"/>
    <col min="22" max="22" width="24.875" customWidth="1"/>
    <col min="23" max="23" width="27.375" customWidth="1"/>
    <col min="24" max="24" width="24.25" customWidth="1"/>
    <col min="25" max="25" width="10" customWidth="1"/>
    <col min="26" max="26" width="41.375" customWidth="1"/>
    <col min="27" max="27" width="39.875" customWidth="1"/>
    <col min="28" max="28" width="30.5" customWidth="1"/>
    <col min="29" max="29" width="29" customWidth="1"/>
    <col min="30" max="30" width="20.5" customWidth="1"/>
    <col min="31" max="31" width="19" customWidth="1"/>
    <col min="32" max="32" width="35.375" customWidth="1"/>
    <col min="33" max="33" width="32.75" customWidth="1"/>
    <col min="34" max="34" width="29.875" customWidth="1"/>
    <col min="35" max="35" width="27.25" customWidth="1"/>
    <col min="36" max="36" width="23.5" customWidth="1"/>
    <col min="37" max="37" width="20.875" customWidth="1"/>
    <col min="38" max="38" width="9" customWidth="1"/>
    <col min="39" max="39" width="8.625" customWidth="1"/>
    <col min="40" max="40" width="8.5" customWidth="1"/>
    <col min="41" max="41" width="12.25" customWidth="1"/>
    <col min="42" max="42" width="40" customWidth="1"/>
    <col min="43" max="43" width="21.875" style="180" customWidth="1"/>
    <col min="44" max="44" width="20.75" customWidth="1"/>
    <col min="45" max="45" width="47.5" customWidth="1"/>
    <col min="46" max="46" width="10.75" customWidth="1"/>
    <col min="47" max="47" width="12.625" customWidth="1"/>
    <col min="48" max="48" width="17.125" style="181" customWidth="1"/>
    <col min="49" max="52" width="6.625" customWidth="1"/>
    <col min="53" max="53" width="10.125" bestFit="1" customWidth="1"/>
    <col min="54" max="1026" width="6.625" customWidth="1"/>
  </cols>
  <sheetData>
    <row r="1" spans="1:257" s="192" customFormat="1" ht="89.25">
      <c r="A1" s="182" t="s">
        <v>849</v>
      </c>
      <c r="B1" s="182" t="s">
        <v>0</v>
      </c>
      <c r="C1" s="183" t="s">
        <v>1</v>
      </c>
      <c r="D1" s="183" t="s">
        <v>2</v>
      </c>
      <c r="E1" s="182" t="s">
        <v>3</v>
      </c>
      <c r="F1" s="184" t="s">
        <v>4</v>
      </c>
      <c r="G1" s="184" t="s">
        <v>5</v>
      </c>
      <c r="H1" s="184" t="s">
        <v>6</v>
      </c>
      <c r="I1" s="184" t="s">
        <v>7</v>
      </c>
      <c r="J1" s="184" t="s">
        <v>8</v>
      </c>
      <c r="K1" s="184" t="s">
        <v>9</v>
      </c>
      <c r="L1" s="184" t="s">
        <v>10</v>
      </c>
      <c r="M1" s="184" t="s">
        <v>11</v>
      </c>
      <c r="N1" s="184" t="s">
        <v>12</v>
      </c>
      <c r="O1" s="184" t="s">
        <v>13</v>
      </c>
      <c r="P1" s="185" t="s">
        <v>14</v>
      </c>
      <c r="Q1" s="184" t="s">
        <v>15</v>
      </c>
      <c r="R1" s="184" t="s">
        <v>16</v>
      </c>
      <c r="S1" s="184" t="s">
        <v>17</v>
      </c>
      <c r="T1" s="184" t="s">
        <v>18</v>
      </c>
      <c r="U1" s="184" t="s">
        <v>19</v>
      </c>
      <c r="V1" s="184" t="s">
        <v>20</v>
      </c>
      <c r="W1" s="184" t="s">
        <v>21</v>
      </c>
      <c r="X1" s="184" t="s">
        <v>22</v>
      </c>
      <c r="Y1" s="184" t="s">
        <v>850</v>
      </c>
      <c r="Z1" s="186" t="s">
        <v>851</v>
      </c>
      <c r="AA1" s="186" t="s">
        <v>852</v>
      </c>
      <c r="AB1" s="186" t="s">
        <v>853</v>
      </c>
      <c r="AC1" s="186" t="s">
        <v>854</v>
      </c>
      <c r="AD1" s="186" t="s">
        <v>855</v>
      </c>
      <c r="AE1" s="186" t="s">
        <v>856</v>
      </c>
      <c r="AF1" s="186" t="s">
        <v>857</v>
      </c>
      <c r="AG1" s="186" t="s">
        <v>858</v>
      </c>
      <c r="AH1" s="186" t="s">
        <v>859</v>
      </c>
      <c r="AI1" s="186" t="s">
        <v>860</v>
      </c>
      <c r="AJ1" s="186" t="s">
        <v>861</v>
      </c>
      <c r="AK1" s="186" t="s">
        <v>862</v>
      </c>
      <c r="AL1" s="187" t="s">
        <v>23</v>
      </c>
      <c r="AM1" s="187" t="s">
        <v>24</v>
      </c>
      <c r="AN1" s="187" t="s">
        <v>25</v>
      </c>
      <c r="AO1" s="187" t="s">
        <v>26</v>
      </c>
      <c r="AP1" s="187" t="s">
        <v>27</v>
      </c>
      <c r="AQ1" s="188" t="s">
        <v>28</v>
      </c>
      <c r="AR1" s="189" t="s">
        <v>863</v>
      </c>
      <c r="AS1" s="190" t="s">
        <v>29</v>
      </c>
      <c r="AT1" s="191" t="s">
        <v>864</v>
      </c>
      <c r="AU1" s="191" t="s">
        <v>865</v>
      </c>
      <c r="AV1" s="187" t="s">
        <v>30</v>
      </c>
    </row>
    <row r="2" spans="1:257" s="23" customFormat="1" ht="89.25">
      <c r="A2" s="1" t="s">
        <v>31</v>
      </c>
      <c r="B2" s="2">
        <v>1</v>
      </c>
      <c r="C2" s="3" t="s">
        <v>32</v>
      </c>
      <c r="D2" s="5">
        <v>45175</v>
      </c>
      <c r="E2" s="5" t="s">
        <v>48</v>
      </c>
      <c r="F2" s="6">
        <v>59729</v>
      </c>
      <c r="G2" s="6">
        <v>160573</v>
      </c>
      <c r="H2" s="6">
        <v>32807</v>
      </c>
      <c r="I2" s="7">
        <v>72</v>
      </c>
      <c r="J2" s="7"/>
      <c r="K2" s="7"/>
      <c r="L2" s="7">
        <v>8</v>
      </c>
      <c r="M2" s="7" t="s">
        <v>33</v>
      </c>
      <c r="N2" s="7" t="s">
        <v>34</v>
      </c>
      <c r="O2" s="8" t="s">
        <v>35</v>
      </c>
      <c r="P2" s="7"/>
      <c r="Q2" s="7" t="s">
        <v>36</v>
      </c>
      <c r="R2" s="7" t="s">
        <v>36</v>
      </c>
      <c r="S2" s="7" t="s">
        <v>36</v>
      </c>
      <c r="T2" s="7" t="s">
        <v>37</v>
      </c>
      <c r="U2" s="7"/>
      <c r="V2" s="9"/>
      <c r="W2" s="7"/>
      <c r="X2" s="7"/>
      <c r="Y2" s="10" t="s">
        <v>38</v>
      </c>
      <c r="Z2" s="11"/>
      <c r="AA2" s="12">
        <f>2*4</f>
        <v>8</v>
      </c>
      <c r="AB2" s="13"/>
      <c r="AC2" s="12">
        <f>1*4</f>
        <v>4</v>
      </c>
      <c r="AD2" s="13"/>
      <c r="AE2" s="12">
        <f>+AA2*2</f>
        <v>16</v>
      </c>
      <c r="AF2" s="7"/>
      <c r="AG2" s="7"/>
      <c r="AH2" s="7"/>
      <c r="AI2" s="7"/>
      <c r="AJ2" s="9">
        <f>196+17.41+5.2/2</f>
        <v>216.01</v>
      </c>
      <c r="AK2" s="14"/>
      <c r="AL2" s="15">
        <v>8697.77</v>
      </c>
      <c r="AM2" s="15">
        <f>+(196+17.41+5.2)/AL2</f>
        <v>2.513402860733268E-2</v>
      </c>
      <c r="AN2" s="15">
        <f>+AJ2/AL2</f>
        <v>2.4835101411051337E-2</v>
      </c>
      <c r="AO2" s="15"/>
      <c r="AP2" s="15">
        <f>+((1*67063+2*53635+7*40232+8*26825)/19*AJ2)+5445596.75</f>
        <v>13069123.990526315</v>
      </c>
      <c r="AQ2" s="16">
        <v>220801.81</v>
      </c>
      <c r="AR2" s="15" t="s">
        <v>39</v>
      </c>
      <c r="AS2" s="17" t="s">
        <v>40</v>
      </c>
      <c r="AT2" s="18">
        <v>45294</v>
      </c>
      <c r="AU2" s="19"/>
      <c r="AV2" s="20" t="s">
        <v>41</v>
      </c>
      <c r="AW2" s="21"/>
      <c r="AX2" s="21"/>
      <c r="AY2" s="21"/>
      <c r="AZ2" s="21"/>
      <c r="BA2" s="21"/>
      <c r="BB2" s="21"/>
      <c r="BC2" s="21"/>
      <c r="BD2" s="21"/>
      <c r="BE2" s="21"/>
      <c r="BF2" s="21"/>
      <c r="BG2" s="21"/>
      <c r="BH2" s="22"/>
      <c r="BI2" s="22"/>
      <c r="BJ2" s="22"/>
      <c r="BK2" s="22"/>
      <c r="BL2" s="22"/>
      <c r="BM2" s="22"/>
      <c r="BN2" s="22"/>
      <c r="BO2" s="22"/>
      <c r="BP2" s="22"/>
      <c r="BQ2" s="22"/>
      <c r="BR2" s="22"/>
      <c r="BS2" s="22"/>
      <c r="BT2" s="22"/>
      <c r="BU2" s="22"/>
      <c r="BV2" s="22"/>
      <c r="BW2" s="22"/>
      <c r="IQ2" s="22"/>
      <c r="IR2" s="22"/>
      <c r="IS2" s="22"/>
      <c r="IT2" s="22"/>
      <c r="IU2" s="22"/>
      <c r="IV2" s="22"/>
      <c r="IW2" s="22"/>
    </row>
    <row r="3" spans="1:257" s="40" customFormat="1" ht="102">
      <c r="A3" s="1"/>
      <c r="B3" s="2">
        <v>2</v>
      </c>
      <c r="C3" s="24">
        <v>558770</v>
      </c>
      <c r="D3" s="25">
        <v>45286</v>
      </c>
      <c r="E3" s="26" t="s">
        <v>42</v>
      </c>
      <c r="F3" s="27">
        <v>60378</v>
      </c>
      <c r="G3" s="27"/>
      <c r="H3" s="27">
        <v>8130</v>
      </c>
      <c r="I3" s="28"/>
      <c r="J3" s="28"/>
      <c r="K3" s="28">
        <v>576</v>
      </c>
      <c r="L3" s="28">
        <v>9</v>
      </c>
      <c r="M3" s="28" t="s">
        <v>43</v>
      </c>
      <c r="N3" s="28" t="s">
        <v>44</v>
      </c>
      <c r="O3" s="28" t="s">
        <v>45</v>
      </c>
      <c r="P3" s="28"/>
      <c r="Q3" s="28" t="s">
        <v>46</v>
      </c>
      <c r="R3" s="28"/>
      <c r="S3" s="28"/>
      <c r="T3" s="28"/>
      <c r="U3" s="28">
        <v>2</v>
      </c>
      <c r="V3" s="29"/>
      <c r="W3" s="28"/>
      <c r="X3" s="28"/>
      <c r="Y3" s="28" t="s">
        <v>38</v>
      </c>
      <c r="Z3" s="30">
        <f>1+1+2</f>
        <v>4</v>
      </c>
      <c r="AA3" s="31"/>
      <c r="AB3" s="30">
        <f>+Z3+1+1</f>
        <v>6</v>
      </c>
      <c r="AC3" s="31"/>
      <c r="AD3" s="30">
        <f>+Z3*2</f>
        <v>8</v>
      </c>
      <c r="AE3" s="31"/>
      <c r="AF3" s="28">
        <f>81.5+8.1/2</f>
        <v>85.55</v>
      </c>
      <c r="AG3" s="28"/>
      <c r="AH3" s="28">
        <f>100.18+34.16+41/2-AF3</f>
        <v>69.290000000000006</v>
      </c>
      <c r="AI3" s="28"/>
      <c r="AJ3" s="28"/>
      <c r="AK3" s="32"/>
      <c r="AL3" s="32">
        <v>296</v>
      </c>
      <c r="AM3" s="32">
        <f>+(100.18+41)/AL3</f>
        <v>0.4769594594594595</v>
      </c>
      <c r="AN3" s="32">
        <f>+(AF3+AH3)/AL3</f>
        <v>0.52310810810810815</v>
      </c>
      <c r="AO3" s="32">
        <f>+(2+9+20+10+5)/(1+3+5+2+1)</f>
        <v>3.8333333333333335</v>
      </c>
      <c r="AP3" s="32">
        <f>+(5*67063+7*53635+8*40232+2*26825)/22*AH3</f>
        <v>3421244.1427272731</v>
      </c>
      <c r="AQ3" s="33">
        <v>50319.27</v>
      </c>
      <c r="AR3" s="32" t="s">
        <v>39</v>
      </c>
      <c r="AS3" s="34" t="s">
        <v>47</v>
      </c>
      <c r="AT3" s="35">
        <v>45299</v>
      </c>
      <c r="AU3" s="36"/>
      <c r="AV3" s="37">
        <v>45288</v>
      </c>
      <c r="AW3" s="38"/>
      <c r="AX3" s="38"/>
      <c r="AY3" s="38"/>
      <c r="AZ3" s="38"/>
      <c r="BA3" s="38"/>
      <c r="BB3" s="38"/>
      <c r="BC3" s="38"/>
      <c r="BD3" s="38"/>
      <c r="BE3" s="38"/>
      <c r="BF3" s="38"/>
      <c r="BG3" s="38"/>
      <c r="BH3" s="39"/>
      <c r="BI3" s="39"/>
      <c r="BJ3" s="39"/>
      <c r="BK3" s="39"/>
      <c r="BL3" s="39"/>
      <c r="BM3" s="39"/>
      <c r="BN3" s="39"/>
      <c r="BO3" s="39"/>
      <c r="BP3" s="39"/>
      <c r="BQ3" s="39"/>
      <c r="BR3" s="39"/>
      <c r="BS3" s="39"/>
      <c r="BT3" s="39"/>
      <c r="BU3" s="39"/>
      <c r="BV3" s="39"/>
      <c r="BW3" s="39"/>
      <c r="IQ3" s="39"/>
      <c r="IR3" s="39"/>
      <c r="IS3" s="39"/>
      <c r="IT3" s="39"/>
      <c r="IU3" s="39"/>
      <c r="IV3" s="39"/>
      <c r="IW3" s="39"/>
    </row>
    <row r="4" spans="1:257" s="40" customFormat="1" ht="51">
      <c r="A4" s="1"/>
      <c r="B4" s="2">
        <v>3</v>
      </c>
      <c r="C4" s="41">
        <v>555970</v>
      </c>
      <c r="D4" s="42">
        <v>45190</v>
      </c>
      <c r="E4" s="43" t="s">
        <v>48</v>
      </c>
      <c r="F4" s="27">
        <v>-45036</v>
      </c>
      <c r="G4" s="27">
        <v>139467</v>
      </c>
      <c r="H4" s="27">
        <v>20591</v>
      </c>
      <c r="I4" s="28">
        <v>8</v>
      </c>
      <c r="J4" s="28"/>
      <c r="K4" s="10">
        <v>259</v>
      </c>
      <c r="L4" s="28">
        <v>2</v>
      </c>
      <c r="M4" s="10" t="s">
        <v>49</v>
      </c>
      <c r="N4" s="28" t="s">
        <v>50</v>
      </c>
      <c r="O4" s="28" t="s">
        <v>51</v>
      </c>
      <c r="P4" s="10"/>
      <c r="Q4" s="28" t="s">
        <v>52</v>
      </c>
      <c r="R4" s="28" t="s">
        <v>52</v>
      </c>
      <c r="S4" s="28" t="s">
        <v>52</v>
      </c>
      <c r="T4" s="28" t="s">
        <v>53</v>
      </c>
      <c r="U4" s="28"/>
      <c r="V4" s="28">
        <v>1</v>
      </c>
      <c r="W4" s="28"/>
      <c r="X4" s="28"/>
      <c r="Y4" s="28" t="s">
        <v>54</v>
      </c>
      <c r="Z4" s="30"/>
      <c r="AA4" s="30">
        <v>2</v>
      </c>
      <c r="AB4" s="30"/>
      <c r="AC4" s="30">
        <f>+AA4+1</f>
        <v>3</v>
      </c>
      <c r="AD4" s="30"/>
      <c r="AE4" s="30">
        <f>+AA4*2</f>
        <v>4</v>
      </c>
      <c r="AF4" s="28"/>
      <c r="AG4" s="28"/>
      <c r="AH4" s="28"/>
      <c r="AI4" s="28"/>
      <c r="AJ4" s="28">
        <f>97.62+4.17/2</f>
        <v>99.704999999999998</v>
      </c>
      <c r="AK4" s="32"/>
      <c r="AL4" s="32">
        <v>430</v>
      </c>
      <c r="AM4" s="32">
        <f>+(47.23+4.17)/AL4</f>
        <v>0.11953488372093023</v>
      </c>
      <c r="AN4" s="32">
        <f>+AJ4/AL4</f>
        <v>0.23187209302325582</v>
      </c>
      <c r="AO4" s="32"/>
      <c r="AP4" s="32">
        <f>+(3*67063+2*53635+14*40232+4*26825)/23*AJ4</f>
        <v>4243995.3449999997</v>
      </c>
      <c r="AQ4" s="33">
        <v>28030.5</v>
      </c>
      <c r="AR4" s="44" t="s">
        <v>55</v>
      </c>
      <c r="AS4" s="34" t="s">
        <v>56</v>
      </c>
      <c r="AT4" s="35">
        <v>45299</v>
      </c>
      <c r="AU4" s="36"/>
      <c r="AV4" s="45" t="s">
        <v>57</v>
      </c>
      <c r="AW4" s="38"/>
      <c r="AX4" s="38"/>
      <c r="AY4" s="38"/>
      <c r="AZ4" s="38"/>
      <c r="BA4" s="38"/>
      <c r="BB4" s="38"/>
      <c r="BC4" s="38"/>
      <c r="BD4" s="38"/>
      <c r="BE4" s="38"/>
      <c r="BF4" s="38"/>
      <c r="BG4" s="38"/>
      <c r="BH4" s="39"/>
      <c r="BI4" s="39"/>
      <c r="BJ4" s="39"/>
      <c r="BK4" s="39"/>
      <c r="BL4" s="39"/>
      <c r="BM4" s="39"/>
      <c r="BN4" s="39"/>
      <c r="BO4" s="39"/>
      <c r="BP4" s="39"/>
      <c r="BQ4" s="39"/>
      <c r="BR4" s="39"/>
      <c r="BS4" s="39"/>
      <c r="BT4" s="39"/>
      <c r="BU4" s="39"/>
      <c r="BV4" s="39"/>
      <c r="BW4" s="39"/>
      <c r="IQ4" s="39"/>
      <c r="IR4" s="39"/>
      <c r="IS4" s="39"/>
      <c r="IT4" s="39"/>
      <c r="IU4" s="39"/>
      <c r="IV4" s="39"/>
      <c r="IW4" s="39"/>
    </row>
    <row r="5" spans="1:257" s="40" customFormat="1" ht="51">
      <c r="A5" s="1"/>
      <c r="B5" s="2">
        <v>4</v>
      </c>
      <c r="C5" s="24" t="s">
        <v>58</v>
      </c>
      <c r="D5" s="25">
        <v>45236</v>
      </c>
      <c r="E5" s="26" t="s">
        <v>59</v>
      </c>
      <c r="F5" s="27">
        <v>26215</v>
      </c>
      <c r="G5" s="27">
        <v>119585</v>
      </c>
      <c r="H5" s="27">
        <v>5946</v>
      </c>
      <c r="I5" s="28"/>
      <c r="J5" s="28"/>
      <c r="K5" s="28">
        <v>136</v>
      </c>
      <c r="L5" s="28">
        <v>12</v>
      </c>
      <c r="M5" s="28" t="s">
        <v>43</v>
      </c>
      <c r="N5" s="28" t="s">
        <v>60</v>
      </c>
      <c r="O5" s="28" t="s">
        <v>61</v>
      </c>
      <c r="P5" s="28"/>
      <c r="Q5" s="28" t="s">
        <v>62</v>
      </c>
      <c r="R5" s="28" t="s">
        <v>62</v>
      </c>
      <c r="S5" s="28" t="s">
        <v>62</v>
      </c>
      <c r="T5" s="28" t="s">
        <v>53</v>
      </c>
      <c r="U5" s="28"/>
      <c r="V5" s="28"/>
      <c r="W5" s="28">
        <v>1</v>
      </c>
      <c r="X5" s="28"/>
      <c r="Y5" s="28" t="s">
        <v>54</v>
      </c>
      <c r="Z5" s="30"/>
      <c r="AA5" s="30">
        <v>2</v>
      </c>
      <c r="AB5" s="30">
        <v>1</v>
      </c>
      <c r="AC5" s="30">
        <f>1+AA5</f>
        <v>3</v>
      </c>
      <c r="AD5" s="30"/>
      <c r="AE5" s="30">
        <f>+AA5*2</f>
        <v>4</v>
      </c>
      <c r="AF5" s="28">
        <f>66.4+3.4/2</f>
        <v>68.100000000000009</v>
      </c>
      <c r="AG5" s="28"/>
      <c r="AH5" s="28"/>
      <c r="AI5" s="28"/>
      <c r="AJ5" s="28">
        <v>48.7</v>
      </c>
      <c r="AK5" s="32"/>
      <c r="AL5" s="32">
        <v>268.36</v>
      </c>
      <c r="AM5" s="32">
        <f>+(48.7+66.4+3.4)/AL5</f>
        <v>0.44157102399761516</v>
      </c>
      <c r="AN5" s="32">
        <f>+(AF5+AJ5)/AL5</f>
        <v>0.43523624981368314</v>
      </c>
      <c r="AO5" s="32"/>
      <c r="AP5" s="32">
        <f>137190+1020569.25</f>
        <v>1157759.25</v>
      </c>
      <c r="AQ5" s="33">
        <v>15076.38</v>
      </c>
      <c r="AR5" s="32" t="s">
        <v>39</v>
      </c>
      <c r="AS5" s="34" t="s">
        <v>63</v>
      </c>
      <c r="AT5" s="35">
        <v>45299</v>
      </c>
      <c r="AU5" s="36"/>
      <c r="AV5" s="37" t="s">
        <v>64</v>
      </c>
      <c r="AW5" s="38"/>
      <c r="AX5" s="38"/>
      <c r="AY5" s="38"/>
      <c r="AZ5" s="38"/>
      <c r="BA5" s="38"/>
      <c r="BB5" s="38"/>
      <c r="BC5" s="38"/>
      <c r="BD5" s="38"/>
      <c r="BE5" s="38"/>
      <c r="BF5" s="38"/>
      <c r="BG5" s="38"/>
      <c r="BH5" s="39"/>
      <c r="BI5" s="39"/>
      <c r="BJ5" s="39"/>
      <c r="BK5" s="39"/>
      <c r="BL5" s="39"/>
      <c r="BM5" s="39"/>
      <c r="BN5" s="39"/>
      <c r="BO5" s="39"/>
      <c r="BP5" s="39"/>
      <c r="BQ5" s="39"/>
      <c r="BR5" s="39"/>
      <c r="BS5" s="39"/>
      <c r="BT5" s="39"/>
      <c r="BU5" s="39"/>
      <c r="BV5" s="39"/>
      <c r="BW5" s="39"/>
      <c r="IQ5" s="39"/>
      <c r="IR5" s="39"/>
      <c r="IS5" s="39"/>
      <c r="IT5" s="39"/>
      <c r="IU5" s="39"/>
      <c r="IV5" s="39"/>
      <c r="IW5" s="39"/>
    </row>
    <row r="6" spans="1:257" s="23" customFormat="1" ht="76.5">
      <c r="A6" s="1"/>
      <c r="B6" s="2">
        <v>5</v>
      </c>
      <c r="C6" s="3" t="s">
        <v>65</v>
      </c>
      <c r="D6" s="46">
        <v>44924</v>
      </c>
      <c r="E6" s="47" t="s">
        <v>48</v>
      </c>
      <c r="F6" s="48">
        <v>59551</v>
      </c>
      <c r="G6" s="48">
        <v>167831</v>
      </c>
      <c r="H6" s="48">
        <v>33844</v>
      </c>
      <c r="I6" s="49">
        <v>291</v>
      </c>
      <c r="J6" s="49"/>
      <c r="K6" s="49"/>
      <c r="L6" s="49">
        <v>46</v>
      </c>
      <c r="M6" s="49" t="s">
        <v>66</v>
      </c>
      <c r="N6" s="49" t="s">
        <v>67</v>
      </c>
      <c r="O6" s="50" t="s">
        <v>68</v>
      </c>
      <c r="P6" s="49"/>
      <c r="Q6" s="49" t="s">
        <v>69</v>
      </c>
      <c r="R6" s="49" t="s">
        <v>69</v>
      </c>
      <c r="S6" s="49" t="s">
        <v>69</v>
      </c>
      <c r="T6" s="49" t="s">
        <v>70</v>
      </c>
      <c r="U6" s="49"/>
      <c r="V6" s="51">
        <v>1</v>
      </c>
      <c r="W6" s="49"/>
      <c r="X6" s="49"/>
      <c r="Y6" s="49" t="s">
        <v>54</v>
      </c>
      <c r="Z6" s="52"/>
      <c r="AA6" s="53">
        <v>2</v>
      </c>
      <c r="AB6" s="54"/>
      <c r="AC6" s="53">
        <f>+AA6+1+1</f>
        <v>4</v>
      </c>
      <c r="AD6" s="54"/>
      <c r="AE6" s="53">
        <f>+AA6*2</f>
        <v>4</v>
      </c>
      <c r="AF6" s="49"/>
      <c r="AG6" s="49"/>
      <c r="AH6" s="49"/>
      <c r="AI6" s="49"/>
      <c r="AJ6" s="51">
        <f>174.9+78.9/2</f>
        <v>214.35000000000002</v>
      </c>
      <c r="AK6" s="55"/>
      <c r="AL6" s="56">
        <v>1932.3</v>
      </c>
      <c r="AM6" s="56">
        <f>+(78.9+167.4)/AL6</f>
        <v>0.12746467939760908</v>
      </c>
      <c r="AN6" s="56">
        <f>+AJ6/AL6</f>
        <v>0.11092997981679865</v>
      </c>
      <c r="AO6" s="56">
        <f>+(2+6+1)/(4+18+4)</f>
        <v>0.34615384615384615</v>
      </c>
      <c r="AP6" s="56">
        <f>+(5*67063+12*53635+6*40232)/23*AJ6</f>
        <v>11372917.063043479</v>
      </c>
      <c r="AQ6" s="57">
        <v>458022.02</v>
      </c>
      <c r="AR6" s="56" t="s">
        <v>39</v>
      </c>
      <c r="AS6" s="58" t="s">
        <v>71</v>
      </c>
      <c r="AT6" s="59">
        <v>45300</v>
      </c>
      <c r="AU6" s="60"/>
      <c r="AV6" s="58" t="s">
        <v>72</v>
      </c>
      <c r="AW6" s="21"/>
      <c r="AX6" s="21"/>
      <c r="AY6" s="21"/>
      <c r="AZ6" s="21"/>
      <c r="BA6" s="21"/>
      <c r="BB6" s="21"/>
      <c r="BC6" s="21"/>
      <c r="BD6" s="21"/>
      <c r="BE6" s="21"/>
      <c r="BF6" s="21"/>
      <c r="BG6" s="21"/>
      <c r="BH6" s="22"/>
      <c r="BI6" s="22"/>
      <c r="BJ6" s="22"/>
      <c r="BK6" s="22"/>
      <c r="BL6" s="22"/>
      <c r="BM6" s="22"/>
      <c r="BN6" s="22"/>
      <c r="BO6" s="22"/>
      <c r="BP6" s="22"/>
      <c r="BQ6" s="22"/>
      <c r="BR6" s="22"/>
      <c r="BS6" s="22"/>
      <c r="BT6" s="22"/>
      <c r="BU6" s="22"/>
      <c r="BV6" s="22"/>
      <c r="BW6" s="22"/>
      <c r="IQ6" s="22"/>
      <c r="IR6" s="22"/>
      <c r="IS6" s="22"/>
      <c r="IT6" s="22"/>
      <c r="IU6" s="22"/>
      <c r="IV6" s="22"/>
      <c r="IW6" s="22"/>
    </row>
    <row r="7" spans="1:257" s="40" customFormat="1" ht="76.5">
      <c r="A7" s="1"/>
      <c r="B7" s="2">
        <v>6</v>
      </c>
      <c r="C7" s="41" t="s">
        <v>73</v>
      </c>
      <c r="D7" s="42">
        <v>45252</v>
      </c>
      <c r="E7" s="43" t="s">
        <v>42</v>
      </c>
      <c r="F7" s="27">
        <v>61139</v>
      </c>
      <c r="G7" s="27">
        <v>169051</v>
      </c>
      <c r="H7" s="27">
        <v>34062</v>
      </c>
      <c r="I7" s="28">
        <v>327</v>
      </c>
      <c r="J7" s="28"/>
      <c r="K7" s="10">
        <v>5</v>
      </c>
      <c r="L7" s="28">
        <v>16</v>
      </c>
      <c r="M7" s="10" t="s">
        <v>43</v>
      </c>
      <c r="N7" s="49" t="s">
        <v>74</v>
      </c>
      <c r="O7" s="28" t="s">
        <v>75</v>
      </c>
      <c r="P7" s="10"/>
      <c r="Q7" s="10" t="s">
        <v>76</v>
      </c>
      <c r="R7" s="10"/>
      <c r="S7" s="10"/>
      <c r="T7" s="28"/>
      <c r="U7" s="28">
        <v>2</v>
      </c>
      <c r="V7" s="28"/>
      <c r="W7" s="28"/>
      <c r="X7" s="28"/>
      <c r="Y7" s="28" t="s">
        <v>38</v>
      </c>
      <c r="Z7" s="30">
        <f>2+1</f>
        <v>3</v>
      </c>
      <c r="AA7" s="30"/>
      <c r="AB7" s="30">
        <f>+Z7+1</f>
        <v>4</v>
      </c>
      <c r="AC7" s="30"/>
      <c r="AD7" s="30">
        <f>+Z7*2</f>
        <v>6</v>
      </c>
      <c r="AE7" s="30"/>
      <c r="AF7" s="28">
        <f>43.04+3.54/2</f>
        <v>44.81</v>
      </c>
      <c r="AG7" s="28"/>
      <c r="AH7" s="28">
        <f>25.95+40.39/2</f>
        <v>46.144999999999996</v>
      </c>
      <c r="AI7" s="28"/>
      <c r="AJ7" s="28"/>
      <c r="AK7" s="32"/>
      <c r="AL7" s="32">
        <v>374.5</v>
      </c>
      <c r="AM7" s="32">
        <f>+(43.04+3.54+25.95+40.39)/AL7</f>
        <v>0.30152202937249667</v>
      </c>
      <c r="AN7" s="32">
        <f>+(AF7+AH7)/AL7</f>
        <v>0.24287049399198932</v>
      </c>
      <c r="AO7" s="32"/>
      <c r="AP7" s="32">
        <v>1922998.77</v>
      </c>
      <c r="AQ7" s="33">
        <v>35557.31</v>
      </c>
      <c r="AR7" s="44" t="s">
        <v>39</v>
      </c>
      <c r="AS7" s="34" t="s">
        <v>77</v>
      </c>
      <c r="AT7" s="35">
        <v>45300</v>
      </c>
      <c r="AU7" s="36"/>
      <c r="AV7" s="45">
        <v>45264</v>
      </c>
      <c r="AW7" s="38"/>
      <c r="AX7" s="38"/>
      <c r="AY7" s="38"/>
      <c r="AZ7" s="38"/>
      <c r="BA7" s="38"/>
      <c r="BB7" s="38"/>
      <c r="BC7" s="38"/>
      <c r="BD7" s="38"/>
      <c r="BE7" s="38"/>
      <c r="BF7" s="38"/>
      <c r="BG7" s="38"/>
      <c r="BH7" s="39"/>
      <c r="BI7" s="39"/>
      <c r="BJ7" s="39"/>
      <c r="BK7" s="39"/>
      <c r="BL7" s="39"/>
      <c r="BM7" s="39"/>
      <c r="BN7" s="39"/>
      <c r="BO7" s="39"/>
      <c r="BP7" s="39"/>
      <c r="BQ7" s="39"/>
      <c r="BR7" s="39"/>
      <c r="BS7" s="39"/>
      <c r="BT7" s="39"/>
      <c r="BU7" s="39"/>
      <c r="BV7" s="39"/>
      <c r="BW7" s="39"/>
      <c r="IQ7" s="39"/>
      <c r="IR7" s="39"/>
      <c r="IS7" s="39"/>
      <c r="IT7" s="39"/>
      <c r="IU7" s="39"/>
      <c r="IV7" s="39"/>
      <c r="IW7" s="39"/>
    </row>
    <row r="8" spans="1:257" s="23" customFormat="1" ht="76.5">
      <c r="A8" s="1"/>
      <c r="B8" s="2">
        <v>7</v>
      </c>
      <c r="C8" s="61" t="s">
        <v>78</v>
      </c>
      <c r="D8" s="62">
        <v>44767</v>
      </c>
      <c r="E8" s="47" t="s">
        <v>42</v>
      </c>
      <c r="F8" s="48">
        <v>36691</v>
      </c>
      <c r="G8" s="48">
        <v>1607</v>
      </c>
      <c r="H8" s="48">
        <v>1046</v>
      </c>
      <c r="I8" s="49"/>
      <c r="J8" s="49"/>
      <c r="K8" s="49">
        <v>76</v>
      </c>
      <c r="L8" s="49">
        <v>12</v>
      </c>
      <c r="M8" s="49" t="s">
        <v>79</v>
      </c>
      <c r="N8" s="49" t="s">
        <v>80</v>
      </c>
      <c r="O8" s="49" t="s">
        <v>81</v>
      </c>
      <c r="P8" s="49"/>
      <c r="Q8" s="49" t="s">
        <v>82</v>
      </c>
      <c r="R8" s="49"/>
      <c r="S8" s="49"/>
      <c r="T8" s="49"/>
      <c r="U8" s="49">
        <f>1+1+1</f>
        <v>3</v>
      </c>
      <c r="V8" s="51"/>
      <c r="W8" s="49"/>
      <c r="X8" s="49"/>
      <c r="Y8" s="49" t="s">
        <v>83</v>
      </c>
      <c r="Z8" s="52">
        <f>2+2</f>
        <v>4</v>
      </c>
      <c r="AA8" s="53"/>
      <c r="AB8" s="54">
        <f>+Z8+1+1+1</f>
        <v>7</v>
      </c>
      <c r="AC8" s="53"/>
      <c r="AD8" s="54">
        <f>+Z8*2</f>
        <v>8</v>
      </c>
      <c r="AE8" s="53"/>
      <c r="AF8" s="49">
        <f>255.4+31.2/2</f>
        <v>271</v>
      </c>
      <c r="AG8" s="49"/>
      <c r="AH8" s="49">
        <f>268.44+23.36/2-AF8</f>
        <v>9.1200000000000045</v>
      </c>
      <c r="AI8" s="49"/>
      <c r="AJ8" s="51"/>
      <c r="AK8" s="55"/>
      <c r="AL8" s="56">
        <v>402.22</v>
      </c>
      <c r="AM8" s="56">
        <f>+(255.4+31.2)/AL8</f>
        <v>0.71254537317885736</v>
      </c>
      <c r="AN8" s="56">
        <f>+(AF8+AH8)/AL8</f>
        <v>0.69643478693252447</v>
      </c>
      <c r="AO8" s="56"/>
      <c r="AP8" s="56">
        <f>+(6*67063+8*53635+10*40232+1*26825)/25*AH8</f>
        <v>459867.97440000024</v>
      </c>
      <c r="AQ8" s="57">
        <v>201504.32</v>
      </c>
      <c r="AR8" s="56" t="s">
        <v>39</v>
      </c>
      <c r="AS8" s="58" t="s">
        <v>84</v>
      </c>
      <c r="AT8" s="59">
        <v>45300</v>
      </c>
      <c r="AU8" s="60"/>
      <c r="AV8" s="63">
        <v>45295</v>
      </c>
      <c r="AW8" s="21"/>
      <c r="AX8" s="21"/>
      <c r="AY8" s="21"/>
      <c r="AZ8" s="21"/>
      <c r="BA8" s="21"/>
      <c r="BB8" s="21"/>
      <c r="BC8" s="21"/>
      <c r="BD8" s="21"/>
      <c r="BE8" s="21"/>
      <c r="BF8" s="21"/>
      <c r="BG8" s="21"/>
      <c r="BH8" s="22"/>
      <c r="BI8" s="22"/>
      <c r="BJ8" s="22"/>
      <c r="BK8" s="22"/>
      <c r="BL8" s="22"/>
      <c r="BM8" s="22"/>
      <c r="BN8" s="22"/>
      <c r="BO8" s="22"/>
      <c r="BP8" s="22"/>
      <c r="BQ8" s="22"/>
      <c r="BR8" s="22"/>
      <c r="BS8" s="22"/>
      <c r="BT8" s="22"/>
      <c r="BU8" s="22"/>
      <c r="BV8" s="22"/>
      <c r="BW8" s="22"/>
      <c r="IQ8" s="22"/>
      <c r="IR8" s="22"/>
      <c r="IS8" s="22"/>
      <c r="IT8" s="22"/>
      <c r="IU8" s="22"/>
      <c r="IV8" s="22"/>
      <c r="IW8" s="22"/>
    </row>
    <row r="9" spans="1:257" s="40" customFormat="1" ht="76.5">
      <c r="A9" s="1"/>
      <c r="B9" s="2">
        <v>8</v>
      </c>
      <c r="C9" s="41">
        <v>557392</v>
      </c>
      <c r="D9" s="42">
        <v>45253</v>
      </c>
      <c r="E9" s="43" t="s">
        <v>48</v>
      </c>
      <c r="F9" s="27">
        <v>39674</v>
      </c>
      <c r="G9" s="27">
        <v>138383</v>
      </c>
      <c r="H9" s="27">
        <v>31601</v>
      </c>
      <c r="I9" s="28">
        <v>3</v>
      </c>
      <c r="J9" s="28"/>
      <c r="K9" s="10">
        <v>1</v>
      </c>
      <c r="L9" s="28">
        <v>18</v>
      </c>
      <c r="M9" s="10" t="s">
        <v>49</v>
      </c>
      <c r="N9" s="28" t="s">
        <v>85</v>
      </c>
      <c r="O9" s="28" t="s">
        <v>86</v>
      </c>
      <c r="P9" s="10"/>
      <c r="Q9" s="10" t="s">
        <v>87</v>
      </c>
      <c r="R9" s="10" t="s">
        <v>87</v>
      </c>
      <c r="S9" s="10" t="s">
        <v>87</v>
      </c>
      <c r="T9" s="28" t="s">
        <v>53</v>
      </c>
      <c r="U9" s="28"/>
      <c r="V9" s="28">
        <v>1</v>
      </c>
      <c r="W9" s="28"/>
      <c r="X9" s="28"/>
      <c r="Y9" s="28" t="s">
        <v>54</v>
      </c>
      <c r="Z9" s="30"/>
      <c r="AA9" s="30">
        <v>3</v>
      </c>
      <c r="AB9" s="30"/>
      <c r="AC9" s="30">
        <f>+AA9+1</f>
        <v>4</v>
      </c>
      <c r="AD9" s="30"/>
      <c r="AE9" s="30">
        <f>+AA9*2</f>
        <v>6</v>
      </c>
      <c r="AF9" s="28"/>
      <c r="AG9" s="28"/>
      <c r="AH9" s="28"/>
      <c r="AI9" s="28"/>
      <c r="AJ9" s="28">
        <f>139.5+48.2/2</f>
        <v>163.6</v>
      </c>
      <c r="AK9" s="32"/>
      <c r="AL9" s="32">
        <v>800.47</v>
      </c>
      <c r="AM9" s="32">
        <f>+(138.5+48.2)/AL9</f>
        <v>0.23323797269104399</v>
      </c>
      <c r="AN9" s="32">
        <f>+AJ9/AL9</f>
        <v>0.20437992679300909</v>
      </c>
      <c r="AO9" s="32"/>
      <c r="AP9" s="32">
        <f>+(10*67063+9*53635+3*40232)/22*AJ9</f>
        <v>9474232.1636363622</v>
      </c>
      <c r="AQ9" s="33">
        <v>33349.1</v>
      </c>
      <c r="AR9" s="44" t="s">
        <v>39</v>
      </c>
      <c r="AS9" s="34" t="s">
        <v>88</v>
      </c>
      <c r="AT9" s="35">
        <v>45300</v>
      </c>
      <c r="AU9" s="36"/>
      <c r="AV9" s="45" t="s">
        <v>89</v>
      </c>
      <c r="AW9" s="38"/>
      <c r="AX9" s="38"/>
      <c r="AY9" s="38"/>
      <c r="AZ9" s="38"/>
      <c r="BA9" s="38"/>
      <c r="BB9" s="38"/>
      <c r="BC9" s="38"/>
      <c r="BD9" s="38"/>
      <c r="BE9" s="38"/>
      <c r="BF9" s="38"/>
      <c r="BG9" s="38"/>
      <c r="BH9" s="39"/>
      <c r="BI9" s="39"/>
      <c r="BJ9" s="39"/>
      <c r="BK9" s="39"/>
      <c r="BL9" s="39"/>
      <c r="BM9" s="39"/>
      <c r="BN9" s="39"/>
      <c r="BO9" s="39"/>
      <c r="BP9" s="39"/>
      <c r="BQ9" s="39"/>
      <c r="BR9" s="39"/>
      <c r="BS9" s="39"/>
      <c r="BT9" s="39"/>
      <c r="BU9" s="39"/>
      <c r="BV9" s="39"/>
      <c r="BW9" s="39"/>
      <c r="IQ9" s="39"/>
      <c r="IR9" s="39"/>
      <c r="IS9" s="39"/>
      <c r="IT9" s="39"/>
      <c r="IU9" s="39"/>
      <c r="IV9" s="39"/>
      <c r="IW9" s="39"/>
    </row>
    <row r="10" spans="1:257" s="23" customFormat="1" ht="38.25">
      <c r="A10" s="1"/>
      <c r="B10" s="2">
        <v>9</v>
      </c>
      <c r="C10" s="61">
        <v>558365</v>
      </c>
      <c r="D10" s="62">
        <v>45272</v>
      </c>
      <c r="E10" s="47" t="s">
        <v>48</v>
      </c>
      <c r="F10" s="48">
        <v>62234</v>
      </c>
      <c r="G10" s="48">
        <v>169886</v>
      </c>
      <c r="H10" s="48">
        <v>21517</v>
      </c>
      <c r="I10" s="49">
        <v>8</v>
      </c>
      <c r="J10" s="49"/>
      <c r="K10" s="49">
        <v>249</v>
      </c>
      <c r="L10" s="49">
        <v>19</v>
      </c>
      <c r="M10" s="10" t="s">
        <v>49</v>
      </c>
      <c r="N10" s="49" t="s">
        <v>90</v>
      </c>
      <c r="O10" s="49" t="s">
        <v>91</v>
      </c>
      <c r="P10" s="49"/>
      <c r="Q10" s="49" t="s">
        <v>92</v>
      </c>
      <c r="R10" s="49" t="s">
        <v>92</v>
      </c>
      <c r="S10" s="49" t="s">
        <v>92</v>
      </c>
      <c r="T10" s="49" t="s">
        <v>93</v>
      </c>
      <c r="U10" s="49"/>
      <c r="V10" s="51">
        <v>1</v>
      </c>
      <c r="W10" s="49"/>
      <c r="X10" s="49"/>
      <c r="Y10" s="49" t="s">
        <v>94</v>
      </c>
      <c r="Z10" s="52"/>
      <c r="AA10" s="53"/>
      <c r="AB10" s="54"/>
      <c r="AC10" s="53"/>
      <c r="AD10" s="54"/>
      <c r="AE10" s="53"/>
      <c r="AF10" s="49"/>
      <c r="AG10" s="49"/>
      <c r="AH10" s="49"/>
      <c r="AI10" s="49"/>
      <c r="AJ10" s="51"/>
      <c r="AK10" s="55">
        <v>242.4</v>
      </c>
      <c r="AL10" s="56">
        <v>303</v>
      </c>
      <c r="AM10" s="56">
        <f>+AK10/AL10</f>
        <v>0.8</v>
      </c>
      <c r="AN10" s="56">
        <f>+AK10/AL10</f>
        <v>0.8</v>
      </c>
      <c r="AO10" s="56"/>
      <c r="AP10" s="56">
        <v>46468975.619999997</v>
      </c>
      <c r="AQ10" s="57">
        <v>156715.62</v>
      </c>
      <c r="AR10" s="56" t="s">
        <v>55</v>
      </c>
      <c r="AS10" s="58" t="s">
        <v>95</v>
      </c>
      <c r="AT10" s="59">
        <v>45300</v>
      </c>
      <c r="AU10" s="60"/>
      <c r="AV10" s="63" t="s">
        <v>96</v>
      </c>
      <c r="AW10" s="21"/>
      <c r="AX10" s="21"/>
      <c r="AY10" s="21"/>
      <c r="AZ10" s="21"/>
      <c r="BA10" s="21"/>
      <c r="BB10" s="21"/>
      <c r="BC10" s="21"/>
      <c r="BD10" s="21"/>
      <c r="BE10" s="21"/>
      <c r="BF10" s="21"/>
      <c r="BG10" s="21"/>
      <c r="BH10" s="22"/>
      <c r="BI10" s="22"/>
      <c r="BJ10" s="22"/>
      <c r="BK10" s="22"/>
      <c r="BL10" s="22"/>
      <c r="BM10" s="22"/>
      <c r="BN10" s="22"/>
      <c r="BO10" s="22"/>
      <c r="BP10" s="22"/>
      <c r="BQ10" s="22"/>
      <c r="BR10" s="22"/>
      <c r="BS10" s="22"/>
      <c r="BT10" s="22"/>
      <c r="BU10" s="22"/>
      <c r="BV10" s="22"/>
      <c r="BW10" s="22"/>
      <c r="IQ10" s="22"/>
      <c r="IR10" s="22"/>
      <c r="IS10" s="22"/>
      <c r="IT10" s="22"/>
      <c r="IU10" s="22"/>
      <c r="IV10" s="22"/>
      <c r="IW10" s="22"/>
    </row>
    <row r="11" spans="1:257" s="40" customFormat="1" ht="38.25">
      <c r="A11" s="1"/>
      <c r="B11" s="2">
        <v>10</v>
      </c>
      <c r="C11" s="41" t="s">
        <v>97</v>
      </c>
      <c r="D11" s="42">
        <v>45210</v>
      </c>
      <c r="E11" s="43" t="s">
        <v>48</v>
      </c>
      <c r="F11" s="27">
        <v>62233</v>
      </c>
      <c r="G11" s="27">
        <v>169885</v>
      </c>
      <c r="H11" s="27">
        <v>21516</v>
      </c>
      <c r="I11" s="28">
        <v>8</v>
      </c>
      <c r="J11" s="28"/>
      <c r="K11" s="10">
        <v>249</v>
      </c>
      <c r="L11" s="28">
        <v>18</v>
      </c>
      <c r="M11" s="10" t="s">
        <v>43</v>
      </c>
      <c r="N11" s="28" t="s">
        <v>98</v>
      </c>
      <c r="O11" s="28"/>
      <c r="P11" s="10" t="s">
        <v>99</v>
      </c>
      <c r="Q11" s="10" t="s">
        <v>100</v>
      </c>
      <c r="R11" s="10" t="s">
        <v>100</v>
      </c>
      <c r="S11" s="10" t="s">
        <v>100</v>
      </c>
      <c r="T11" s="28" t="s">
        <v>53</v>
      </c>
      <c r="U11" s="28"/>
      <c r="V11" s="28">
        <v>1</v>
      </c>
      <c r="W11" s="28"/>
      <c r="X11" s="28"/>
      <c r="Y11" s="28" t="s">
        <v>94</v>
      </c>
      <c r="Z11" s="30"/>
      <c r="AA11" s="30"/>
      <c r="AB11" s="30"/>
      <c r="AC11" s="30"/>
      <c r="AD11" s="30"/>
      <c r="AE11" s="30"/>
      <c r="AF11" s="28"/>
      <c r="AG11" s="28"/>
      <c r="AH11" s="28"/>
      <c r="AI11" s="28"/>
      <c r="AJ11" s="28"/>
      <c r="AK11" s="28">
        <v>242.4</v>
      </c>
      <c r="AL11" s="32">
        <v>303</v>
      </c>
      <c r="AM11" s="32">
        <f>+AK11/AL11</f>
        <v>0.8</v>
      </c>
      <c r="AN11" s="32">
        <f>+AM11</f>
        <v>0.8</v>
      </c>
      <c r="AO11" s="32"/>
      <c r="AP11" s="32">
        <v>46463975.619999997</v>
      </c>
      <c r="AQ11" s="33">
        <v>163577.62</v>
      </c>
      <c r="AR11" s="44" t="s">
        <v>39</v>
      </c>
      <c r="AS11" s="34" t="s">
        <v>95</v>
      </c>
      <c r="AT11" s="35">
        <v>45301</v>
      </c>
      <c r="AU11" s="36"/>
      <c r="AV11" s="45" t="s">
        <v>96</v>
      </c>
      <c r="AW11" s="38"/>
      <c r="AX11" s="38"/>
      <c r="AY11" s="38"/>
      <c r="AZ11" s="38"/>
      <c r="BA11" s="38"/>
      <c r="BB11" s="38"/>
      <c r="BC11" s="38"/>
      <c r="BD11" s="38"/>
      <c r="BE11" s="38"/>
      <c r="BF11" s="38"/>
      <c r="BG11" s="38"/>
      <c r="BH11" s="39"/>
      <c r="BI11" s="39"/>
      <c r="BJ11" s="39"/>
      <c r="BK11" s="39"/>
      <c r="BL11" s="39"/>
      <c r="BM11" s="39"/>
      <c r="BN11" s="39"/>
      <c r="BO11" s="39"/>
      <c r="BP11" s="39"/>
      <c r="BQ11" s="39"/>
      <c r="BR11" s="39"/>
      <c r="BS11" s="39"/>
      <c r="BT11" s="39"/>
      <c r="BU11" s="39"/>
      <c r="BV11" s="39"/>
      <c r="BW11" s="39"/>
      <c r="IQ11" s="39"/>
      <c r="IR11" s="39"/>
      <c r="IS11" s="39"/>
      <c r="IT11" s="39"/>
      <c r="IU11" s="39"/>
      <c r="IV11" s="39"/>
      <c r="IW11" s="39"/>
    </row>
    <row r="12" spans="1:257" s="23" customFormat="1" ht="76.5">
      <c r="A12" s="1"/>
      <c r="B12" s="2">
        <v>11</v>
      </c>
      <c r="C12" s="3" t="s">
        <v>101</v>
      </c>
      <c r="D12" s="46">
        <v>45037</v>
      </c>
      <c r="E12" s="47" t="s">
        <v>48</v>
      </c>
      <c r="F12" s="48">
        <v>7957</v>
      </c>
      <c r="G12" s="48">
        <v>50290</v>
      </c>
      <c r="H12" s="48">
        <v>3038</v>
      </c>
      <c r="I12" s="49"/>
      <c r="J12" s="49"/>
      <c r="K12" s="49">
        <v>613</v>
      </c>
      <c r="L12" s="49">
        <v>8</v>
      </c>
      <c r="M12" s="49" t="s">
        <v>79</v>
      </c>
      <c r="N12" s="49" t="s">
        <v>102</v>
      </c>
      <c r="O12" s="50" t="s">
        <v>103</v>
      </c>
      <c r="P12" s="49"/>
      <c r="Q12" s="49" t="s">
        <v>104</v>
      </c>
      <c r="R12" s="49" t="s">
        <v>104</v>
      </c>
      <c r="S12" s="49" t="s">
        <v>104</v>
      </c>
      <c r="T12" s="49" t="s">
        <v>53</v>
      </c>
      <c r="U12" s="49"/>
      <c r="V12" s="51">
        <v>4</v>
      </c>
      <c r="W12" s="49"/>
      <c r="X12" s="49"/>
      <c r="Y12" s="49" t="s">
        <v>38</v>
      </c>
      <c r="Z12" s="52"/>
      <c r="AA12" s="53">
        <f>1*4</f>
        <v>4</v>
      </c>
      <c r="AB12" s="54"/>
      <c r="AC12" s="53">
        <f>+AA12+4</f>
        <v>8</v>
      </c>
      <c r="AD12" s="54"/>
      <c r="AE12" s="53">
        <f>+AA12*2</f>
        <v>8</v>
      </c>
      <c r="AF12" s="49"/>
      <c r="AG12" s="49"/>
      <c r="AH12" s="49"/>
      <c r="AI12" s="49"/>
      <c r="AJ12" s="51">
        <v>133.38</v>
      </c>
      <c r="AK12" s="55"/>
      <c r="AL12" s="56">
        <v>656.56</v>
      </c>
      <c r="AM12" s="56">
        <f>+AJ12/AL12</f>
        <v>0.20314975021323262</v>
      </c>
      <c r="AN12" s="56">
        <f>+AJ12/AL12</f>
        <v>0.20314975021323262</v>
      </c>
      <c r="AO12" s="56"/>
      <c r="AP12" s="56">
        <f>+(2*67063+53635*4+40232*7+7*26825)/20*AJ12</f>
        <v>5455675.4849999994</v>
      </c>
      <c r="AQ12" s="57">
        <v>387628.34</v>
      </c>
      <c r="AR12" s="56" t="s">
        <v>39</v>
      </c>
      <c r="AS12" s="58" t="s">
        <v>105</v>
      </c>
      <c r="AT12" s="59">
        <v>45301</v>
      </c>
      <c r="AU12" s="60"/>
      <c r="AV12" s="58" t="s">
        <v>106</v>
      </c>
      <c r="AW12" s="21"/>
      <c r="AX12" s="21"/>
      <c r="AY12" s="21"/>
      <c r="AZ12" s="21"/>
      <c r="BA12" s="21"/>
      <c r="BB12" s="21"/>
      <c r="BC12" s="21"/>
      <c r="BD12" s="21"/>
      <c r="BE12" s="21"/>
      <c r="BF12" s="21"/>
      <c r="BG12" s="21"/>
      <c r="BH12" s="22"/>
      <c r="BI12" s="22"/>
      <c r="BJ12" s="22"/>
      <c r="BK12" s="22"/>
      <c r="BL12" s="22"/>
      <c r="BM12" s="22"/>
      <c r="BN12" s="22"/>
      <c r="BO12" s="22"/>
      <c r="BP12" s="22"/>
      <c r="BQ12" s="22"/>
      <c r="BR12" s="22"/>
      <c r="BS12" s="22"/>
      <c r="BT12" s="22"/>
      <c r="BU12" s="22"/>
      <c r="BV12" s="22"/>
      <c r="BW12" s="22"/>
      <c r="IQ12" s="22"/>
      <c r="IR12" s="22"/>
      <c r="IS12" s="22"/>
      <c r="IT12" s="22"/>
      <c r="IU12" s="22"/>
      <c r="IV12" s="22"/>
      <c r="IW12" s="22"/>
    </row>
    <row r="13" spans="1:257" s="40" customFormat="1" ht="51">
      <c r="A13" s="1"/>
      <c r="B13" s="2">
        <v>12</v>
      </c>
      <c r="C13" s="24">
        <v>558833</v>
      </c>
      <c r="D13" s="25">
        <v>45287</v>
      </c>
      <c r="E13" s="26" t="s">
        <v>42</v>
      </c>
      <c r="F13" s="27">
        <v>54307</v>
      </c>
      <c r="G13" s="27">
        <v>163579</v>
      </c>
      <c r="H13" s="27">
        <v>33335</v>
      </c>
      <c r="I13" s="28">
        <v>223</v>
      </c>
      <c r="J13" s="28"/>
      <c r="K13" s="28">
        <v>2</v>
      </c>
      <c r="L13" s="28">
        <v>15</v>
      </c>
      <c r="M13" s="28" t="s">
        <v>66</v>
      </c>
      <c r="N13" s="28" t="s">
        <v>107</v>
      </c>
      <c r="O13" s="28" t="s">
        <v>108</v>
      </c>
      <c r="P13" s="28"/>
      <c r="Q13" s="28" t="s">
        <v>109</v>
      </c>
      <c r="R13" s="28"/>
      <c r="S13" s="28"/>
      <c r="T13" s="28"/>
      <c r="U13" s="28">
        <v>1</v>
      </c>
      <c r="V13" s="29"/>
      <c r="W13" s="28"/>
      <c r="X13" s="28"/>
      <c r="Y13" s="28" t="s">
        <v>54</v>
      </c>
      <c r="Z13" s="30">
        <v>3</v>
      </c>
      <c r="AA13" s="31"/>
      <c r="AB13" s="30">
        <f>+Z13+1</f>
        <v>4</v>
      </c>
      <c r="AC13" s="31"/>
      <c r="AD13" s="30">
        <f>+Z13*2</f>
        <v>6</v>
      </c>
      <c r="AE13" s="31"/>
      <c r="AF13" s="28"/>
      <c r="AG13" s="28"/>
      <c r="AH13" s="28">
        <v>45.5</v>
      </c>
      <c r="AI13" s="28"/>
      <c r="AJ13" s="28"/>
      <c r="AK13" s="32"/>
      <c r="AL13" s="32">
        <v>880</v>
      </c>
      <c r="AM13" s="32">
        <f>+AH13/AL13</f>
        <v>5.1704545454545454E-2</v>
      </c>
      <c r="AN13" s="32">
        <f>+AM13</f>
        <v>5.1704545454545454E-2</v>
      </c>
      <c r="AO13" s="32">
        <f>+(6+28)/(2+7)</f>
        <v>3.7777777777777777</v>
      </c>
      <c r="AP13" s="32">
        <f>+(5*67063+1*53635+7*40232+8*26825)/25*AH13</f>
        <v>1611016.68</v>
      </c>
      <c r="AQ13" s="33">
        <v>35753.19</v>
      </c>
      <c r="AR13" s="32" t="s">
        <v>39</v>
      </c>
      <c r="AS13" s="34" t="s">
        <v>110</v>
      </c>
      <c r="AT13" s="35">
        <v>45306</v>
      </c>
      <c r="AU13" s="36"/>
      <c r="AV13" s="37">
        <v>45295</v>
      </c>
      <c r="AW13" s="38"/>
      <c r="AX13" s="38"/>
      <c r="AY13" s="38"/>
      <c r="AZ13" s="38"/>
      <c r="BA13" s="38"/>
      <c r="BB13" s="38"/>
      <c r="BC13" s="38"/>
      <c r="BD13" s="38"/>
      <c r="BE13" s="38"/>
      <c r="BF13" s="38"/>
      <c r="BG13" s="38"/>
      <c r="BH13" s="39"/>
      <c r="BI13" s="39"/>
      <c r="BJ13" s="39"/>
      <c r="BK13" s="39"/>
      <c r="BL13" s="39"/>
      <c r="BM13" s="39"/>
      <c r="BN13" s="39"/>
      <c r="BO13" s="39"/>
      <c r="BP13" s="39"/>
      <c r="BQ13" s="39"/>
      <c r="BR13" s="39"/>
      <c r="BS13" s="39"/>
      <c r="BT13" s="39"/>
      <c r="BU13" s="39"/>
      <c r="BV13" s="39"/>
      <c r="BW13" s="39"/>
      <c r="IQ13" s="39"/>
      <c r="IR13" s="39"/>
      <c r="IS13" s="39"/>
      <c r="IT13" s="39"/>
      <c r="IU13" s="39"/>
      <c r="IV13" s="39"/>
      <c r="IW13" s="39"/>
    </row>
    <row r="14" spans="1:257" s="23" customFormat="1" ht="76.5">
      <c r="A14" s="1"/>
      <c r="B14" s="2">
        <v>13</v>
      </c>
      <c r="C14" s="61" t="s">
        <v>111</v>
      </c>
      <c r="D14" s="62">
        <v>44257</v>
      </c>
      <c r="E14" s="47" t="s">
        <v>42</v>
      </c>
      <c r="F14" s="48">
        <v>38070</v>
      </c>
      <c r="G14" s="48">
        <v>136514</v>
      </c>
      <c r="H14" s="48">
        <v>7999</v>
      </c>
      <c r="I14" s="49"/>
      <c r="J14" s="49"/>
      <c r="K14" s="49">
        <v>515</v>
      </c>
      <c r="L14" s="49">
        <v>3</v>
      </c>
      <c r="M14" s="49" t="s">
        <v>43</v>
      </c>
      <c r="N14" s="49" t="s">
        <v>112</v>
      </c>
      <c r="O14" s="49" t="s">
        <v>113</v>
      </c>
      <c r="P14" s="49"/>
      <c r="Q14" s="49" t="s">
        <v>82</v>
      </c>
      <c r="R14" s="49"/>
      <c r="S14" s="49"/>
      <c r="T14" s="49"/>
      <c r="U14" s="49">
        <v>1</v>
      </c>
      <c r="V14" s="51"/>
      <c r="W14" s="49"/>
      <c r="X14" s="49"/>
      <c r="Y14" s="49" t="s">
        <v>83</v>
      </c>
      <c r="Z14" s="52">
        <v>2</v>
      </c>
      <c r="AA14" s="53"/>
      <c r="AB14" s="54">
        <f>+Z14+1</f>
        <v>3</v>
      </c>
      <c r="AC14" s="53"/>
      <c r="AD14" s="54">
        <f>+Z14*2</f>
        <v>4</v>
      </c>
      <c r="AE14" s="53"/>
      <c r="AF14" s="49">
        <f>34.5+34.5</f>
        <v>69</v>
      </c>
      <c r="AG14" s="49"/>
      <c r="AH14" s="49">
        <f>255.4+31.2/2</f>
        <v>271</v>
      </c>
      <c r="AI14" s="49">
        <v>110.6</v>
      </c>
      <c r="AJ14" s="51"/>
      <c r="AK14" s="55"/>
      <c r="AL14" s="56">
        <v>251.1</v>
      </c>
      <c r="AM14" s="56">
        <f>+(AI14+34.5)/AL14</f>
        <v>0.57785742731979295</v>
      </c>
      <c r="AN14" s="56">
        <f>+(AF14+AI14)/AL14</f>
        <v>0.71525288729589809</v>
      </c>
      <c r="AO14" s="56">
        <f>+(2+9+12+10)/(1+3+3+2)</f>
        <v>3.6666666666666665</v>
      </c>
      <c r="AP14" s="56">
        <f>+AI14*53635</f>
        <v>5932031</v>
      </c>
      <c r="AQ14" s="57">
        <v>89012.04</v>
      </c>
      <c r="AR14" s="56" t="s">
        <v>39</v>
      </c>
      <c r="AS14" s="58" t="s">
        <v>114</v>
      </c>
      <c r="AT14" s="59">
        <v>45301</v>
      </c>
      <c r="AU14" s="60"/>
      <c r="AV14" s="63">
        <v>45295</v>
      </c>
      <c r="AW14" s="21"/>
      <c r="AX14" s="21"/>
      <c r="AY14" s="21"/>
      <c r="AZ14" s="21"/>
      <c r="BA14" s="21"/>
      <c r="BB14" s="21"/>
      <c r="BC14" s="21"/>
      <c r="BD14" s="21"/>
      <c r="BE14" s="21"/>
      <c r="BF14" s="21"/>
      <c r="BG14" s="21"/>
      <c r="BH14" s="22"/>
      <c r="BI14" s="22"/>
      <c r="BJ14" s="22"/>
      <c r="BK14" s="22"/>
      <c r="BL14" s="22"/>
      <c r="BM14" s="22"/>
      <c r="BN14" s="22"/>
      <c r="BO14" s="22"/>
      <c r="BP14" s="22"/>
      <c r="BQ14" s="22"/>
      <c r="BR14" s="22"/>
      <c r="BS14" s="22"/>
      <c r="BT14" s="22"/>
      <c r="BU14" s="22"/>
      <c r="BV14" s="22"/>
      <c r="BW14" s="22"/>
      <c r="IQ14" s="22"/>
      <c r="IR14" s="22"/>
      <c r="IS14" s="22"/>
      <c r="IT14" s="22"/>
      <c r="IU14" s="22"/>
      <c r="IV14" s="22"/>
      <c r="IW14" s="22"/>
    </row>
    <row r="15" spans="1:257" s="23" customFormat="1" ht="51">
      <c r="A15" s="1"/>
      <c r="B15" s="2">
        <v>14</v>
      </c>
      <c r="C15" s="64" t="s">
        <v>115</v>
      </c>
      <c r="D15" s="65">
        <v>44028</v>
      </c>
      <c r="E15" s="49" t="s">
        <v>42</v>
      </c>
      <c r="F15" s="49">
        <v>136824</v>
      </c>
      <c r="G15" s="49">
        <v>37618</v>
      </c>
      <c r="H15" s="49">
        <v>7871</v>
      </c>
      <c r="I15" s="49"/>
      <c r="J15" s="49"/>
      <c r="K15" s="49">
        <v>484</v>
      </c>
      <c r="L15" s="49"/>
      <c r="M15" s="49" t="s">
        <v>116</v>
      </c>
      <c r="N15" s="49" t="s">
        <v>117</v>
      </c>
      <c r="O15" s="50" t="s">
        <v>118</v>
      </c>
      <c r="P15" s="49"/>
      <c r="Q15" s="49" t="s">
        <v>69</v>
      </c>
      <c r="R15" s="49"/>
      <c r="S15" s="49"/>
      <c r="T15" s="49"/>
      <c r="U15" s="49">
        <v>1</v>
      </c>
      <c r="V15" s="51"/>
      <c r="W15" s="49"/>
      <c r="X15" s="49"/>
      <c r="Y15" s="49" t="s">
        <v>54</v>
      </c>
      <c r="Z15" s="49">
        <v>2</v>
      </c>
      <c r="AA15" s="51"/>
      <c r="AB15" s="66">
        <f>+Z15+1+1</f>
        <v>4</v>
      </c>
      <c r="AC15" s="51"/>
      <c r="AD15" s="66"/>
      <c r="AE15" s="51"/>
      <c r="AF15" s="49">
        <f>57.5+1/2</f>
        <v>58</v>
      </c>
      <c r="AG15" s="49"/>
      <c r="AH15" s="49">
        <f>36.9+21.5/2</f>
        <v>47.65</v>
      </c>
      <c r="AI15" s="67"/>
      <c r="AJ15" s="68"/>
      <c r="AK15" s="68"/>
      <c r="AL15" s="67">
        <v>180.92</v>
      </c>
      <c r="AM15" s="67">
        <f>+(57.5+1+36.9+21.5)/AL15</f>
        <v>0.6461419411894761</v>
      </c>
      <c r="AN15" s="67">
        <f>+(AF15+AH15)/AL15</f>
        <v>0.58395976122042903</v>
      </c>
      <c r="AO15" s="67"/>
      <c r="AP15" s="69">
        <f>+(5*67063+4*53635+9*40232+2*26825)/20*AH15</f>
        <v>2300525.3224999998</v>
      </c>
      <c r="AQ15" s="57">
        <v>37902.120000000003</v>
      </c>
      <c r="AR15" s="60" t="s">
        <v>39</v>
      </c>
      <c r="AS15" s="60" t="s">
        <v>119</v>
      </c>
      <c r="AT15" s="70">
        <v>45301</v>
      </c>
      <c r="AU15" s="67"/>
      <c r="AV15" s="71">
        <v>45295</v>
      </c>
      <c r="AW15" s="72"/>
      <c r="AX15" s="72"/>
      <c r="AY15" s="72"/>
      <c r="AZ15" s="72"/>
      <c r="BA15" s="72"/>
      <c r="BB15" s="72"/>
      <c r="BC15" s="72"/>
      <c r="BD15" s="72"/>
      <c r="BE15" s="72"/>
      <c r="BF15" s="22"/>
      <c r="BG15" s="22"/>
      <c r="BH15" s="22"/>
      <c r="BI15" s="22"/>
      <c r="BJ15" s="22"/>
      <c r="BK15" s="22"/>
      <c r="BL15" s="22"/>
      <c r="BM15" s="22"/>
      <c r="BN15" s="22"/>
      <c r="BO15" s="22"/>
      <c r="BP15" s="22"/>
      <c r="BQ15" s="22"/>
      <c r="BR15" s="22"/>
      <c r="BS15" s="22"/>
      <c r="BT15" s="22"/>
      <c r="BU15" s="22"/>
      <c r="IO15" s="22"/>
      <c r="IP15" s="22"/>
      <c r="IQ15" s="22"/>
      <c r="IR15" s="22"/>
      <c r="IS15" s="22"/>
      <c r="IT15" s="22"/>
      <c r="IU15" s="22"/>
      <c r="IV15" s="22"/>
      <c r="IW15" s="22"/>
    </row>
    <row r="16" spans="1:257" s="40" customFormat="1" ht="63.75">
      <c r="A16" s="1"/>
      <c r="B16" s="2">
        <v>15</v>
      </c>
      <c r="C16" s="41" t="s">
        <v>120</v>
      </c>
      <c r="D16" s="42">
        <v>45225</v>
      </c>
      <c r="E16" s="43" t="s">
        <v>42</v>
      </c>
      <c r="F16" s="27">
        <v>49924</v>
      </c>
      <c r="G16" s="27"/>
      <c r="H16" s="27">
        <v>32736</v>
      </c>
      <c r="I16" s="28"/>
      <c r="J16" s="28"/>
      <c r="K16" s="10"/>
      <c r="L16" s="28">
        <v>80</v>
      </c>
      <c r="M16" s="10" t="s">
        <v>33</v>
      </c>
      <c r="N16" s="10" t="s">
        <v>121</v>
      </c>
      <c r="O16" s="28" t="s">
        <v>122</v>
      </c>
      <c r="P16" s="10"/>
      <c r="Q16" s="10" t="s">
        <v>123</v>
      </c>
      <c r="R16" s="10"/>
      <c r="S16" s="10"/>
      <c r="T16" s="28"/>
      <c r="U16" s="28">
        <f>1+1</f>
        <v>2</v>
      </c>
      <c r="V16" s="28"/>
      <c r="W16" s="28"/>
      <c r="X16" s="28"/>
      <c r="Y16" s="28" t="s">
        <v>38</v>
      </c>
      <c r="Z16" s="30">
        <f>2+1</f>
        <v>3</v>
      </c>
      <c r="AA16" s="30"/>
      <c r="AB16" s="30">
        <f>+Z16</f>
        <v>3</v>
      </c>
      <c r="AC16" s="30"/>
      <c r="AD16" s="30">
        <v>2</v>
      </c>
      <c r="AE16" s="30"/>
      <c r="AF16" s="28"/>
      <c r="AG16" s="28"/>
      <c r="AH16" s="28">
        <f>28.8+28.8+36+27+2.95/2+19.03+17+17+18/2</f>
        <v>184.10499999999999</v>
      </c>
      <c r="AI16" s="28"/>
      <c r="AJ16" s="28"/>
      <c r="AK16" s="32"/>
      <c r="AL16" s="32">
        <v>2225.2399999999998</v>
      </c>
      <c r="AM16" s="32">
        <f>+(28.3+28.3+36+2.95+19.03+18)/AL16</f>
        <v>5.9580090237457528E-2</v>
      </c>
      <c r="AN16" s="32">
        <f>+AH16/AL16</f>
        <v>8.2734896011216766E-2</v>
      </c>
      <c r="AO16" s="32"/>
      <c r="AP16" s="32">
        <f>3337754+1771500+14897500</f>
        <v>20006754</v>
      </c>
      <c r="AQ16" s="33">
        <v>414359.4</v>
      </c>
      <c r="AR16" s="44" t="s">
        <v>39</v>
      </c>
      <c r="AS16" s="34" t="s">
        <v>124</v>
      </c>
      <c r="AT16" s="35">
        <v>45303</v>
      </c>
      <c r="AU16" s="36"/>
      <c r="AV16" s="45"/>
      <c r="AW16" s="38"/>
      <c r="AX16" s="38"/>
      <c r="AY16" s="38"/>
      <c r="AZ16" s="38"/>
      <c r="BA16" s="38"/>
      <c r="BB16" s="38"/>
      <c r="BC16" s="38"/>
      <c r="BD16" s="38"/>
      <c r="BE16" s="38"/>
      <c r="BF16" s="38"/>
      <c r="BG16" s="38"/>
      <c r="BH16" s="39"/>
      <c r="BI16" s="39"/>
      <c r="BJ16" s="39"/>
      <c r="BK16" s="39"/>
      <c r="BL16" s="39"/>
      <c r="BM16" s="39"/>
      <c r="BN16" s="39"/>
      <c r="BO16" s="39"/>
      <c r="BP16" s="39"/>
      <c r="BQ16" s="39"/>
      <c r="BR16" s="39"/>
      <c r="BS16" s="39"/>
      <c r="BT16" s="39"/>
      <c r="BU16" s="39"/>
      <c r="BV16" s="39"/>
      <c r="BW16" s="39"/>
      <c r="IQ16" s="39"/>
      <c r="IR16" s="39"/>
      <c r="IS16" s="39"/>
      <c r="IT16" s="39"/>
      <c r="IU16" s="39"/>
      <c r="IV16" s="39"/>
      <c r="IW16" s="39"/>
    </row>
    <row r="17" spans="1:257" s="23" customFormat="1" ht="102">
      <c r="A17" s="1"/>
      <c r="B17" s="2">
        <v>16</v>
      </c>
      <c r="C17" s="3" t="s">
        <v>125</v>
      </c>
      <c r="D17" s="46">
        <v>45061</v>
      </c>
      <c r="E17" s="47" t="s">
        <v>42</v>
      </c>
      <c r="F17" s="48">
        <v>59691</v>
      </c>
      <c r="G17" s="48">
        <v>680</v>
      </c>
      <c r="H17" s="48">
        <v>738</v>
      </c>
      <c r="I17" s="49"/>
      <c r="J17" s="49"/>
      <c r="K17" s="49">
        <v>141</v>
      </c>
      <c r="L17" s="49">
        <v>2</v>
      </c>
      <c r="M17" s="49" t="s">
        <v>126</v>
      </c>
      <c r="N17" s="49" t="s">
        <v>127</v>
      </c>
      <c r="O17" s="50" t="s">
        <v>128</v>
      </c>
      <c r="P17" s="49"/>
      <c r="Q17" s="49" t="s">
        <v>69</v>
      </c>
      <c r="R17" s="49"/>
      <c r="S17" s="49"/>
      <c r="T17" s="49"/>
      <c r="U17" s="49">
        <v>2</v>
      </c>
      <c r="V17" s="51"/>
      <c r="W17" s="49"/>
      <c r="X17" s="49"/>
      <c r="Y17" s="49" t="s">
        <v>38</v>
      </c>
      <c r="Z17" s="52">
        <f>2+3</f>
        <v>5</v>
      </c>
      <c r="AA17" s="53"/>
      <c r="AB17" s="54">
        <f>+Z17+1+1</f>
        <v>7</v>
      </c>
      <c r="AC17" s="53"/>
      <c r="AD17" s="54">
        <f>+Z17*2</f>
        <v>10</v>
      </c>
      <c r="AE17" s="53"/>
      <c r="AF17" s="49">
        <f>96.48+5/2</f>
        <v>98.98</v>
      </c>
      <c r="AG17" s="49"/>
      <c r="AH17" s="49">
        <f>138.58+5.95/2</f>
        <v>141.55500000000001</v>
      </c>
      <c r="AI17" s="49"/>
      <c r="AJ17" s="51"/>
      <c r="AK17" s="55"/>
      <c r="AL17" s="56">
        <v>114.66</v>
      </c>
      <c r="AM17" s="56">
        <f>+(86.7+5.95)/AL17</f>
        <v>0.80804116518402236</v>
      </c>
      <c r="AN17" s="56">
        <f>+(AF17+AH17)/AL17</f>
        <v>2.0978109192394911</v>
      </c>
      <c r="AO17" s="56">
        <f>+(6+6+20)/(3+2+5)</f>
        <v>3.2</v>
      </c>
      <c r="AP17" s="56">
        <f>+(7*67063+5*53635+6*40232+6*26825)/24*AH17</f>
        <v>6723614.7787500005</v>
      </c>
      <c r="AQ17" s="57">
        <v>108409.01</v>
      </c>
      <c r="AR17" s="56" t="s">
        <v>39</v>
      </c>
      <c r="AS17" s="58" t="s">
        <v>129</v>
      </c>
      <c r="AT17" s="59">
        <v>45307</v>
      </c>
      <c r="AU17" s="60"/>
      <c r="AV17" s="73">
        <v>45303</v>
      </c>
      <c r="AW17" s="21"/>
      <c r="AX17" s="21"/>
      <c r="AY17" s="21"/>
      <c r="AZ17" s="21"/>
      <c r="BA17" s="21"/>
      <c r="BB17" s="21"/>
      <c r="BC17" s="21"/>
      <c r="BD17" s="21"/>
      <c r="BE17" s="21"/>
      <c r="BF17" s="21"/>
      <c r="BG17" s="21"/>
      <c r="BH17" s="22"/>
      <c r="BI17" s="22"/>
      <c r="BJ17" s="22"/>
      <c r="BK17" s="22"/>
      <c r="BL17" s="22"/>
      <c r="BM17" s="22"/>
      <c r="BN17" s="22"/>
      <c r="BO17" s="22"/>
      <c r="BP17" s="22"/>
      <c r="BQ17" s="22"/>
      <c r="BR17" s="22"/>
      <c r="BS17" s="22"/>
      <c r="BT17" s="22"/>
      <c r="BU17" s="22"/>
      <c r="BV17" s="22"/>
      <c r="BW17" s="22"/>
      <c r="IQ17" s="22"/>
      <c r="IR17" s="22"/>
      <c r="IS17" s="22"/>
      <c r="IT17" s="22"/>
      <c r="IU17" s="22"/>
      <c r="IV17" s="22"/>
      <c r="IW17" s="22"/>
    </row>
    <row r="18" spans="1:257" s="40" customFormat="1" ht="51">
      <c r="A18" s="1"/>
      <c r="B18" s="74">
        <v>17</v>
      </c>
      <c r="C18" s="24">
        <v>559196</v>
      </c>
      <c r="D18" s="25">
        <v>45301</v>
      </c>
      <c r="E18" s="26" t="s">
        <v>42</v>
      </c>
      <c r="F18" s="27">
        <v>18993</v>
      </c>
      <c r="G18" s="27">
        <v>108893</v>
      </c>
      <c r="H18" s="27">
        <v>5386</v>
      </c>
      <c r="I18" s="28"/>
      <c r="J18" s="28"/>
      <c r="K18" s="28">
        <v>278</v>
      </c>
      <c r="L18" s="28">
        <v>14</v>
      </c>
      <c r="M18" s="28" t="s">
        <v>43</v>
      </c>
      <c r="N18" s="28" t="s">
        <v>130</v>
      </c>
      <c r="O18" s="28" t="s">
        <v>131</v>
      </c>
      <c r="P18" s="28"/>
      <c r="Q18" s="28" t="s">
        <v>132</v>
      </c>
      <c r="R18" s="28"/>
      <c r="S18" s="28"/>
      <c r="T18" s="28"/>
      <c r="U18" s="28">
        <v>1</v>
      </c>
      <c r="V18" s="29"/>
      <c r="W18" s="28"/>
      <c r="X18" s="28"/>
      <c r="Y18" s="28" t="s">
        <v>133</v>
      </c>
      <c r="Z18" s="30"/>
      <c r="AA18" s="31"/>
      <c r="AB18" s="30"/>
      <c r="AC18" s="31"/>
      <c r="AD18" s="30"/>
      <c r="AE18" s="31"/>
      <c r="AF18" s="28">
        <v>696.84</v>
      </c>
      <c r="AG18" s="28"/>
      <c r="AH18" s="28"/>
      <c r="AI18" s="28">
        <v>215.38</v>
      </c>
      <c r="AJ18" s="28"/>
      <c r="AK18" s="32"/>
      <c r="AL18" s="32">
        <v>864.64</v>
      </c>
      <c r="AM18" s="32">
        <f>(633.84+30.09+31.5+114.42)/AL18</f>
        <v>0.93663258697261287</v>
      </c>
      <c r="AN18" s="32">
        <f>+(AF18+AI18)/AL18</f>
        <v>1.0550286824574391</v>
      </c>
      <c r="AO18" s="32"/>
      <c r="AP18" s="32">
        <v>4164372.3</v>
      </c>
      <c r="AQ18" s="33">
        <v>60303.519999999997</v>
      </c>
      <c r="AR18" s="32" t="s">
        <v>55</v>
      </c>
      <c r="AS18" s="34" t="s">
        <v>134</v>
      </c>
      <c r="AT18" s="35">
        <v>45308</v>
      </c>
      <c r="AU18" s="36"/>
      <c r="AV18" s="37"/>
      <c r="AW18" s="38"/>
      <c r="AX18" s="38"/>
      <c r="AY18" s="38"/>
      <c r="AZ18" s="38"/>
      <c r="BA18" s="38"/>
      <c r="BB18" s="38"/>
      <c r="BC18" s="38"/>
      <c r="BD18" s="38"/>
      <c r="BE18" s="38"/>
      <c r="BF18" s="38"/>
      <c r="BG18" s="38"/>
      <c r="BH18" s="39"/>
      <c r="BI18" s="39"/>
      <c r="BJ18" s="39"/>
      <c r="BK18" s="39"/>
      <c r="BL18" s="39"/>
      <c r="BM18" s="39"/>
      <c r="BN18" s="39"/>
      <c r="BO18" s="39"/>
      <c r="BP18" s="39"/>
      <c r="BQ18" s="39"/>
      <c r="BR18" s="39"/>
      <c r="BS18" s="39"/>
      <c r="BT18" s="39"/>
      <c r="BU18" s="39"/>
      <c r="BV18" s="39"/>
      <c r="BW18" s="39"/>
      <c r="IQ18" s="39"/>
      <c r="IR18" s="39"/>
      <c r="IS18" s="39"/>
      <c r="IT18" s="39"/>
      <c r="IU18" s="39"/>
      <c r="IV18" s="39"/>
      <c r="IW18" s="39"/>
    </row>
    <row r="19" spans="1:257" s="40" customFormat="1" ht="63.75">
      <c r="A19" s="1"/>
      <c r="B19" s="2">
        <v>18</v>
      </c>
      <c r="C19" s="75" t="s">
        <v>135</v>
      </c>
      <c r="D19" s="76">
        <v>45112</v>
      </c>
      <c r="E19" s="77" t="s">
        <v>59</v>
      </c>
      <c r="F19" s="78">
        <v>40123</v>
      </c>
      <c r="G19" s="78">
        <v>138718</v>
      </c>
      <c r="H19" s="78">
        <v>31669</v>
      </c>
      <c r="I19" s="79">
        <v>268</v>
      </c>
      <c r="J19" s="79"/>
      <c r="K19" s="79"/>
      <c r="L19" s="79">
        <v>11</v>
      </c>
      <c r="M19" s="79" t="s">
        <v>33</v>
      </c>
      <c r="N19" s="79" t="s">
        <v>136</v>
      </c>
      <c r="O19" s="79" t="s">
        <v>137</v>
      </c>
      <c r="P19" s="79"/>
      <c r="Q19" s="79" t="s">
        <v>138</v>
      </c>
      <c r="R19" s="79" t="s">
        <v>138</v>
      </c>
      <c r="S19" s="79" t="s">
        <v>138</v>
      </c>
      <c r="T19" s="79" t="s">
        <v>37</v>
      </c>
      <c r="U19" s="79">
        <v>1</v>
      </c>
      <c r="V19" s="79">
        <v>7</v>
      </c>
      <c r="W19" s="79"/>
      <c r="X19" s="79"/>
      <c r="Y19" s="79" t="s">
        <v>38</v>
      </c>
      <c r="Z19" s="80">
        <f>1+1</f>
        <v>2</v>
      </c>
      <c r="AA19" s="80">
        <f>1*4+2+2*2</f>
        <v>10</v>
      </c>
      <c r="AB19" s="80">
        <f>+Z19+1+1</f>
        <v>4</v>
      </c>
      <c r="AC19" s="80">
        <f>+AA19+2</f>
        <v>12</v>
      </c>
      <c r="AD19" s="80">
        <f>+Z19*2</f>
        <v>4</v>
      </c>
      <c r="AE19" s="80">
        <f>+AA19*2</f>
        <v>20</v>
      </c>
      <c r="AF19" s="79">
        <f>162.62+36.31/2</f>
        <v>180.77500000000001</v>
      </c>
      <c r="AG19" s="79"/>
      <c r="AH19" s="79">
        <v>109.84</v>
      </c>
      <c r="AI19" s="79"/>
      <c r="AJ19" s="79">
        <f>48+320+42.02/2+87.17+22/2</f>
        <v>487.18</v>
      </c>
      <c r="AK19" s="81"/>
      <c r="AL19" s="81">
        <v>6255.64</v>
      </c>
      <c r="AM19" s="81">
        <f>+(162.62+36.31+109.84+48+320+42.02+87.17+22)/AL19</f>
        <v>0.13235416360276483</v>
      </c>
      <c r="AN19" s="81">
        <f>+(AF19+AH19+AJ19)/AL19</f>
        <v>0.12433500009591346</v>
      </c>
      <c r="AO19" s="81"/>
      <c r="AP19" s="81">
        <f>+((2*1+4*2+12*3+1*4)/19*109.84)+((2*1+3*2+11*3+3*4)/19*109.84)+((2*1+3*2+11*3+3*4)/19*98.17)+((2*1+3*2+11*3+3*4)/19*53.12)+((2*1+3*2+11*3+3*4)/19*64.26)+2133871.7</f>
        <v>2135068.4194736844</v>
      </c>
      <c r="AQ19" s="82">
        <v>539918.42000000004</v>
      </c>
      <c r="AR19" s="81" t="s">
        <v>39</v>
      </c>
      <c r="AS19" s="83" t="s">
        <v>139</v>
      </c>
      <c r="AT19" s="84">
        <v>45314</v>
      </c>
      <c r="AU19" s="85"/>
      <c r="AV19" s="86" t="s">
        <v>140</v>
      </c>
      <c r="AW19" s="38"/>
      <c r="AX19" s="38"/>
      <c r="AY19" s="38"/>
      <c r="AZ19" s="38"/>
      <c r="BA19" s="38"/>
      <c r="BB19" s="38"/>
      <c r="BC19" s="38"/>
      <c r="BD19" s="38"/>
      <c r="BE19" s="38"/>
      <c r="BF19" s="38"/>
      <c r="BG19" s="38"/>
      <c r="BH19" s="39"/>
      <c r="BI19" s="39"/>
      <c r="BJ19" s="39"/>
      <c r="BK19" s="39"/>
      <c r="BL19" s="39"/>
      <c r="BM19" s="39"/>
      <c r="BN19" s="39"/>
      <c r="BO19" s="39"/>
      <c r="BP19" s="39"/>
      <c r="BQ19" s="39"/>
      <c r="BR19" s="39"/>
      <c r="BS19" s="39"/>
      <c r="BT19" s="39"/>
      <c r="BU19" s="39"/>
      <c r="BV19" s="39"/>
      <c r="BW19" s="39"/>
      <c r="IQ19" s="39"/>
      <c r="IR19" s="39"/>
      <c r="IS19" s="39"/>
      <c r="IT19" s="39"/>
      <c r="IU19" s="39"/>
      <c r="IV19" s="39"/>
      <c r="IW19" s="39"/>
    </row>
    <row r="20" spans="1:257" s="23" customFormat="1" ht="51">
      <c r="A20" s="1"/>
      <c r="B20" s="2">
        <v>19</v>
      </c>
      <c r="C20" s="61">
        <v>559348</v>
      </c>
      <c r="D20" s="62">
        <v>45306</v>
      </c>
      <c r="E20" s="47" t="s">
        <v>42</v>
      </c>
      <c r="F20" s="48">
        <v>60014</v>
      </c>
      <c r="G20" s="48">
        <v>168189</v>
      </c>
      <c r="H20" s="48">
        <v>33885</v>
      </c>
      <c r="I20" s="49">
        <v>227</v>
      </c>
      <c r="J20" s="49"/>
      <c r="K20" s="49">
        <v>6</v>
      </c>
      <c r="L20" s="49">
        <v>6</v>
      </c>
      <c r="M20" s="49" t="s">
        <v>33</v>
      </c>
      <c r="N20" s="49" t="s">
        <v>141</v>
      </c>
      <c r="O20" s="49" t="s">
        <v>142</v>
      </c>
      <c r="P20" s="49"/>
      <c r="Q20" s="49" t="s">
        <v>143</v>
      </c>
      <c r="R20" s="49"/>
      <c r="S20" s="49"/>
      <c r="T20" s="49"/>
      <c r="U20" s="49">
        <v>1</v>
      </c>
      <c r="V20" s="51"/>
      <c r="W20" s="49"/>
      <c r="X20" s="49"/>
      <c r="Y20" s="49" t="s">
        <v>54</v>
      </c>
      <c r="Z20" s="52">
        <v>2</v>
      </c>
      <c r="AA20" s="53"/>
      <c r="AB20" s="54">
        <f>+Z20+1</f>
        <v>3</v>
      </c>
      <c r="AC20" s="53"/>
      <c r="AD20" s="54">
        <f>+Z20*2</f>
        <v>4</v>
      </c>
      <c r="AE20" s="53"/>
      <c r="AF20" s="49"/>
      <c r="AG20" s="49"/>
      <c r="AH20" s="49">
        <f>76.5+29/2</f>
        <v>91</v>
      </c>
      <c r="AI20" s="49"/>
      <c r="AJ20" s="51"/>
      <c r="AK20" s="55"/>
      <c r="AL20" s="56">
        <v>2259.6999999999998</v>
      </c>
      <c r="AM20" s="56">
        <f>+(76.5+29)/AL20</f>
        <v>4.6687613400008855E-2</v>
      </c>
      <c r="AN20" s="56">
        <f>+AH20/AL20</f>
        <v>4.0270832411382046E-2</v>
      </c>
      <c r="AO20" s="56">
        <f>+(4+21+4)/(2+7+1)</f>
        <v>2.9</v>
      </c>
      <c r="AP20" s="56">
        <f>+(2*67063+11*53635+5*40232+2*26825)/20*AH20</f>
        <v>4454090.55</v>
      </c>
      <c r="AQ20" s="57">
        <v>65866.12</v>
      </c>
      <c r="AR20" s="56" t="s">
        <v>39</v>
      </c>
      <c r="AS20" s="58" t="s">
        <v>144</v>
      </c>
      <c r="AT20" s="59">
        <v>45313</v>
      </c>
      <c r="AU20" s="60"/>
      <c r="AV20" s="63">
        <v>45309</v>
      </c>
      <c r="AW20" s="21"/>
      <c r="AX20" s="21"/>
      <c r="AY20" s="21"/>
      <c r="AZ20" s="21"/>
      <c r="BA20" s="21"/>
      <c r="BB20" s="21"/>
      <c r="BC20" s="21"/>
      <c r="BD20" s="21"/>
      <c r="BE20" s="21"/>
      <c r="BF20" s="21"/>
      <c r="BG20" s="21"/>
      <c r="BH20" s="22"/>
      <c r="BI20" s="22"/>
      <c r="BJ20" s="22"/>
      <c r="BK20" s="22"/>
      <c r="BL20" s="22"/>
      <c r="BM20" s="22"/>
      <c r="BN20" s="22"/>
      <c r="BO20" s="22"/>
      <c r="BP20" s="22"/>
      <c r="BQ20" s="22"/>
      <c r="BR20" s="22"/>
      <c r="BS20" s="22"/>
      <c r="BT20" s="22"/>
      <c r="BU20" s="22"/>
      <c r="BV20" s="22"/>
      <c r="BW20" s="22"/>
      <c r="IQ20" s="22"/>
      <c r="IR20" s="22"/>
      <c r="IS20" s="22"/>
      <c r="IT20" s="22"/>
      <c r="IU20" s="22"/>
      <c r="IV20" s="22"/>
      <c r="IW20" s="22"/>
    </row>
    <row r="21" spans="1:257" s="23" customFormat="1" ht="63.75">
      <c r="A21" s="1"/>
      <c r="B21" s="2">
        <v>20</v>
      </c>
      <c r="C21" s="3" t="s">
        <v>145</v>
      </c>
      <c r="D21" s="46">
        <v>45000</v>
      </c>
      <c r="E21" s="47" t="s">
        <v>42</v>
      </c>
      <c r="F21" s="48">
        <v>32100</v>
      </c>
      <c r="G21" s="48">
        <v>107329</v>
      </c>
      <c r="H21" s="48">
        <v>3655</v>
      </c>
      <c r="I21" s="49"/>
      <c r="J21" s="49"/>
      <c r="K21" s="49">
        <v>79</v>
      </c>
      <c r="L21" s="49">
        <v>17</v>
      </c>
      <c r="M21" s="49" t="s">
        <v>126</v>
      </c>
      <c r="N21" s="49" t="s">
        <v>146</v>
      </c>
      <c r="O21" s="50" t="s">
        <v>147</v>
      </c>
      <c r="P21" s="49"/>
      <c r="Q21" s="49" t="s">
        <v>148</v>
      </c>
      <c r="R21" s="49"/>
      <c r="S21" s="49"/>
      <c r="T21" s="49"/>
      <c r="U21" s="49">
        <v>1</v>
      </c>
      <c r="V21" s="51"/>
      <c r="W21" s="49"/>
      <c r="X21" s="49"/>
      <c r="Y21" s="49" t="s">
        <v>54</v>
      </c>
      <c r="Z21" s="52">
        <v>1</v>
      </c>
      <c r="AA21" s="53"/>
      <c r="AB21" s="54">
        <f>+Z21+1</f>
        <v>2</v>
      </c>
      <c r="AC21" s="53"/>
      <c r="AD21" s="54">
        <f>+Z21*2</f>
        <v>2</v>
      </c>
      <c r="AE21" s="53"/>
      <c r="AF21" s="49"/>
      <c r="AG21" s="49"/>
      <c r="AH21" s="49">
        <f>77.69+5.19/2</f>
        <v>80.284999999999997</v>
      </c>
      <c r="AI21" s="49"/>
      <c r="AJ21" s="51"/>
      <c r="AK21" s="55"/>
      <c r="AL21" s="56">
        <v>182.22900000000001</v>
      </c>
      <c r="AM21" s="56">
        <f>+(77.69+5.19)/AL21</f>
        <v>0.45481235149180421</v>
      </c>
      <c r="AN21" s="56">
        <f>+AH21/AL21</f>
        <v>0.44057202750385499</v>
      </c>
      <c r="AO21" s="56"/>
      <c r="AP21" s="56">
        <f>+(1*67063+8*53635+8*40232+4*26825)/21*AH21</f>
        <v>3537506.200714286</v>
      </c>
      <c r="AQ21" s="57">
        <v>57916.68</v>
      </c>
      <c r="AR21" s="56" t="s">
        <v>149</v>
      </c>
      <c r="AS21" s="58" t="s">
        <v>150</v>
      </c>
      <c r="AT21" s="59">
        <v>45314</v>
      </c>
      <c r="AU21" s="60"/>
      <c r="AV21" s="73">
        <v>45309</v>
      </c>
      <c r="AW21" s="21"/>
      <c r="AX21" s="21"/>
      <c r="AY21" s="21"/>
      <c r="AZ21" s="21"/>
      <c r="BA21" s="21"/>
      <c r="BB21" s="21"/>
      <c r="BC21" s="21"/>
      <c r="BD21" s="21"/>
      <c r="BE21" s="21"/>
      <c r="BF21" s="21"/>
      <c r="BG21" s="21"/>
      <c r="BH21" s="22"/>
      <c r="BI21" s="22"/>
      <c r="BJ21" s="22"/>
      <c r="BK21" s="22"/>
      <c r="BL21" s="22"/>
      <c r="BM21" s="22"/>
      <c r="BN21" s="22"/>
      <c r="BO21" s="22"/>
      <c r="BP21" s="22"/>
      <c r="BQ21" s="22"/>
      <c r="BR21" s="22"/>
      <c r="BS21" s="22"/>
      <c r="BT21" s="22"/>
      <c r="BU21" s="22"/>
      <c r="BV21" s="22"/>
      <c r="BW21" s="22"/>
      <c r="IQ21" s="22"/>
      <c r="IR21" s="22"/>
      <c r="IS21" s="22"/>
      <c r="IT21" s="22"/>
      <c r="IU21" s="22"/>
      <c r="IV21" s="22"/>
      <c r="IW21" s="22"/>
    </row>
    <row r="22" spans="1:257" s="40" customFormat="1" ht="38.25">
      <c r="A22" s="1"/>
      <c r="B22" s="2">
        <v>21</v>
      </c>
      <c r="C22" s="24" t="s">
        <v>151</v>
      </c>
      <c r="D22" s="87"/>
      <c r="E22" s="88" t="s">
        <v>48</v>
      </c>
      <c r="F22" s="27">
        <v>18097</v>
      </c>
      <c r="G22" s="27">
        <v>763</v>
      </c>
      <c r="H22" s="27">
        <v>4542</v>
      </c>
      <c r="I22" s="28"/>
      <c r="J22" s="28"/>
      <c r="K22" s="28">
        <v>118</v>
      </c>
      <c r="L22" s="28">
        <v>12</v>
      </c>
      <c r="M22" s="28" t="s">
        <v>79</v>
      </c>
      <c r="N22" s="28" t="s">
        <v>152</v>
      </c>
      <c r="O22" s="28"/>
      <c r="P22" s="28" t="s">
        <v>153</v>
      </c>
      <c r="Q22" s="28" t="s">
        <v>154</v>
      </c>
      <c r="R22" s="28" t="s">
        <v>154</v>
      </c>
      <c r="S22" s="28" t="s">
        <v>154</v>
      </c>
      <c r="T22" s="28" t="s">
        <v>155</v>
      </c>
      <c r="U22" s="28"/>
      <c r="V22" s="28">
        <f>5+5+5+5+1</f>
        <v>21</v>
      </c>
      <c r="W22" s="28"/>
      <c r="X22" s="28"/>
      <c r="Y22" s="28" t="s">
        <v>156</v>
      </c>
      <c r="Z22" s="30"/>
      <c r="AA22" s="30">
        <f>2*3*4+2*2*4</f>
        <v>40</v>
      </c>
      <c r="AB22" s="30"/>
      <c r="AC22" s="30">
        <f>+AA22+5*4</f>
        <v>60</v>
      </c>
      <c r="AD22" s="30"/>
      <c r="AE22" s="30">
        <f>+AA22*2</f>
        <v>80</v>
      </c>
      <c r="AF22" s="28"/>
      <c r="AG22" s="28"/>
      <c r="AH22" s="28"/>
      <c r="AI22" s="28"/>
      <c r="AJ22" s="28">
        <f>1226.46+356.5/2</f>
        <v>1404.71</v>
      </c>
      <c r="AK22" s="32"/>
      <c r="AL22" s="32">
        <v>558.72</v>
      </c>
      <c r="AM22" s="32">
        <v>0.79</v>
      </c>
      <c r="AN22" s="32">
        <f>+AJ22/AL22</f>
        <v>2.5141573596792668</v>
      </c>
      <c r="AO22" s="32"/>
      <c r="AP22" s="32"/>
      <c r="AQ22" s="33">
        <v>275188.08</v>
      </c>
      <c r="AR22" s="32" t="s">
        <v>39</v>
      </c>
      <c r="AS22" s="34" t="s">
        <v>157</v>
      </c>
      <c r="AT22" s="35">
        <v>45317</v>
      </c>
      <c r="AU22" s="28"/>
      <c r="AV22" s="89"/>
      <c r="AW22" s="38"/>
      <c r="AX22" s="38"/>
      <c r="AY22" s="38"/>
      <c r="AZ22" s="38"/>
      <c r="BA22" s="38"/>
      <c r="BB22" s="38"/>
      <c r="BC22" s="38"/>
      <c r="BD22" s="38"/>
      <c r="BE22" s="38"/>
      <c r="BF22" s="38"/>
      <c r="BG22" s="38"/>
      <c r="BH22" s="39"/>
      <c r="BI22" s="39"/>
      <c r="BJ22" s="39"/>
      <c r="BK22" s="39"/>
      <c r="BL22" s="39"/>
      <c r="BM22" s="39"/>
      <c r="BN22" s="39"/>
      <c r="BO22" s="39"/>
      <c r="BP22" s="39"/>
      <c r="BQ22" s="39"/>
      <c r="BR22" s="39"/>
      <c r="BS22" s="39"/>
      <c r="BT22" s="39"/>
      <c r="BU22" s="39"/>
      <c r="BV22" s="39"/>
      <c r="BW22" s="39"/>
      <c r="IQ22" s="39"/>
      <c r="IR22" s="39"/>
      <c r="IS22" s="39"/>
      <c r="IT22" s="39"/>
      <c r="IU22" s="39"/>
      <c r="IV22" s="39"/>
      <c r="IW22" s="39"/>
    </row>
    <row r="23" spans="1:257" s="40" customFormat="1" ht="51">
      <c r="A23" s="1"/>
      <c r="B23" s="90">
        <v>22</v>
      </c>
      <c r="C23" s="41">
        <v>557011</v>
      </c>
      <c r="D23" s="42">
        <v>45225</v>
      </c>
      <c r="E23" s="43" t="s">
        <v>158</v>
      </c>
      <c r="F23" s="27">
        <v>36488</v>
      </c>
      <c r="G23" s="27">
        <v>135978</v>
      </c>
      <c r="H23" s="27">
        <v>7694</v>
      </c>
      <c r="I23" s="28"/>
      <c r="J23" s="28"/>
      <c r="K23" s="10">
        <v>200</v>
      </c>
      <c r="L23" s="28">
        <v>27</v>
      </c>
      <c r="M23" s="10" t="s">
        <v>79</v>
      </c>
      <c r="N23" s="28" t="s">
        <v>159</v>
      </c>
      <c r="O23" s="28" t="s">
        <v>160</v>
      </c>
      <c r="P23" s="10"/>
      <c r="Q23" s="10" t="s">
        <v>154</v>
      </c>
      <c r="R23" s="10" t="s">
        <v>154</v>
      </c>
      <c r="S23" s="10" t="s">
        <v>154</v>
      </c>
      <c r="T23" s="28" t="s">
        <v>155</v>
      </c>
      <c r="U23" s="28"/>
      <c r="V23" s="28"/>
      <c r="W23" s="28">
        <v>1</v>
      </c>
      <c r="X23" s="28"/>
      <c r="Y23" s="28" t="s">
        <v>161</v>
      </c>
      <c r="Z23" s="30"/>
      <c r="AA23" s="30"/>
      <c r="AB23" s="30"/>
      <c r="AC23" s="30"/>
      <c r="AD23" s="30"/>
      <c r="AE23" s="30"/>
      <c r="AF23" s="28"/>
      <c r="AG23" s="28">
        <v>168.25</v>
      </c>
      <c r="AH23" s="28"/>
      <c r="AI23" s="28"/>
      <c r="AJ23" s="28"/>
      <c r="AK23" s="32">
        <v>28.9</v>
      </c>
      <c r="AL23" s="32">
        <v>168.25</v>
      </c>
      <c r="AM23" s="32">
        <f>+AG23/AL23</f>
        <v>1</v>
      </c>
      <c r="AN23" s="32">
        <f>+AG23/AL23</f>
        <v>1</v>
      </c>
      <c r="AO23" s="32"/>
      <c r="AP23" s="32">
        <v>3422000</v>
      </c>
      <c r="AQ23" s="33">
        <v>55044.6</v>
      </c>
      <c r="AR23" s="44" t="s">
        <v>39</v>
      </c>
      <c r="AS23" s="34" t="s">
        <v>162</v>
      </c>
      <c r="AT23" s="35">
        <v>45322</v>
      </c>
      <c r="AU23" s="36"/>
      <c r="AV23" s="45" t="s">
        <v>163</v>
      </c>
      <c r="AW23" s="38"/>
      <c r="AX23" s="38"/>
      <c r="AY23" s="38"/>
      <c r="AZ23" s="38"/>
      <c r="BA23" s="38"/>
      <c r="BB23" s="38"/>
      <c r="BC23" s="38"/>
      <c r="BD23" s="38"/>
      <c r="BE23" s="38"/>
      <c r="BF23" s="38"/>
      <c r="BG23" s="38"/>
      <c r="BH23" s="39"/>
      <c r="BI23" s="39"/>
      <c r="BJ23" s="39"/>
      <c r="BK23" s="39"/>
      <c r="BL23" s="39"/>
      <c r="BM23" s="39"/>
      <c r="BN23" s="39"/>
      <c r="BO23" s="39"/>
      <c r="BP23" s="39"/>
      <c r="BQ23" s="39"/>
      <c r="BR23" s="39"/>
      <c r="BS23" s="39"/>
      <c r="BT23" s="39"/>
      <c r="BU23" s="39"/>
      <c r="BV23" s="39"/>
      <c r="BW23" s="39"/>
      <c r="IQ23" s="39"/>
      <c r="IR23" s="39"/>
      <c r="IS23" s="39"/>
      <c r="IT23" s="39"/>
      <c r="IU23" s="39"/>
      <c r="IV23" s="39"/>
      <c r="IW23" s="39"/>
    </row>
    <row r="24" spans="1:257" s="40" customFormat="1" ht="38.25">
      <c r="A24" s="1" t="s">
        <v>164</v>
      </c>
      <c r="B24" s="91">
        <v>23</v>
      </c>
      <c r="C24" s="41" t="s">
        <v>165</v>
      </c>
      <c r="D24" s="42">
        <v>45105</v>
      </c>
      <c r="E24" s="43" t="s">
        <v>48</v>
      </c>
      <c r="F24" s="27">
        <v>43115</v>
      </c>
      <c r="G24" s="27">
        <v>1340</v>
      </c>
      <c r="H24" s="27">
        <v>1419</v>
      </c>
      <c r="I24" s="28"/>
      <c r="J24" s="28"/>
      <c r="K24" s="10">
        <v>48</v>
      </c>
      <c r="L24" s="28">
        <v>20</v>
      </c>
      <c r="M24" s="10" t="s">
        <v>79</v>
      </c>
      <c r="N24" s="28" t="s">
        <v>166</v>
      </c>
      <c r="O24" s="28" t="s">
        <v>167</v>
      </c>
      <c r="P24" s="10"/>
      <c r="Q24" s="28" t="s">
        <v>168</v>
      </c>
      <c r="R24" s="28" t="s">
        <v>168</v>
      </c>
      <c r="S24" s="28" t="s">
        <v>168</v>
      </c>
      <c r="T24" s="28" t="s">
        <v>169</v>
      </c>
      <c r="U24" s="28"/>
      <c r="V24" s="28">
        <v>1</v>
      </c>
      <c r="W24" s="28"/>
      <c r="X24" s="28"/>
      <c r="Y24" s="28" t="s">
        <v>170</v>
      </c>
      <c r="Z24" s="30"/>
      <c r="AA24" s="30"/>
      <c r="AB24" s="30"/>
      <c r="AC24" s="30"/>
      <c r="AD24" s="30"/>
      <c r="AE24" s="30"/>
      <c r="AF24" s="28"/>
      <c r="AG24" s="28"/>
      <c r="AH24" s="28"/>
      <c r="AI24" s="28"/>
      <c r="AJ24" s="28"/>
      <c r="AK24" s="32">
        <f>132.4+108.7</f>
        <v>241.10000000000002</v>
      </c>
      <c r="AL24" s="32">
        <v>152.41</v>
      </c>
      <c r="AM24" s="32">
        <f>132.4/AL24</f>
        <v>0.86870940227019233</v>
      </c>
      <c r="AN24" s="32">
        <f>+AK24/AL24</f>
        <v>1.5819171970343155</v>
      </c>
      <c r="AO24" s="32"/>
      <c r="AP24" s="32">
        <v>37045000</v>
      </c>
      <c r="AQ24" s="92">
        <v>517058.5</v>
      </c>
      <c r="AR24" s="44" t="s">
        <v>39</v>
      </c>
      <c r="AS24" s="34" t="s">
        <v>171</v>
      </c>
      <c r="AT24" s="35">
        <v>45336</v>
      </c>
      <c r="AU24" s="36"/>
      <c r="AV24" s="45" t="s">
        <v>172</v>
      </c>
      <c r="AW24" s="38"/>
      <c r="AX24" s="38"/>
      <c r="AY24" s="38"/>
      <c r="AZ24" s="38"/>
      <c r="BA24" s="38"/>
      <c r="BB24" s="38"/>
      <c r="BC24" s="38"/>
      <c r="BD24" s="38"/>
      <c r="BE24" s="38"/>
      <c r="BF24" s="38"/>
      <c r="BG24" s="38"/>
      <c r="BH24" s="39"/>
      <c r="BI24" s="39"/>
      <c r="BJ24" s="39"/>
      <c r="BK24" s="39"/>
      <c r="BL24" s="39"/>
      <c r="BM24" s="39"/>
      <c r="BN24" s="39"/>
      <c r="BO24" s="39"/>
      <c r="BP24" s="39"/>
      <c r="BQ24" s="39"/>
      <c r="BR24" s="39"/>
      <c r="BS24" s="39"/>
      <c r="BT24" s="39"/>
      <c r="BU24" s="39"/>
      <c r="BV24" s="39"/>
      <c r="BW24" s="39"/>
      <c r="IQ24" s="39"/>
      <c r="IR24" s="39"/>
      <c r="IS24" s="39"/>
      <c r="IT24" s="39"/>
      <c r="IU24" s="39"/>
      <c r="IV24" s="39"/>
      <c r="IW24" s="39"/>
    </row>
    <row r="25" spans="1:257" s="40" customFormat="1" ht="25.5">
      <c r="A25" s="1"/>
      <c r="B25" s="91">
        <v>24</v>
      </c>
      <c r="C25" s="24">
        <v>559209</v>
      </c>
      <c r="D25" s="25">
        <v>45301</v>
      </c>
      <c r="E25" s="26" t="s">
        <v>48</v>
      </c>
      <c r="F25" s="27">
        <v>-15916</v>
      </c>
      <c r="G25" s="27">
        <v>142075</v>
      </c>
      <c r="H25" s="27">
        <v>20171</v>
      </c>
      <c r="I25" s="28">
        <v>91</v>
      </c>
      <c r="J25" s="28"/>
      <c r="K25" s="28">
        <v>571</v>
      </c>
      <c r="L25" s="28">
        <v>1</v>
      </c>
      <c r="M25" s="28" t="s">
        <v>173</v>
      </c>
      <c r="N25" s="28" t="s">
        <v>174</v>
      </c>
      <c r="O25" s="28" t="s">
        <v>175</v>
      </c>
      <c r="P25" s="28"/>
      <c r="Q25" s="28" t="s">
        <v>176</v>
      </c>
      <c r="R25" s="28" t="s">
        <v>176</v>
      </c>
      <c r="S25" s="28" t="s">
        <v>176</v>
      </c>
      <c r="T25" s="28" t="s">
        <v>177</v>
      </c>
      <c r="U25" s="28"/>
      <c r="V25" s="29">
        <v>1</v>
      </c>
      <c r="W25" s="28"/>
      <c r="X25" s="28"/>
      <c r="Y25" s="28" t="s">
        <v>54</v>
      </c>
      <c r="Z25" s="30"/>
      <c r="AA25" s="31">
        <v>2</v>
      </c>
      <c r="AB25" s="30"/>
      <c r="AC25" s="31">
        <f>+AA25+1</f>
        <v>3</v>
      </c>
      <c r="AD25" s="30"/>
      <c r="AE25" s="31">
        <f>+AA25*2</f>
        <v>4</v>
      </c>
      <c r="AF25" s="28"/>
      <c r="AG25" s="28"/>
      <c r="AH25" s="28"/>
      <c r="AI25" s="28"/>
      <c r="AJ25" s="28">
        <f>53.37+5.4/2</f>
        <v>56.07</v>
      </c>
      <c r="AK25" s="32"/>
      <c r="AL25" s="32">
        <v>347</v>
      </c>
      <c r="AM25" s="32">
        <f>+(53.37+5.4)/AL25</f>
        <v>0.16936599423631124</v>
      </c>
      <c r="AN25" s="32">
        <f>+AJ25/AL25</f>
        <v>0.16158501440922191</v>
      </c>
      <c r="AO25" s="32">
        <f>+(4+12+8+5)/(2+4+2+1)</f>
        <v>3.2222222222222223</v>
      </c>
      <c r="AP25" s="32">
        <f>+(3*67063+4*53635+5*40232+8*26825)/20*AJ25</f>
        <v>2331079.4114999999</v>
      </c>
      <c r="AQ25" s="92">
        <v>12983.56</v>
      </c>
      <c r="AR25" s="32" t="s">
        <v>39</v>
      </c>
      <c r="AS25" s="34" t="s">
        <v>178</v>
      </c>
      <c r="AT25" s="35">
        <v>45336</v>
      </c>
      <c r="AU25" s="36"/>
      <c r="AV25" s="37">
        <v>45303</v>
      </c>
      <c r="AW25" s="38"/>
      <c r="AX25" s="38"/>
      <c r="AY25" s="38"/>
      <c r="AZ25" s="38"/>
      <c r="BA25" s="38"/>
      <c r="BB25" s="38"/>
      <c r="BC25" s="38"/>
      <c r="BD25" s="38"/>
      <c r="BE25" s="38"/>
      <c r="BF25" s="38"/>
      <c r="BG25" s="38"/>
      <c r="BH25" s="39"/>
      <c r="BI25" s="39"/>
      <c r="BJ25" s="39"/>
      <c r="BK25" s="39"/>
      <c r="BL25" s="39"/>
      <c r="BM25" s="39"/>
      <c r="BN25" s="39"/>
      <c r="BO25" s="39"/>
      <c r="BP25" s="39"/>
      <c r="BQ25" s="39"/>
      <c r="BR25" s="39"/>
      <c r="BS25" s="39"/>
      <c r="BT25" s="39"/>
      <c r="BU25" s="39"/>
      <c r="BV25" s="39"/>
      <c r="BW25" s="39"/>
      <c r="IQ25" s="39"/>
      <c r="IR25" s="39"/>
      <c r="IS25" s="39"/>
      <c r="IT25" s="39"/>
      <c r="IU25" s="39"/>
      <c r="IV25" s="39"/>
      <c r="IW25" s="39"/>
    </row>
    <row r="26" spans="1:257" s="40" customFormat="1" ht="63.75">
      <c r="A26" s="1"/>
      <c r="B26" s="91">
        <v>25</v>
      </c>
      <c r="C26" s="24" t="s">
        <v>179</v>
      </c>
      <c r="D26" s="25">
        <v>45252</v>
      </c>
      <c r="E26" s="26" t="s">
        <v>59</v>
      </c>
      <c r="F26" s="27">
        <v>59658</v>
      </c>
      <c r="G26" s="27">
        <v>50335</v>
      </c>
      <c r="H26" s="27">
        <v>20142</v>
      </c>
      <c r="I26" s="28">
        <v>49</v>
      </c>
      <c r="J26" s="28"/>
      <c r="K26" s="28">
        <v>382</v>
      </c>
      <c r="L26" s="28">
        <v>1</v>
      </c>
      <c r="M26" s="28" t="s">
        <v>43</v>
      </c>
      <c r="N26" s="28" t="s">
        <v>180</v>
      </c>
      <c r="O26" s="28" t="s">
        <v>181</v>
      </c>
      <c r="P26" s="28"/>
      <c r="Q26" s="28" t="s">
        <v>182</v>
      </c>
      <c r="R26" s="28" t="s">
        <v>182</v>
      </c>
      <c r="S26" s="28" t="s">
        <v>182</v>
      </c>
      <c r="T26" s="28" t="s">
        <v>183</v>
      </c>
      <c r="U26" s="28"/>
      <c r="V26" s="29">
        <v>1</v>
      </c>
      <c r="W26" s="28"/>
      <c r="X26" s="28"/>
      <c r="Y26" s="28" t="s">
        <v>133</v>
      </c>
      <c r="Z26" s="30"/>
      <c r="AA26" s="31"/>
      <c r="AB26" s="30"/>
      <c r="AC26" s="31"/>
      <c r="AD26" s="30"/>
      <c r="AE26" s="31"/>
      <c r="AF26" s="28"/>
      <c r="AG26" s="28">
        <v>306.86</v>
      </c>
      <c r="AH26" s="28"/>
      <c r="AI26" s="28">
        <v>306.86</v>
      </c>
      <c r="AJ26" s="28"/>
      <c r="AK26" s="32">
        <v>29.59</v>
      </c>
      <c r="AL26" s="32">
        <v>3745.45</v>
      </c>
      <c r="AM26" s="32">
        <f>+AI26/AL26</f>
        <v>8.1928740204781816E-2</v>
      </c>
      <c r="AN26" s="32">
        <f>+(AG26+AI26)/AL26</f>
        <v>0.16385748040956363</v>
      </c>
      <c r="AO26" s="32">
        <f>+(21+12+6)/(7+3+1)</f>
        <v>3.5454545454545454</v>
      </c>
      <c r="AP26" s="32">
        <f>+AK26*2</f>
        <v>59.18</v>
      </c>
      <c r="AQ26" s="92">
        <v>218819.45</v>
      </c>
      <c r="AR26" s="32" t="s">
        <v>39</v>
      </c>
      <c r="AS26" s="34" t="s">
        <v>184</v>
      </c>
      <c r="AT26" s="35">
        <v>45336</v>
      </c>
      <c r="AU26" s="36"/>
      <c r="AV26" s="37" t="s">
        <v>185</v>
      </c>
      <c r="AW26" s="38"/>
      <c r="AX26" s="38"/>
      <c r="AY26" s="38"/>
      <c r="AZ26" s="38"/>
      <c r="BA26" s="38"/>
      <c r="BB26" s="38"/>
      <c r="BC26" s="38"/>
      <c r="BD26" s="38"/>
      <c r="BE26" s="38"/>
      <c r="BF26" s="38"/>
      <c r="BG26" s="38"/>
      <c r="BH26" s="39"/>
      <c r="BI26" s="39"/>
      <c r="BJ26" s="39"/>
      <c r="BK26" s="39"/>
      <c r="BL26" s="39"/>
      <c r="BM26" s="39"/>
      <c r="BN26" s="39"/>
      <c r="BO26" s="39"/>
      <c r="BP26" s="39"/>
      <c r="BQ26" s="39"/>
      <c r="BR26" s="39"/>
      <c r="BS26" s="39"/>
      <c r="BT26" s="39"/>
      <c r="BU26" s="39"/>
      <c r="BV26" s="39"/>
      <c r="BW26" s="39"/>
      <c r="IQ26" s="39"/>
      <c r="IR26" s="39"/>
      <c r="IS26" s="39"/>
      <c r="IT26" s="39"/>
      <c r="IU26" s="39"/>
      <c r="IV26" s="39"/>
      <c r="IW26" s="39"/>
    </row>
    <row r="27" spans="1:257" s="40" customFormat="1" ht="76.5">
      <c r="A27" s="1"/>
      <c r="B27" s="93">
        <v>26</v>
      </c>
      <c r="C27" s="24">
        <v>558324</v>
      </c>
      <c r="D27" s="25">
        <v>45271</v>
      </c>
      <c r="E27" s="26" t="s">
        <v>48</v>
      </c>
      <c r="F27" s="27">
        <v>62168</v>
      </c>
      <c r="G27" s="27">
        <v>169844</v>
      </c>
      <c r="H27" s="27">
        <v>34168</v>
      </c>
      <c r="I27" s="28">
        <v>310</v>
      </c>
      <c r="J27" s="28"/>
      <c r="K27" s="28">
        <v>3</v>
      </c>
      <c r="L27" s="28">
        <v>49</v>
      </c>
      <c r="M27" s="28" t="s">
        <v>33</v>
      </c>
      <c r="N27" s="28" t="s">
        <v>186</v>
      </c>
      <c r="O27" s="28" t="s">
        <v>187</v>
      </c>
      <c r="P27" s="28"/>
      <c r="Q27" s="28" t="s">
        <v>188</v>
      </c>
      <c r="R27" s="28" t="s">
        <v>188</v>
      </c>
      <c r="S27" s="28" t="s">
        <v>188</v>
      </c>
      <c r="T27" s="28" t="s">
        <v>189</v>
      </c>
      <c r="U27" s="28"/>
      <c r="V27" s="29">
        <v>1</v>
      </c>
      <c r="W27" s="28"/>
      <c r="X27" s="28"/>
      <c r="Y27" s="28" t="s">
        <v>54</v>
      </c>
      <c r="Z27" s="30"/>
      <c r="AA27" s="31">
        <f>2+1</f>
        <v>3</v>
      </c>
      <c r="AB27" s="30"/>
      <c r="AC27" s="31">
        <f>+AA27+1+1</f>
        <v>5</v>
      </c>
      <c r="AD27" s="30"/>
      <c r="AE27" s="31">
        <f>+AA27*2</f>
        <v>6</v>
      </c>
      <c r="AF27" s="28"/>
      <c r="AG27" s="28"/>
      <c r="AH27" s="28"/>
      <c r="AI27" s="28"/>
      <c r="AJ27" s="28">
        <f>228.98+101.56/2</f>
        <v>279.76</v>
      </c>
      <c r="AK27" s="32"/>
      <c r="AL27" s="32">
        <v>967.5</v>
      </c>
      <c r="AM27" s="32">
        <f>+(26.53+154.96+60.78)/AL27</f>
        <v>0.25040826873385014</v>
      </c>
      <c r="AN27" s="32">
        <f>+AJ27/AL27</f>
        <v>0.28915762273901807</v>
      </c>
      <c r="AO27" s="32"/>
      <c r="AP27" s="32">
        <f>+(7*67063+14*53635+2*40232)/23*AJ27</f>
        <v>15822191.704347827</v>
      </c>
      <c r="AQ27" s="92">
        <v>57894.57</v>
      </c>
      <c r="AR27" s="32" t="s">
        <v>39</v>
      </c>
      <c r="AS27" s="34" t="s">
        <v>190</v>
      </c>
      <c r="AT27" s="35">
        <v>45336</v>
      </c>
      <c r="AU27" s="36"/>
      <c r="AV27" s="37" t="s">
        <v>191</v>
      </c>
      <c r="AW27" s="38"/>
      <c r="AX27" s="38"/>
      <c r="AY27" s="38"/>
      <c r="AZ27" s="38"/>
      <c r="BA27" s="38"/>
      <c r="BB27" s="38"/>
      <c r="BC27" s="38"/>
      <c r="BD27" s="38"/>
      <c r="BE27" s="38"/>
      <c r="BF27" s="38"/>
      <c r="BG27" s="38"/>
      <c r="BH27" s="39"/>
      <c r="BI27" s="39"/>
      <c r="BJ27" s="39"/>
      <c r="BK27" s="39"/>
      <c r="BL27" s="39"/>
      <c r="BM27" s="39"/>
      <c r="BN27" s="39"/>
      <c r="BO27" s="39"/>
      <c r="BP27" s="39"/>
      <c r="BQ27" s="39"/>
      <c r="BR27" s="39"/>
      <c r="BS27" s="39"/>
      <c r="BT27" s="39"/>
      <c r="BU27" s="39"/>
      <c r="BV27" s="39"/>
      <c r="BW27" s="39"/>
      <c r="IQ27" s="39"/>
      <c r="IR27" s="39"/>
      <c r="IS27" s="39"/>
      <c r="IT27" s="39"/>
      <c r="IU27" s="39"/>
      <c r="IV27" s="39"/>
      <c r="IW27" s="39"/>
    </row>
    <row r="28" spans="1:257" s="23" customFormat="1" ht="38.25">
      <c r="A28" s="1"/>
      <c r="B28" s="95">
        <v>27</v>
      </c>
      <c r="C28" s="3" t="s">
        <v>196</v>
      </c>
      <c r="D28" s="46">
        <v>45079</v>
      </c>
      <c r="E28" s="47" t="s">
        <v>59</v>
      </c>
      <c r="F28" s="48">
        <v>1563</v>
      </c>
      <c r="G28" s="48">
        <v>403</v>
      </c>
      <c r="H28" s="48">
        <v>5567</v>
      </c>
      <c r="I28" s="49"/>
      <c r="J28" s="49"/>
      <c r="K28" s="49">
        <v>182</v>
      </c>
      <c r="L28" s="49">
        <v>19</v>
      </c>
      <c r="M28" s="49" t="s">
        <v>126</v>
      </c>
      <c r="N28" s="49" t="s">
        <v>193</v>
      </c>
      <c r="O28" s="50" t="s">
        <v>197</v>
      </c>
      <c r="P28" s="49" t="s">
        <v>194</v>
      </c>
      <c r="Q28" s="49" t="s">
        <v>195</v>
      </c>
      <c r="R28" s="49" t="s">
        <v>195</v>
      </c>
      <c r="S28" s="49" t="s">
        <v>195</v>
      </c>
      <c r="T28" s="49" t="s">
        <v>194</v>
      </c>
      <c r="U28" s="49">
        <f>4+1</f>
        <v>5</v>
      </c>
      <c r="V28" s="51">
        <v>2</v>
      </c>
      <c r="W28" s="49"/>
      <c r="X28" s="49"/>
      <c r="Y28" s="49" t="s">
        <v>38</v>
      </c>
      <c r="Z28" s="52">
        <f>2*4*2</f>
        <v>16</v>
      </c>
      <c r="AA28" s="53"/>
      <c r="AB28" s="54">
        <f>+Z28+8*1</f>
        <v>24</v>
      </c>
      <c r="AC28" s="53">
        <v>2</v>
      </c>
      <c r="AD28" s="54">
        <f>+Z28*2</f>
        <v>32</v>
      </c>
      <c r="AE28" s="53">
        <f>+AA28*2</f>
        <v>0</v>
      </c>
      <c r="AF28" s="49">
        <f>450.43+211.23/2</f>
        <v>556.04499999999996</v>
      </c>
      <c r="AG28" s="49"/>
      <c r="AH28" s="49"/>
      <c r="AI28" s="49"/>
      <c r="AJ28" s="51">
        <v>156.22</v>
      </c>
      <c r="AK28" s="55"/>
      <c r="AL28" s="56">
        <v>399.3</v>
      </c>
      <c r="AM28" s="56">
        <f>+(105.35+56.98+36.45+28.8+8.25)/AL28</f>
        <v>0.59060856498873027</v>
      </c>
      <c r="AN28" s="56">
        <f>+(AF28+AJ28)/AL28</f>
        <v>1.7837841222138742</v>
      </c>
      <c r="AO28" s="56"/>
      <c r="AP28" s="56">
        <f>+AJ28*2</f>
        <v>312.44</v>
      </c>
      <c r="AQ28" s="94">
        <v>129799.83</v>
      </c>
      <c r="AR28" s="56" t="s">
        <v>198</v>
      </c>
      <c r="AS28" s="58" t="s">
        <v>199</v>
      </c>
      <c r="AT28" s="59">
        <v>45336</v>
      </c>
      <c r="AU28" s="60"/>
      <c r="AV28" s="58" t="s">
        <v>200</v>
      </c>
      <c r="AW28" s="21"/>
      <c r="AX28" s="21"/>
      <c r="AY28" s="21"/>
      <c r="AZ28" s="21"/>
      <c r="BA28" s="21"/>
      <c r="BB28" s="21"/>
      <c r="BC28" s="21"/>
      <c r="BD28" s="21"/>
      <c r="BE28" s="21"/>
      <c r="BF28" s="21"/>
      <c r="BG28" s="21"/>
      <c r="BH28" s="22"/>
      <c r="BI28" s="22"/>
      <c r="BJ28" s="22"/>
      <c r="BK28" s="22"/>
      <c r="BL28" s="22"/>
      <c r="BM28" s="22"/>
      <c r="BN28" s="22"/>
      <c r="BO28" s="22"/>
      <c r="BP28" s="22"/>
      <c r="BQ28" s="22"/>
      <c r="BR28" s="22"/>
      <c r="BS28" s="22"/>
      <c r="BT28" s="22"/>
      <c r="BU28" s="22"/>
      <c r="BV28" s="22"/>
      <c r="BW28" s="22"/>
      <c r="IQ28" s="22"/>
      <c r="IR28" s="22"/>
      <c r="IS28" s="22"/>
      <c r="IT28" s="22"/>
      <c r="IU28" s="22"/>
      <c r="IV28" s="22"/>
      <c r="IW28" s="22"/>
    </row>
    <row r="29" spans="1:257" s="40" customFormat="1" ht="76.5">
      <c r="A29" s="1"/>
      <c r="B29" s="93">
        <v>28</v>
      </c>
      <c r="C29" s="24">
        <v>559794</v>
      </c>
      <c r="D29" s="25">
        <v>45321</v>
      </c>
      <c r="E29" s="26" t="s">
        <v>42</v>
      </c>
      <c r="F29" s="27">
        <v>1</v>
      </c>
      <c r="G29" s="27">
        <v>142185</v>
      </c>
      <c r="H29" s="27">
        <v>32181</v>
      </c>
      <c r="I29" s="28">
        <v>225</v>
      </c>
      <c r="J29" s="28"/>
      <c r="K29" s="28">
        <v>6</v>
      </c>
      <c r="L29" s="28">
        <v>1</v>
      </c>
      <c r="M29" s="28" t="s">
        <v>33</v>
      </c>
      <c r="N29" s="28" t="s">
        <v>107</v>
      </c>
      <c r="O29" s="28" t="s">
        <v>201</v>
      </c>
      <c r="P29" s="28"/>
      <c r="Q29" s="28" t="s">
        <v>154</v>
      </c>
      <c r="R29" s="28"/>
      <c r="S29" s="28"/>
      <c r="T29" s="28"/>
      <c r="U29" s="28">
        <v>2</v>
      </c>
      <c r="V29" s="29"/>
      <c r="W29" s="28"/>
      <c r="X29" s="28"/>
      <c r="Y29" s="28" t="s">
        <v>38</v>
      </c>
      <c r="Z29" s="30">
        <f>1+1+1</f>
        <v>3</v>
      </c>
      <c r="AA29" s="31"/>
      <c r="AB29" s="30">
        <f>+Z29+1</f>
        <v>4</v>
      </c>
      <c r="AC29" s="31"/>
      <c r="AD29" s="30">
        <f>+Z29*2</f>
        <v>6</v>
      </c>
      <c r="AE29" s="31"/>
      <c r="AF29" s="28"/>
      <c r="AG29" s="28"/>
      <c r="AH29" s="28">
        <f>84.4+31.7/2</f>
        <v>100.25</v>
      </c>
      <c r="AI29" s="28"/>
      <c r="AJ29" s="28"/>
      <c r="AK29" s="32"/>
      <c r="AL29" s="32">
        <v>1755.1</v>
      </c>
      <c r="AM29" s="32">
        <f>+(84.4+31.7)/AL29</f>
        <v>6.6150076918694095E-2</v>
      </c>
      <c r="AN29" s="32">
        <f>+AH29/AL29</f>
        <v>5.7119252464247053E-2</v>
      </c>
      <c r="AO29" s="32"/>
      <c r="AP29" s="32">
        <f>+(7*67063+4*53635+8*40232+5*26825)/24*AH29</f>
        <v>4761716.270833333</v>
      </c>
      <c r="AQ29" s="92">
        <v>72563.149999999994</v>
      </c>
      <c r="AR29" s="32" t="s">
        <v>39</v>
      </c>
      <c r="AS29" s="34" t="s">
        <v>202</v>
      </c>
      <c r="AT29" s="35">
        <v>45336</v>
      </c>
      <c r="AU29" s="36"/>
      <c r="AV29" s="37">
        <v>45323</v>
      </c>
      <c r="AW29" s="38"/>
      <c r="AX29" s="38"/>
      <c r="AY29" s="38"/>
      <c r="AZ29" s="38"/>
      <c r="BA29" s="38"/>
      <c r="BB29" s="38"/>
      <c r="BC29" s="38"/>
      <c r="BD29" s="38"/>
      <c r="BE29" s="38"/>
      <c r="BF29" s="38"/>
      <c r="BG29" s="38"/>
      <c r="BH29" s="39"/>
      <c r="BI29" s="39"/>
      <c r="BJ29" s="39"/>
      <c r="BK29" s="39"/>
      <c r="BL29" s="39"/>
      <c r="BM29" s="39"/>
      <c r="BN29" s="39"/>
      <c r="BO29" s="39"/>
      <c r="BP29" s="39"/>
      <c r="BQ29" s="39"/>
      <c r="BR29" s="39"/>
      <c r="BS29" s="39"/>
      <c r="BT29" s="39"/>
      <c r="BU29" s="39"/>
      <c r="BV29" s="39"/>
      <c r="BW29" s="39"/>
      <c r="IQ29" s="39"/>
      <c r="IR29" s="39"/>
      <c r="IS29" s="39"/>
      <c r="IT29" s="39"/>
      <c r="IU29" s="39"/>
      <c r="IV29" s="39"/>
      <c r="IW29" s="39"/>
    </row>
    <row r="30" spans="1:257" s="40" customFormat="1" ht="51">
      <c r="A30" s="1"/>
      <c r="B30" s="93">
        <v>29</v>
      </c>
      <c r="C30" s="24">
        <v>559898</v>
      </c>
      <c r="D30" s="25">
        <v>45323</v>
      </c>
      <c r="E30" s="26" t="s">
        <v>42</v>
      </c>
      <c r="F30" s="27">
        <v>58550</v>
      </c>
      <c r="G30" s="27">
        <v>163023</v>
      </c>
      <c r="H30" s="27">
        <v>33317</v>
      </c>
      <c r="I30" s="28">
        <v>341</v>
      </c>
      <c r="J30" s="28"/>
      <c r="K30" s="28">
        <v>1</v>
      </c>
      <c r="L30" s="28">
        <v>1</v>
      </c>
      <c r="M30" s="28" t="s">
        <v>33</v>
      </c>
      <c r="N30" s="28" t="s">
        <v>203</v>
      </c>
      <c r="O30" s="28" t="s">
        <v>204</v>
      </c>
      <c r="P30" s="28"/>
      <c r="Q30" s="28" t="s">
        <v>154</v>
      </c>
      <c r="R30" s="28"/>
      <c r="S30" s="28"/>
      <c r="T30" s="28"/>
      <c r="U30" s="28"/>
      <c r="V30" s="29">
        <v>2</v>
      </c>
      <c r="W30" s="28"/>
      <c r="X30" s="28"/>
      <c r="Y30" s="28" t="s">
        <v>38</v>
      </c>
      <c r="Z30" s="30"/>
      <c r="AA30" s="31">
        <f>1+1</f>
        <v>2</v>
      </c>
      <c r="AB30" s="30"/>
      <c r="AC30" s="31">
        <f>+AA30+1+1</f>
        <v>4</v>
      </c>
      <c r="AD30" s="30"/>
      <c r="AE30" s="31">
        <f>+AA30*2</f>
        <v>4</v>
      </c>
      <c r="AF30" s="28">
        <f>298.5+39/2</f>
        <v>318</v>
      </c>
      <c r="AG30" s="28"/>
      <c r="AH30" s="28">
        <f>66.1+4/2</f>
        <v>68.099999999999994</v>
      </c>
      <c r="AI30" s="28"/>
      <c r="AJ30" s="28"/>
      <c r="AK30" s="32"/>
      <c r="AL30" s="32">
        <v>1587.55</v>
      </c>
      <c r="AM30" s="32">
        <f>+(298.5+39+66.1+4)/AL30</f>
        <v>0.25674781896633181</v>
      </c>
      <c r="AN30" s="32">
        <f>+(AF30+AH30)/AL30</f>
        <v>0.24320493842713617</v>
      </c>
      <c r="AO30" s="32">
        <f>+(24+4)/(8+1)</f>
        <v>3.1111111111111112</v>
      </c>
      <c r="AP30" s="32">
        <f>+(10*53635+8*40232+2*26825)/20*AH30</f>
        <v>3104869.68</v>
      </c>
      <c r="AQ30" s="92">
        <v>99901.440000000002</v>
      </c>
      <c r="AR30" s="32" t="s">
        <v>39</v>
      </c>
      <c r="AS30" s="34" t="s">
        <v>205</v>
      </c>
      <c r="AT30" s="35">
        <v>45336</v>
      </c>
      <c r="AU30" s="36"/>
      <c r="AV30" s="37">
        <v>45323</v>
      </c>
      <c r="AW30" s="38"/>
      <c r="AX30" s="38"/>
      <c r="AY30" s="38"/>
      <c r="AZ30" s="38"/>
      <c r="BA30" s="38"/>
      <c r="BB30" s="38"/>
      <c r="BC30" s="38"/>
      <c r="BD30" s="38"/>
      <c r="BE30" s="38"/>
      <c r="BF30" s="38"/>
      <c r="BG30" s="38"/>
      <c r="BH30" s="39"/>
      <c r="BI30" s="39"/>
      <c r="BJ30" s="39"/>
      <c r="BK30" s="39"/>
      <c r="BL30" s="39"/>
      <c r="BM30" s="39"/>
      <c r="BN30" s="39"/>
      <c r="BO30" s="39"/>
      <c r="BP30" s="39"/>
      <c r="BQ30" s="39"/>
      <c r="BR30" s="39"/>
      <c r="BS30" s="39"/>
      <c r="BT30" s="39"/>
      <c r="BU30" s="39"/>
      <c r="BV30" s="39"/>
      <c r="BW30" s="39"/>
      <c r="IQ30" s="39"/>
      <c r="IR30" s="39"/>
      <c r="IS30" s="39"/>
      <c r="IT30" s="39"/>
      <c r="IU30" s="39"/>
      <c r="IV30" s="39"/>
      <c r="IW30" s="39"/>
    </row>
    <row r="31" spans="1:257" s="107" customFormat="1" ht="63.75">
      <c r="A31" s="1" t="s">
        <v>206</v>
      </c>
      <c r="B31" s="74">
        <v>30</v>
      </c>
      <c r="C31" s="96" t="s">
        <v>207</v>
      </c>
      <c r="D31" s="97">
        <v>45274</v>
      </c>
      <c r="E31" s="49" t="s">
        <v>42</v>
      </c>
      <c r="F31" s="98">
        <v>44238</v>
      </c>
      <c r="G31" s="98">
        <v>1137</v>
      </c>
      <c r="H31" s="98">
        <v>4790</v>
      </c>
      <c r="I31" s="66"/>
      <c r="J31" s="66"/>
      <c r="K31" s="66">
        <v>67</v>
      </c>
      <c r="L31" s="66">
        <v>13</v>
      </c>
      <c r="M31" s="66" t="s">
        <v>43</v>
      </c>
      <c r="N31" s="66" t="s">
        <v>208</v>
      </c>
      <c r="O31" s="99" t="s">
        <v>209</v>
      </c>
      <c r="P31" s="66"/>
      <c r="Q31" s="66" t="s">
        <v>210</v>
      </c>
      <c r="R31" s="66"/>
      <c r="S31" s="66"/>
      <c r="T31" s="66" t="s">
        <v>211</v>
      </c>
      <c r="U31" s="66">
        <v>1</v>
      </c>
      <c r="V31" s="66"/>
      <c r="W31" s="66"/>
      <c r="X31" s="66"/>
      <c r="Y31" s="66" t="s">
        <v>54</v>
      </c>
      <c r="Z31" s="54">
        <v>2</v>
      </c>
      <c r="AA31" s="54"/>
      <c r="AB31" s="54">
        <f>+Z31+1</f>
        <v>3</v>
      </c>
      <c r="AC31" s="54"/>
      <c r="AD31" s="54">
        <f>+Z31*2</f>
        <v>4</v>
      </c>
      <c r="AE31" s="54"/>
      <c r="AF31" s="66"/>
      <c r="AG31" s="66"/>
      <c r="AH31" s="66">
        <v>126.31</v>
      </c>
      <c r="AI31" s="66"/>
      <c r="AJ31" s="66"/>
      <c r="AK31" s="100"/>
      <c r="AL31" s="100">
        <v>209.63</v>
      </c>
      <c r="AM31" s="100">
        <f>+AH31/AL31</f>
        <v>0.60253780470352525</v>
      </c>
      <c r="AN31" s="100">
        <f>+AM31</f>
        <v>0.60253780470352525</v>
      </c>
      <c r="AO31" s="100"/>
      <c r="AP31" s="100">
        <f>+(6*118292+9*94607+70965*3+2*47317)/20*AH31</f>
        <v>11802052.732000001</v>
      </c>
      <c r="AQ31" s="101">
        <v>171248.72</v>
      </c>
      <c r="AR31" s="100" t="s">
        <v>149</v>
      </c>
      <c r="AS31" s="102" t="s">
        <v>212</v>
      </c>
      <c r="AT31" s="103">
        <v>45352</v>
      </c>
      <c r="AU31" s="104"/>
      <c r="AV31" s="102" t="s">
        <v>213</v>
      </c>
      <c r="AW31" s="105"/>
      <c r="AX31" s="105"/>
      <c r="AY31" s="105"/>
      <c r="AZ31" s="105"/>
      <c r="BA31" s="105"/>
      <c r="BB31" s="105"/>
      <c r="BC31" s="105"/>
      <c r="BD31" s="105"/>
      <c r="BE31" s="105"/>
      <c r="BF31" s="105"/>
      <c r="BG31" s="105"/>
      <c r="BH31" s="106"/>
      <c r="BI31" s="106"/>
      <c r="BJ31" s="106"/>
      <c r="BK31" s="106"/>
      <c r="BL31" s="106"/>
      <c r="BM31" s="106"/>
      <c r="BN31" s="106"/>
      <c r="BO31" s="106"/>
      <c r="BP31" s="106"/>
      <c r="BQ31" s="106"/>
      <c r="BR31" s="106"/>
      <c r="BS31" s="106"/>
      <c r="BT31" s="106"/>
      <c r="BU31" s="106"/>
      <c r="BV31" s="106"/>
      <c r="BW31" s="106"/>
      <c r="IQ31" s="106"/>
      <c r="IR31" s="106"/>
      <c r="IS31" s="106"/>
      <c r="IT31" s="106"/>
      <c r="IU31" s="106"/>
      <c r="IV31" s="106"/>
      <c r="IW31" s="106"/>
    </row>
    <row r="32" spans="1:257" s="40" customFormat="1" ht="51">
      <c r="A32" s="1"/>
      <c r="B32" s="74">
        <v>31</v>
      </c>
      <c r="C32" s="41" t="s">
        <v>214</v>
      </c>
      <c r="D32" s="42">
        <v>45229</v>
      </c>
      <c r="E32" s="43" t="s">
        <v>42</v>
      </c>
      <c r="F32" s="27">
        <v>19902</v>
      </c>
      <c r="G32" s="27">
        <v>109588</v>
      </c>
      <c r="H32" s="27">
        <v>3531</v>
      </c>
      <c r="I32" s="28"/>
      <c r="J32" s="28"/>
      <c r="K32" s="10">
        <v>579</v>
      </c>
      <c r="L32" s="28">
        <v>22</v>
      </c>
      <c r="M32" s="10" t="s">
        <v>43</v>
      </c>
      <c r="N32" s="49" t="s">
        <v>215</v>
      </c>
      <c r="O32" s="28" t="s">
        <v>216</v>
      </c>
      <c r="P32" s="28" t="s">
        <v>217</v>
      </c>
      <c r="Q32" s="10" t="s">
        <v>148</v>
      </c>
      <c r="R32" s="10"/>
      <c r="S32" s="10"/>
      <c r="T32" s="28"/>
      <c r="U32" s="28">
        <v>1</v>
      </c>
      <c r="V32" s="28"/>
      <c r="W32" s="28"/>
      <c r="X32" s="28"/>
      <c r="Y32" s="28" t="s">
        <v>54</v>
      </c>
      <c r="Z32" s="30">
        <v>2</v>
      </c>
      <c r="AA32" s="30"/>
      <c r="AB32" s="30">
        <f>+Z32+1</f>
        <v>3</v>
      </c>
      <c r="AC32" s="30"/>
      <c r="AD32" s="30">
        <f>+Z32*2</f>
        <v>4</v>
      </c>
      <c r="AE32" s="30"/>
      <c r="AF32" s="28"/>
      <c r="AG32" s="28"/>
      <c r="AH32" s="28">
        <f>85.9+17.2/2</f>
        <v>94.5</v>
      </c>
      <c r="AI32" s="28"/>
      <c r="AJ32" s="28"/>
      <c r="AK32" s="32"/>
      <c r="AL32" s="32">
        <v>190</v>
      </c>
      <c r="AM32" s="32">
        <f>+(85.9+17.2)/AL32</f>
        <v>0.54263157894736846</v>
      </c>
      <c r="AN32" s="32">
        <f>+AH32/AL32</f>
        <v>0.49736842105263157</v>
      </c>
      <c r="AO32" s="32"/>
      <c r="AP32" s="32">
        <f>+(8*118292+94607*4+70965*6+1*47317)/19*AH32</f>
        <v>8942042.6052631587</v>
      </c>
      <c r="AQ32" s="108">
        <v>132616.78</v>
      </c>
      <c r="AR32" s="44" t="s">
        <v>55</v>
      </c>
      <c r="AS32" s="34" t="s">
        <v>218</v>
      </c>
      <c r="AT32" s="35">
        <v>45352</v>
      </c>
      <c r="AU32" s="36"/>
      <c r="AV32" s="45">
        <v>45341</v>
      </c>
      <c r="AW32" s="38"/>
      <c r="AX32" s="38"/>
      <c r="AY32" s="38"/>
      <c r="AZ32" s="38"/>
      <c r="BA32" s="38"/>
      <c r="BB32" s="38"/>
      <c r="BC32" s="38"/>
      <c r="BD32" s="38"/>
      <c r="BE32" s="38"/>
      <c r="BF32" s="38"/>
      <c r="BG32" s="38"/>
      <c r="BH32" s="39"/>
      <c r="BI32" s="39"/>
      <c r="BJ32" s="39"/>
      <c r="BK32" s="39"/>
      <c r="BL32" s="39"/>
      <c r="BM32" s="39"/>
      <c r="BN32" s="39"/>
      <c r="BO32" s="39"/>
      <c r="BP32" s="39"/>
      <c r="BQ32" s="39"/>
      <c r="BR32" s="39"/>
      <c r="BS32" s="39"/>
      <c r="BT32" s="39"/>
      <c r="BU32" s="39"/>
      <c r="BV32" s="39"/>
      <c r="BW32" s="39"/>
      <c r="IQ32" s="39"/>
      <c r="IR32" s="39"/>
      <c r="IS32" s="39"/>
      <c r="IT32" s="39"/>
      <c r="IU32" s="39"/>
      <c r="IV32" s="39"/>
      <c r="IW32" s="39"/>
    </row>
    <row r="33" spans="1:257" s="40" customFormat="1" ht="63.75">
      <c r="A33" s="1"/>
      <c r="B33" s="2">
        <v>32</v>
      </c>
      <c r="C33" s="41" t="s">
        <v>219</v>
      </c>
      <c r="D33" s="42">
        <v>45224</v>
      </c>
      <c r="E33" s="43" t="s">
        <v>59</v>
      </c>
      <c r="F33" s="27">
        <v>44778</v>
      </c>
      <c r="G33" s="27">
        <v>942</v>
      </c>
      <c r="H33" s="27">
        <v>1310</v>
      </c>
      <c r="I33" s="28"/>
      <c r="J33" s="28"/>
      <c r="K33" s="10">
        <v>103</v>
      </c>
      <c r="L33" s="28" t="s">
        <v>220</v>
      </c>
      <c r="M33" s="10" t="s">
        <v>79</v>
      </c>
      <c r="N33" s="28" t="s">
        <v>221</v>
      </c>
      <c r="O33" s="28" t="s">
        <v>222</v>
      </c>
      <c r="P33" s="10"/>
      <c r="Q33" s="10" t="s">
        <v>223</v>
      </c>
      <c r="R33" s="10" t="s">
        <v>223</v>
      </c>
      <c r="S33" s="10" t="s">
        <v>223</v>
      </c>
      <c r="T33" s="28" t="s">
        <v>224</v>
      </c>
      <c r="U33" s="28"/>
      <c r="V33" s="28"/>
      <c r="W33" s="28">
        <v>1</v>
      </c>
      <c r="X33" s="28"/>
      <c r="Y33" s="28" t="s">
        <v>225</v>
      </c>
      <c r="Z33" s="30"/>
      <c r="AA33" s="30"/>
      <c r="AB33" s="30"/>
      <c r="AC33" s="30"/>
      <c r="AD33" s="30"/>
      <c r="AE33" s="30"/>
      <c r="AF33" s="28"/>
      <c r="AG33" s="28"/>
      <c r="AH33" s="28"/>
      <c r="AI33" s="28"/>
      <c r="AJ33" s="28"/>
      <c r="AK33" s="32">
        <v>48.83</v>
      </c>
      <c r="AL33" s="32">
        <v>57.62</v>
      </c>
      <c r="AM33" s="32">
        <f>+AK33/AL33</f>
        <v>0.84744880249913224</v>
      </c>
      <c r="AN33" s="32">
        <f>+AM33</f>
        <v>0.84744880249913224</v>
      </c>
      <c r="AO33" s="32"/>
      <c r="AP33" s="32">
        <v>33326399.649999999</v>
      </c>
      <c r="AQ33" s="108">
        <v>221765.93</v>
      </c>
      <c r="AR33" s="44" t="s">
        <v>39</v>
      </c>
      <c r="AS33" s="34" t="s">
        <v>226</v>
      </c>
      <c r="AT33" s="35">
        <v>45352</v>
      </c>
      <c r="AU33" s="36"/>
      <c r="AV33" s="45">
        <v>45345</v>
      </c>
      <c r="AW33" s="38"/>
      <c r="AX33" s="38"/>
      <c r="AY33" s="38"/>
      <c r="AZ33" s="38"/>
      <c r="BA33" s="38"/>
      <c r="BB33" s="38"/>
      <c r="BC33" s="38"/>
      <c r="BD33" s="38"/>
      <c r="BE33" s="38"/>
      <c r="BF33" s="38"/>
      <c r="BG33" s="38"/>
      <c r="BH33" s="39"/>
      <c r="BI33" s="39"/>
      <c r="BJ33" s="39"/>
      <c r="BK33" s="39"/>
      <c r="BL33" s="39"/>
      <c r="BM33" s="39"/>
      <c r="BN33" s="39"/>
      <c r="BO33" s="39"/>
      <c r="BP33" s="39"/>
      <c r="BQ33" s="39"/>
      <c r="BR33" s="39"/>
      <c r="BS33" s="39"/>
      <c r="BT33" s="39"/>
      <c r="BU33" s="39"/>
      <c r="BV33" s="39"/>
      <c r="BW33" s="39"/>
      <c r="IQ33" s="39"/>
      <c r="IR33" s="39"/>
      <c r="IS33" s="39"/>
      <c r="IT33" s="39"/>
      <c r="IU33" s="39"/>
      <c r="IV33" s="39"/>
      <c r="IW33" s="39"/>
    </row>
    <row r="34" spans="1:257" s="23" customFormat="1" ht="76.5">
      <c r="A34" s="1"/>
      <c r="B34" s="2">
        <v>33</v>
      </c>
      <c r="C34" s="61" t="s">
        <v>227</v>
      </c>
      <c r="D34" s="62">
        <v>45161</v>
      </c>
      <c r="E34" s="47" t="s">
        <v>48</v>
      </c>
      <c r="F34" s="48">
        <v>18974</v>
      </c>
      <c r="G34" s="48">
        <v>8874</v>
      </c>
      <c r="H34" s="48">
        <v>5367</v>
      </c>
      <c r="I34" s="49"/>
      <c r="J34" s="49"/>
      <c r="K34" s="49">
        <v>297</v>
      </c>
      <c r="L34" s="49">
        <v>11</v>
      </c>
      <c r="M34" s="49" t="s">
        <v>43</v>
      </c>
      <c r="N34" s="49" t="s">
        <v>228</v>
      </c>
      <c r="O34" s="49" t="s">
        <v>229</v>
      </c>
      <c r="P34" s="49"/>
      <c r="Q34" s="49" t="s">
        <v>168</v>
      </c>
      <c r="R34" s="49" t="s">
        <v>168</v>
      </c>
      <c r="S34" s="49" t="s">
        <v>168</v>
      </c>
      <c r="T34" s="49" t="s">
        <v>53</v>
      </c>
      <c r="U34" s="49">
        <v>3</v>
      </c>
      <c r="V34" s="51">
        <v>1</v>
      </c>
      <c r="W34" s="49"/>
      <c r="X34" s="49"/>
      <c r="Y34" s="49" t="s">
        <v>225</v>
      </c>
      <c r="Z34" s="52">
        <f>2+2</f>
        <v>4</v>
      </c>
      <c r="AA34" s="53"/>
      <c r="AB34" s="54">
        <f>+Z34+1+1+1</f>
        <v>7</v>
      </c>
      <c r="AC34" s="53"/>
      <c r="AD34" s="54">
        <f>+Z34*2</f>
        <v>8</v>
      </c>
      <c r="AE34" s="53"/>
      <c r="AF34" s="49"/>
      <c r="AG34" s="49"/>
      <c r="AH34" s="49">
        <v>148.85</v>
      </c>
      <c r="AI34" s="49"/>
      <c r="AJ34" s="51"/>
      <c r="AK34" s="55">
        <v>32.64</v>
      </c>
      <c r="AL34" s="56">
        <v>335</v>
      </c>
      <c r="AM34" s="56">
        <f>+(AH34+AK34)/AL34</f>
        <v>0.54176119402985079</v>
      </c>
      <c r="AN34" s="56">
        <f>+AM34</f>
        <v>0.54176119402985079</v>
      </c>
      <c r="AO34" s="56"/>
      <c r="AP34" s="56">
        <f>+((2*118292+94607*3+2*70965+47317*13)/20*AH34)+(AK34*94607)+193000</f>
        <v>12788438.76</v>
      </c>
      <c r="AQ34" s="101">
        <v>157062.54</v>
      </c>
      <c r="AR34" s="56" t="s">
        <v>39</v>
      </c>
      <c r="AS34" s="58" t="s">
        <v>230</v>
      </c>
      <c r="AT34" s="59">
        <v>45352</v>
      </c>
      <c r="AU34" s="60"/>
      <c r="AV34" s="63" t="s">
        <v>231</v>
      </c>
      <c r="AW34" s="21"/>
      <c r="AX34" s="21"/>
      <c r="AY34" s="21"/>
      <c r="AZ34" s="21"/>
      <c r="BA34" s="21"/>
      <c r="BB34" s="21"/>
      <c r="BC34" s="21"/>
      <c r="BD34" s="21"/>
      <c r="BE34" s="21"/>
      <c r="BF34" s="21"/>
      <c r="BG34" s="21"/>
      <c r="BH34" s="22"/>
      <c r="BI34" s="22"/>
      <c r="BJ34" s="22"/>
      <c r="BK34" s="22"/>
      <c r="BL34" s="22"/>
      <c r="BM34" s="22"/>
      <c r="BN34" s="22"/>
      <c r="BO34" s="22"/>
      <c r="BP34" s="22"/>
      <c r="BQ34" s="22"/>
      <c r="BR34" s="22"/>
      <c r="BS34" s="22"/>
      <c r="BT34" s="22"/>
      <c r="BU34" s="22"/>
      <c r="BV34" s="22"/>
      <c r="BW34" s="22"/>
      <c r="IQ34" s="22"/>
      <c r="IR34" s="22"/>
      <c r="IS34" s="22"/>
      <c r="IT34" s="22"/>
      <c r="IU34" s="22"/>
      <c r="IV34" s="22"/>
      <c r="IW34" s="22"/>
    </row>
    <row r="35" spans="1:257" s="40" customFormat="1" ht="38.25">
      <c r="A35" s="1"/>
      <c r="B35" s="74">
        <v>34</v>
      </c>
      <c r="C35" s="24" t="s">
        <v>232</v>
      </c>
      <c r="D35" s="25">
        <v>45245</v>
      </c>
      <c r="E35" s="26" t="s">
        <v>59</v>
      </c>
      <c r="F35" s="27"/>
      <c r="G35" s="27">
        <v>102218</v>
      </c>
      <c r="H35" s="27">
        <v>5795</v>
      </c>
      <c r="I35" s="28"/>
      <c r="J35" s="28"/>
      <c r="K35" s="28">
        <v>185</v>
      </c>
      <c r="L35" s="28">
        <v>8</v>
      </c>
      <c r="M35" s="28" t="s">
        <v>79</v>
      </c>
      <c r="N35" s="28" t="s">
        <v>233</v>
      </c>
      <c r="O35" s="28"/>
      <c r="P35" s="28" t="s">
        <v>234</v>
      </c>
      <c r="Q35" s="28" t="s">
        <v>62</v>
      </c>
      <c r="R35" s="28" t="s">
        <v>62</v>
      </c>
      <c r="S35" s="28" t="s">
        <v>62</v>
      </c>
      <c r="T35" s="28" t="s">
        <v>53</v>
      </c>
      <c r="U35" s="28"/>
      <c r="V35" s="28"/>
      <c r="W35" s="28">
        <v>1</v>
      </c>
      <c r="X35" s="28"/>
      <c r="Y35" s="28" t="s">
        <v>235</v>
      </c>
      <c r="Z35" s="30"/>
      <c r="AA35" s="30"/>
      <c r="AB35" s="30"/>
      <c r="AC35" s="30"/>
      <c r="AD35" s="30"/>
      <c r="AE35" s="30"/>
      <c r="AF35" s="28"/>
      <c r="AG35" s="28"/>
      <c r="AH35" s="28"/>
      <c r="AI35" s="28"/>
      <c r="AJ35" s="28"/>
      <c r="AK35" s="32"/>
      <c r="AL35" s="32">
        <v>1677.53</v>
      </c>
      <c r="AM35" s="32"/>
      <c r="AN35" s="32"/>
      <c r="AO35" s="32"/>
      <c r="AP35" s="32"/>
      <c r="AQ35" s="108"/>
      <c r="AR35" s="32" t="s">
        <v>39</v>
      </c>
      <c r="AS35" s="34" t="s">
        <v>236</v>
      </c>
      <c r="AT35" s="35"/>
      <c r="AU35" s="36"/>
      <c r="AV35" s="37"/>
      <c r="AW35" s="38"/>
      <c r="AX35" s="38"/>
      <c r="AY35" s="38"/>
      <c r="AZ35" s="38"/>
      <c r="BA35" s="38"/>
      <c r="BB35" s="38"/>
      <c r="BC35" s="38"/>
      <c r="BD35" s="38"/>
      <c r="BE35" s="38"/>
      <c r="BF35" s="38"/>
      <c r="BG35" s="38"/>
      <c r="BH35" s="39"/>
      <c r="BI35" s="39"/>
      <c r="BJ35" s="39"/>
      <c r="BK35" s="39"/>
      <c r="BL35" s="39"/>
      <c r="BM35" s="39"/>
      <c r="BN35" s="39"/>
      <c r="BO35" s="39"/>
      <c r="BP35" s="39"/>
      <c r="BQ35" s="39"/>
      <c r="BR35" s="39"/>
      <c r="BS35" s="39"/>
      <c r="BT35" s="39"/>
      <c r="BU35" s="39"/>
      <c r="BV35" s="39"/>
      <c r="BW35" s="39"/>
      <c r="IQ35" s="39"/>
      <c r="IR35" s="39"/>
      <c r="IS35" s="39"/>
      <c r="IT35" s="39"/>
      <c r="IU35" s="39"/>
      <c r="IV35" s="39"/>
      <c r="IW35" s="39"/>
    </row>
    <row r="36" spans="1:257" s="23" customFormat="1" ht="51">
      <c r="A36" s="1"/>
      <c r="B36" s="2">
        <v>35</v>
      </c>
      <c r="C36" s="61">
        <v>560544</v>
      </c>
      <c r="D36" s="62"/>
      <c r="E36" s="47" t="s">
        <v>48</v>
      </c>
      <c r="F36" s="48"/>
      <c r="G36" s="48"/>
      <c r="H36" s="48">
        <v>1904</v>
      </c>
      <c r="I36" s="49"/>
      <c r="J36" s="49"/>
      <c r="K36" s="49">
        <v>488</v>
      </c>
      <c r="L36" s="49">
        <v>10</v>
      </c>
      <c r="M36" s="49" t="s">
        <v>43</v>
      </c>
      <c r="N36" s="23" t="s">
        <v>237</v>
      </c>
      <c r="O36" s="49" t="s">
        <v>238</v>
      </c>
      <c r="P36" s="49"/>
      <c r="Q36" s="49" t="s">
        <v>154</v>
      </c>
      <c r="R36" s="49" t="s">
        <v>154</v>
      </c>
      <c r="S36" s="49" t="s">
        <v>154</v>
      </c>
      <c r="T36" s="49" t="s">
        <v>53</v>
      </c>
      <c r="U36" s="49"/>
      <c r="V36" s="51">
        <v>3</v>
      </c>
      <c r="W36" s="49"/>
      <c r="X36" s="49"/>
      <c r="Y36" s="49" t="s">
        <v>38</v>
      </c>
      <c r="Z36" s="52"/>
      <c r="AA36" s="53">
        <f>1+1+2</f>
        <v>4</v>
      </c>
      <c r="AB36" s="54"/>
      <c r="AC36" s="53">
        <f>+AA36+1+1+1</f>
        <v>7</v>
      </c>
      <c r="AD36" s="54"/>
      <c r="AE36" s="53">
        <f>+AA36*2</f>
        <v>8</v>
      </c>
      <c r="AF36" s="49"/>
      <c r="AG36" s="49"/>
      <c r="AH36" s="49"/>
      <c r="AI36" s="49"/>
      <c r="AJ36" s="51">
        <f>+(83.3+1.21/2+55.46+1.21/2)</f>
        <v>139.97</v>
      </c>
      <c r="AK36" s="55"/>
      <c r="AL36" s="56">
        <v>196.65</v>
      </c>
      <c r="AM36" s="56">
        <f>+(83.3+1.21)/AL36</f>
        <v>0.42974828375286034</v>
      </c>
      <c r="AN36" s="56">
        <f>+AJ36/AL36</f>
        <v>0.71177218408339682</v>
      </c>
      <c r="AO36" s="56"/>
      <c r="AP36" s="56">
        <f>+(6*118292+6*94607+6*70965+3*47317)/21*AJ36</f>
        <v>12298264.092857143</v>
      </c>
      <c r="AQ36" s="101">
        <v>45303.87</v>
      </c>
      <c r="AR36" s="56" t="s">
        <v>39</v>
      </c>
      <c r="AS36" s="58" t="s">
        <v>239</v>
      </c>
      <c r="AT36" s="59">
        <v>45364</v>
      </c>
      <c r="AU36" s="60"/>
      <c r="AV36" s="63" t="s">
        <v>240</v>
      </c>
      <c r="AW36" s="21"/>
      <c r="AX36" s="21"/>
      <c r="AY36" s="21"/>
      <c r="AZ36" s="21"/>
      <c r="BA36" s="21"/>
      <c r="BB36" s="21"/>
      <c r="BC36" s="21"/>
      <c r="BD36" s="21"/>
      <c r="BE36" s="21"/>
      <c r="BF36" s="21"/>
      <c r="BG36" s="21"/>
      <c r="BH36" s="22"/>
      <c r="BI36" s="22"/>
      <c r="BJ36" s="22"/>
      <c r="BK36" s="22"/>
      <c r="BL36" s="22"/>
      <c r="BM36" s="22"/>
      <c r="BN36" s="22"/>
      <c r="BO36" s="22"/>
      <c r="BP36" s="22"/>
      <c r="BQ36" s="22"/>
      <c r="BR36" s="22"/>
      <c r="BS36" s="22"/>
      <c r="BT36" s="22"/>
      <c r="BU36" s="22"/>
      <c r="BV36" s="22"/>
      <c r="BW36" s="22"/>
      <c r="IQ36" s="22"/>
      <c r="IR36" s="22"/>
      <c r="IS36" s="22"/>
      <c r="IT36" s="22"/>
      <c r="IU36" s="22"/>
      <c r="IV36" s="22"/>
      <c r="IW36" s="22"/>
    </row>
    <row r="37" spans="1:257" s="40" customFormat="1" ht="63.75">
      <c r="A37" s="1"/>
      <c r="B37" s="74">
        <v>36</v>
      </c>
      <c r="C37" s="24">
        <v>559682</v>
      </c>
      <c r="D37" s="25">
        <v>45315</v>
      </c>
      <c r="E37" s="26" t="s">
        <v>48</v>
      </c>
      <c r="F37" s="27">
        <v>18450</v>
      </c>
      <c r="G37" s="27">
        <v>1573</v>
      </c>
      <c r="H37" s="27">
        <v>20056</v>
      </c>
      <c r="I37" s="28">
        <v>63</v>
      </c>
      <c r="J37" s="28"/>
      <c r="K37" s="28">
        <v>437</v>
      </c>
      <c r="L37" s="28">
        <v>1</v>
      </c>
      <c r="M37" s="28" t="s">
        <v>43</v>
      </c>
      <c r="N37" s="28" t="s">
        <v>241</v>
      </c>
      <c r="O37" s="28"/>
      <c r="P37" s="28" t="s">
        <v>242</v>
      </c>
      <c r="Q37" s="28" t="s">
        <v>243</v>
      </c>
      <c r="R37" s="28" t="s">
        <v>243</v>
      </c>
      <c r="S37" s="28" t="s">
        <v>243</v>
      </c>
      <c r="T37" s="28" t="s">
        <v>242</v>
      </c>
      <c r="U37" s="28"/>
      <c r="V37" s="29">
        <v>3</v>
      </c>
      <c r="W37" s="28"/>
      <c r="X37" s="28"/>
      <c r="Y37" s="28" t="s">
        <v>38</v>
      </c>
      <c r="Z37" s="30"/>
      <c r="AA37" s="31">
        <f>2+2+2</f>
        <v>6</v>
      </c>
      <c r="AB37" s="30"/>
      <c r="AC37" s="31">
        <f>+AA37+1+1+1</f>
        <v>9</v>
      </c>
      <c r="AD37" s="30"/>
      <c r="AE37" s="31">
        <f>+AA37*2</f>
        <v>12</v>
      </c>
      <c r="AF37" s="28"/>
      <c r="AG37" s="28"/>
      <c r="AH37" s="28"/>
      <c r="AI37" s="28"/>
      <c r="AJ37" s="28">
        <f>202.43+64.31/2</f>
        <v>234.58500000000001</v>
      </c>
      <c r="AK37" s="32"/>
      <c r="AL37" s="32">
        <v>512</v>
      </c>
      <c r="AM37" s="32">
        <f>+(202.43+64.31)/AL37</f>
        <v>0.52097656250000002</v>
      </c>
      <c r="AN37" s="32">
        <f>+(AJ37/AL37)</f>
        <v>0.45817382812500002</v>
      </c>
      <c r="AO37" s="32">
        <f>+(2+24)/(1+8)</f>
        <v>2.8888888888888888</v>
      </c>
      <c r="AP37" s="32">
        <f>+(2*118292+5*94607+7*70965+6*47317)/20*AJ37</f>
        <v>17479819.773000002</v>
      </c>
      <c r="AQ37" s="108">
        <v>271437.15000000002</v>
      </c>
      <c r="AR37" s="32" t="s">
        <v>55</v>
      </c>
      <c r="AS37" s="34" t="s">
        <v>244</v>
      </c>
      <c r="AT37" s="35">
        <v>45365</v>
      </c>
      <c r="AU37" s="36"/>
      <c r="AV37" s="37" t="s">
        <v>245</v>
      </c>
      <c r="AW37" s="38"/>
      <c r="AX37" s="38"/>
      <c r="AY37" s="38"/>
      <c r="AZ37" s="38"/>
      <c r="BA37" s="38"/>
      <c r="BB37" s="38"/>
      <c r="BC37" s="38"/>
      <c r="BD37" s="38"/>
      <c r="BE37" s="38"/>
      <c r="BF37" s="38"/>
      <c r="BG37" s="38"/>
      <c r="BH37" s="39"/>
      <c r="BI37" s="39"/>
      <c r="BJ37" s="39"/>
      <c r="BK37" s="39"/>
      <c r="BL37" s="39"/>
      <c r="BM37" s="39"/>
      <c r="BN37" s="39"/>
      <c r="BO37" s="39"/>
      <c r="BP37" s="39"/>
      <c r="BQ37" s="39"/>
      <c r="BR37" s="39"/>
      <c r="BS37" s="39"/>
      <c r="BT37" s="39"/>
      <c r="BU37" s="39"/>
      <c r="BV37" s="39"/>
      <c r="BW37" s="39"/>
      <c r="IQ37" s="39"/>
      <c r="IR37" s="39"/>
      <c r="IS37" s="39"/>
      <c r="IT37" s="39"/>
      <c r="IU37" s="39"/>
      <c r="IV37" s="39"/>
      <c r="IW37" s="39"/>
    </row>
    <row r="38" spans="1:257" s="23" customFormat="1" ht="76.5">
      <c r="A38" s="1"/>
      <c r="B38" s="2">
        <v>37</v>
      </c>
      <c r="C38" s="61">
        <v>559602</v>
      </c>
      <c r="D38" s="62">
        <v>559602</v>
      </c>
      <c r="E38" s="47" t="s">
        <v>48</v>
      </c>
      <c r="F38" s="48">
        <v>14995</v>
      </c>
      <c r="G38" s="48">
        <v>265</v>
      </c>
      <c r="H38" s="48">
        <v>4312</v>
      </c>
      <c r="I38" s="49"/>
      <c r="J38" s="49"/>
      <c r="K38" s="49">
        <v>169</v>
      </c>
      <c r="L38" s="49">
        <v>2</v>
      </c>
      <c r="M38" s="49" t="s">
        <v>79</v>
      </c>
      <c r="N38" s="49" t="s">
        <v>246</v>
      </c>
      <c r="O38" s="49" t="s">
        <v>247</v>
      </c>
      <c r="P38" s="49"/>
      <c r="Q38" s="49" t="s">
        <v>248</v>
      </c>
      <c r="R38" s="49" t="s">
        <v>248</v>
      </c>
      <c r="S38" s="49" t="s">
        <v>248</v>
      </c>
      <c r="T38" s="49" t="s">
        <v>249</v>
      </c>
      <c r="U38" s="49"/>
      <c r="V38" s="51">
        <v>1</v>
      </c>
      <c r="W38" s="49"/>
      <c r="X38" s="49"/>
      <c r="Y38" s="49" t="s">
        <v>54</v>
      </c>
      <c r="Z38" s="52"/>
      <c r="AA38" s="53">
        <v>3</v>
      </c>
      <c r="AB38" s="54"/>
      <c r="AC38" s="53">
        <f>+AA38+1</f>
        <v>4</v>
      </c>
      <c r="AD38" s="54"/>
      <c r="AE38" s="53">
        <f>+AA38*2</f>
        <v>6</v>
      </c>
      <c r="AF38" s="49"/>
      <c r="AG38" s="49"/>
      <c r="AH38" s="49"/>
      <c r="AI38" s="49"/>
      <c r="AJ38" s="51">
        <f>128.3+61.5/2</f>
        <v>159.05000000000001</v>
      </c>
      <c r="AK38" s="55"/>
      <c r="AL38" s="56">
        <v>115.8</v>
      </c>
      <c r="AM38" s="56">
        <f>+(57.9+10.7+46.3)/AL38</f>
        <v>0.99222797927461137</v>
      </c>
      <c r="AN38" s="56">
        <f>+AJ38/AL38</f>
        <v>1.3734887737478412</v>
      </c>
      <c r="AO38" s="56"/>
      <c r="AP38" s="32">
        <f>+(7*118292+6*94607+8*70965+1*47317)/22*AJ38</f>
        <v>14536613.325000001</v>
      </c>
      <c r="AQ38" s="109">
        <v>55168.62</v>
      </c>
      <c r="AR38" s="56" t="s">
        <v>39</v>
      </c>
      <c r="AS38" s="58" t="s">
        <v>250</v>
      </c>
      <c r="AT38" s="59">
        <v>45386</v>
      </c>
      <c r="AU38" s="60"/>
      <c r="AV38" s="63" t="s">
        <v>251</v>
      </c>
      <c r="AW38" s="21"/>
      <c r="AX38" s="21"/>
      <c r="AY38" s="21"/>
      <c r="AZ38" s="21"/>
      <c r="BA38" s="21"/>
      <c r="BB38" s="21"/>
      <c r="BC38" s="21"/>
      <c r="BD38" s="21"/>
      <c r="BE38" s="21"/>
      <c r="BF38" s="21"/>
      <c r="BG38" s="21"/>
      <c r="BH38" s="22"/>
      <c r="BI38" s="22"/>
      <c r="BJ38" s="22"/>
      <c r="BK38" s="22"/>
      <c r="BL38" s="22"/>
      <c r="BM38" s="22"/>
      <c r="BN38" s="22"/>
      <c r="BO38" s="22"/>
      <c r="BP38" s="22"/>
      <c r="BQ38" s="22"/>
      <c r="BR38" s="22"/>
      <c r="BS38" s="22"/>
      <c r="BT38" s="22"/>
      <c r="BU38" s="22"/>
      <c r="BV38" s="22"/>
      <c r="BW38" s="22"/>
      <c r="IQ38" s="22"/>
      <c r="IR38" s="22"/>
      <c r="IS38" s="22"/>
      <c r="IT38" s="22"/>
      <c r="IU38" s="22"/>
      <c r="IV38" s="22"/>
      <c r="IW38" s="22"/>
    </row>
    <row r="39" spans="1:257" s="40" customFormat="1" ht="76.5">
      <c r="A39" s="1" t="s">
        <v>252</v>
      </c>
      <c r="B39" s="93">
        <v>38</v>
      </c>
      <c r="C39" s="41" t="s">
        <v>253</v>
      </c>
      <c r="D39" s="42">
        <v>45266</v>
      </c>
      <c r="E39" s="26" t="s">
        <v>42</v>
      </c>
      <c r="F39" s="27">
        <v>4103</v>
      </c>
      <c r="G39" s="27">
        <v>50756</v>
      </c>
      <c r="H39" s="27">
        <v>2768</v>
      </c>
      <c r="I39" s="28"/>
      <c r="J39" s="28"/>
      <c r="K39" s="28">
        <v>756</v>
      </c>
      <c r="L39" s="28">
        <v>8</v>
      </c>
      <c r="M39" s="28" t="s">
        <v>43</v>
      </c>
      <c r="N39" s="28" t="s">
        <v>254</v>
      </c>
      <c r="O39" s="28" t="s">
        <v>255</v>
      </c>
      <c r="P39" s="28"/>
      <c r="Q39" s="28" t="s">
        <v>256</v>
      </c>
      <c r="R39" s="28"/>
      <c r="S39" s="28"/>
      <c r="T39" s="28"/>
      <c r="U39" s="28">
        <v>2</v>
      </c>
      <c r="V39" s="29"/>
      <c r="W39" s="28"/>
      <c r="X39" s="28"/>
      <c r="Y39" s="28" t="s">
        <v>38</v>
      </c>
      <c r="Z39" s="30">
        <f>1+2</f>
        <v>3</v>
      </c>
      <c r="AA39" s="31"/>
      <c r="AB39" s="30">
        <f>+Z39+1+1</f>
        <v>5</v>
      </c>
      <c r="AC39" s="31"/>
      <c r="AD39" s="30">
        <f>+Z39*2</f>
        <v>6</v>
      </c>
      <c r="AE39" s="31"/>
      <c r="AF39" s="28"/>
      <c r="AG39" s="28"/>
      <c r="AH39" s="28">
        <f>111.08+58.68/2</f>
        <v>140.41999999999999</v>
      </c>
      <c r="AI39" s="28"/>
      <c r="AJ39" s="110"/>
      <c r="AK39" s="111"/>
      <c r="AL39" s="32">
        <v>354.375</v>
      </c>
      <c r="AM39" s="32">
        <f>+(111.08+58.68)/AL39</f>
        <v>0.47904056437389769</v>
      </c>
      <c r="AN39" s="32">
        <f>+AH39/AL39</f>
        <v>0.39624691358024688</v>
      </c>
      <c r="AO39" s="32"/>
      <c r="AP39" s="32">
        <f>+(1*118292+4*94607+7*70965+9*47317)/21*AH39</f>
        <v>9490573.2266666666</v>
      </c>
      <c r="AQ39" s="112">
        <v>145026.99</v>
      </c>
      <c r="AR39" s="32" t="s">
        <v>39</v>
      </c>
      <c r="AS39" s="34" t="s">
        <v>257</v>
      </c>
      <c r="AT39" s="35">
        <v>45391</v>
      </c>
      <c r="AU39" s="36"/>
      <c r="AV39" s="37">
        <v>45387</v>
      </c>
      <c r="AW39" s="38"/>
      <c r="AX39" s="38"/>
      <c r="AY39" s="38"/>
      <c r="AZ39" s="38"/>
      <c r="BA39" s="38"/>
      <c r="BB39" s="38"/>
      <c r="BC39" s="38"/>
      <c r="BD39" s="38"/>
      <c r="BE39" s="38"/>
      <c r="BF39" s="38"/>
      <c r="BG39" s="38"/>
      <c r="BH39" s="39"/>
      <c r="BI39" s="39"/>
      <c r="BJ39" s="39"/>
      <c r="BK39" s="39"/>
      <c r="BL39" s="39"/>
      <c r="BM39" s="39"/>
      <c r="BN39" s="39"/>
      <c r="BO39" s="39"/>
      <c r="BP39" s="39"/>
      <c r="BQ39" s="39"/>
      <c r="BR39" s="39"/>
      <c r="BS39" s="39"/>
      <c r="BT39" s="39"/>
      <c r="BU39" s="39"/>
      <c r="BV39" s="39"/>
      <c r="BW39" s="39"/>
      <c r="IQ39" s="39"/>
      <c r="IR39" s="39"/>
      <c r="IS39" s="39"/>
      <c r="IT39" s="39"/>
      <c r="IU39" s="39"/>
      <c r="IV39" s="39"/>
      <c r="IW39" s="39"/>
    </row>
    <row r="40" spans="1:257" s="40" customFormat="1" ht="63.75">
      <c r="A40" s="1"/>
      <c r="B40" s="93">
        <v>39</v>
      </c>
      <c r="C40" s="24" t="s">
        <v>258</v>
      </c>
      <c r="D40" s="25">
        <v>45328</v>
      </c>
      <c r="E40" s="26" t="s">
        <v>42</v>
      </c>
      <c r="F40" s="27">
        <v>59745</v>
      </c>
      <c r="G40" s="27">
        <v>167974</v>
      </c>
      <c r="H40" s="27">
        <v>33871</v>
      </c>
      <c r="I40" s="28">
        <v>137</v>
      </c>
      <c r="J40" s="28"/>
      <c r="K40" s="28"/>
      <c r="L40" s="28">
        <v>16</v>
      </c>
      <c r="M40" s="28" t="s">
        <v>33</v>
      </c>
      <c r="N40" s="28" t="s">
        <v>259</v>
      </c>
      <c r="O40" s="28" t="s">
        <v>260</v>
      </c>
      <c r="P40" s="28"/>
      <c r="Q40" s="28" t="s">
        <v>210</v>
      </c>
      <c r="R40" s="28"/>
      <c r="S40" s="28"/>
      <c r="T40" s="28"/>
      <c r="U40" s="28">
        <v>1</v>
      </c>
      <c r="V40" s="29"/>
      <c r="W40" s="28"/>
      <c r="X40" s="28"/>
      <c r="Y40" s="28" t="s">
        <v>54</v>
      </c>
      <c r="Z40" s="30">
        <v>1</v>
      </c>
      <c r="AA40" s="31"/>
      <c r="AB40" s="30">
        <f>+Z40+1</f>
        <v>2</v>
      </c>
      <c r="AC40" s="31"/>
      <c r="AD40" s="30">
        <f>+Z40*2</f>
        <v>2</v>
      </c>
      <c r="AE40" s="31"/>
      <c r="AF40" s="28"/>
      <c r="AG40" s="28"/>
      <c r="AH40" s="28">
        <f>39.12+11.1/2</f>
        <v>44.669999999999995</v>
      </c>
      <c r="AI40" s="28"/>
      <c r="AJ40" s="110"/>
      <c r="AK40" s="111"/>
      <c r="AL40" s="32">
        <v>838.98</v>
      </c>
      <c r="AM40" s="28">
        <f>(39.12+11.1)/AL40</f>
        <v>5.9858399485089031E-2</v>
      </c>
      <c r="AN40" s="32">
        <f>+AH40/AL40</f>
        <v>5.3243223914753619E-2</v>
      </c>
      <c r="AO40" s="32"/>
      <c r="AP40" s="32">
        <f>+(118292*2+94607*5+70965*9+3*47317)/19*AH40</f>
        <v>3503667.9394736835</v>
      </c>
      <c r="AQ40" s="112">
        <v>84630.8</v>
      </c>
      <c r="AR40" s="32" t="s">
        <v>39</v>
      </c>
      <c r="AS40" s="34" t="s">
        <v>261</v>
      </c>
      <c r="AT40" s="35">
        <v>45392</v>
      </c>
      <c r="AU40" s="36"/>
      <c r="AV40" s="37">
        <v>45372</v>
      </c>
      <c r="AW40" s="38"/>
      <c r="AX40" s="38"/>
      <c r="AY40" s="38"/>
      <c r="AZ40" s="38"/>
      <c r="BA40" s="38"/>
      <c r="BB40" s="38"/>
      <c r="BC40" s="38"/>
      <c r="BD40" s="38"/>
      <c r="BE40" s="38"/>
      <c r="BF40" s="38"/>
      <c r="BG40" s="38"/>
      <c r="BH40" s="39"/>
      <c r="BI40" s="39"/>
      <c r="BJ40" s="39"/>
      <c r="BK40" s="39"/>
      <c r="BL40" s="39"/>
      <c r="BM40" s="39"/>
      <c r="BN40" s="39"/>
      <c r="BO40" s="39"/>
      <c r="BP40" s="39"/>
      <c r="BQ40" s="39"/>
      <c r="BR40" s="39"/>
      <c r="BS40" s="39"/>
      <c r="BT40" s="39"/>
      <c r="BU40" s="39"/>
      <c r="BV40" s="39"/>
      <c r="BW40" s="39"/>
      <c r="IQ40" s="39"/>
      <c r="IR40" s="39"/>
      <c r="IS40" s="39"/>
      <c r="IT40" s="39"/>
      <c r="IU40" s="39"/>
      <c r="IV40" s="39"/>
      <c r="IW40" s="39"/>
    </row>
    <row r="41" spans="1:257" s="40" customFormat="1" ht="63.75">
      <c r="A41" s="1"/>
      <c r="B41" s="93">
        <v>40</v>
      </c>
      <c r="C41" s="24" t="s">
        <v>262</v>
      </c>
      <c r="D41" s="25">
        <v>45350</v>
      </c>
      <c r="E41" s="26" t="s">
        <v>42</v>
      </c>
      <c r="F41" s="27">
        <v>55935</v>
      </c>
      <c r="G41" s="27">
        <v>162773</v>
      </c>
      <c r="H41" s="27">
        <v>33212</v>
      </c>
      <c r="I41" s="28">
        <v>223</v>
      </c>
      <c r="J41" s="28"/>
      <c r="K41" s="28">
        <v>6</v>
      </c>
      <c r="L41" s="28">
        <v>5</v>
      </c>
      <c r="M41" s="28" t="s">
        <v>33</v>
      </c>
      <c r="N41" s="28" t="s">
        <v>107</v>
      </c>
      <c r="O41" s="28" t="s">
        <v>263</v>
      </c>
      <c r="P41" s="28"/>
      <c r="Q41" s="28" t="s">
        <v>264</v>
      </c>
      <c r="R41" s="28"/>
      <c r="S41" s="28"/>
      <c r="T41" s="28"/>
      <c r="U41" s="28">
        <v>1</v>
      </c>
      <c r="V41" s="29"/>
      <c r="W41" s="28"/>
      <c r="X41" s="28"/>
      <c r="Y41" s="28" t="s">
        <v>54</v>
      </c>
      <c r="Z41" s="30">
        <v>2</v>
      </c>
      <c r="AA41" s="31"/>
      <c r="AB41" s="30">
        <f>+Z41+1</f>
        <v>3</v>
      </c>
      <c r="AC41" s="31"/>
      <c r="AD41" s="30">
        <f>+Z41*2</f>
        <v>4</v>
      </c>
      <c r="AE41" s="31"/>
      <c r="AF41" s="28"/>
      <c r="AG41" s="28"/>
      <c r="AH41" s="28">
        <f>72+38.5/2</f>
        <v>91.25</v>
      </c>
      <c r="AI41" s="28"/>
      <c r="AJ41" s="110"/>
      <c r="AK41" s="111"/>
      <c r="AL41" s="32">
        <v>954</v>
      </c>
      <c r="AM41" s="32">
        <f>+(72+38.5)/AL41</f>
        <v>0.11582809224318659</v>
      </c>
      <c r="AN41" s="32">
        <f>+AH41/AL41</f>
        <v>9.5649895178197067E-2</v>
      </c>
      <c r="AO41" s="32"/>
      <c r="AP41" s="32">
        <f>+((3*94607+12*70965+5*47317)/20*AH41)+1730000</f>
        <v>7989686.125</v>
      </c>
      <c r="AQ41" s="112">
        <v>201675.47</v>
      </c>
      <c r="AR41" s="32" t="s">
        <v>265</v>
      </c>
      <c r="AS41" s="34" t="s">
        <v>266</v>
      </c>
      <c r="AT41" s="35">
        <v>45392</v>
      </c>
      <c r="AU41" s="36"/>
      <c r="AV41" s="37">
        <v>45387</v>
      </c>
      <c r="AW41" s="38"/>
      <c r="AX41" s="38"/>
      <c r="AY41" s="38"/>
      <c r="AZ41" s="38"/>
      <c r="BA41" s="38"/>
      <c r="BB41" s="38"/>
      <c r="BC41" s="38"/>
      <c r="BD41" s="38"/>
      <c r="BE41" s="38"/>
      <c r="BF41" s="38"/>
      <c r="BG41" s="38"/>
      <c r="BH41" s="39"/>
      <c r="BI41" s="39"/>
      <c r="BJ41" s="39"/>
      <c r="BK41" s="39"/>
      <c r="BL41" s="39"/>
      <c r="BM41" s="39"/>
      <c r="BN41" s="39"/>
      <c r="BO41" s="39"/>
      <c r="BP41" s="39"/>
      <c r="BQ41" s="39"/>
      <c r="BR41" s="39"/>
      <c r="BS41" s="39"/>
      <c r="BT41" s="39"/>
      <c r="BU41" s="39"/>
      <c r="BV41" s="39"/>
      <c r="BW41" s="39"/>
      <c r="IQ41" s="39"/>
      <c r="IR41" s="39"/>
      <c r="IS41" s="39"/>
      <c r="IT41" s="39"/>
      <c r="IU41" s="39"/>
      <c r="IV41" s="39"/>
      <c r="IW41" s="39"/>
    </row>
    <row r="42" spans="1:257" s="40" customFormat="1" ht="38.25">
      <c r="A42" s="1"/>
      <c r="B42" s="93">
        <v>41</v>
      </c>
      <c r="C42" s="24">
        <v>560420</v>
      </c>
      <c r="D42" s="25">
        <v>45345</v>
      </c>
      <c r="E42" s="26" t="s">
        <v>48</v>
      </c>
      <c r="F42" s="27">
        <v>60854</v>
      </c>
      <c r="G42" s="27">
        <v>169278</v>
      </c>
      <c r="H42" s="27">
        <v>10598</v>
      </c>
      <c r="I42" s="28"/>
      <c r="J42" s="28"/>
      <c r="K42" s="28">
        <v>404</v>
      </c>
      <c r="L42" s="28">
        <v>35</v>
      </c>
      <c r="M42" s="28" t="s">
        <v>43</v>
      </c>
      <c r="N42" s="28" t="s">
        <v>267</v>
      </c>
      <c r="O42" s="28" t="s">
        <v>268</v>
      </c>
      <c r="P42" s="28"/>
      <c r="Q42" s="28" t="s">
        <v>76</v>
      </c>
      <c r="R42" s="28" t="s">
        <v>76</v>
      </c>
      <c r="S42" s="28" t="s">
        <v>76</v>
      </c>
      <c r="T42" s="28" t="s">
        <v>53</v>
      </c>
      <c r="U42" s="28"/>
      <c r="V42" s="29">
        <v>1</v>
      </c>
      <c r="W42" s="28"/>
      <c r="X42" s="28"/>
      <c r="Y42" s="28" t="s">
        <v>54</v>
      </c>
      <c r="Z42" s="30"/>
      <c r="AA42" s="31">
        <v>2</v>
      </c>
      <c r="AB42" s="30"/>
      <c r="AC42" s="31">
        <f>+AA42+1</f>
        <v>3</v>
      </c>
      <c r="AD42" s="30"/>
      <c r="AE42" s="31">
        <f>+AA42*2</f>
        <v>4</v>
      </c>
      <c r="AF42" s="28"/>
      <c r="AG42" s="28"/>
      <c r="AH42" s="28"/>
      <c r="AI42" s="28"/>
      <c r="AJ42" s="110">
        <f>45.72+4.21/2</f>
        <v>47.824999999999996</v>
      </c>
      <c r="AK42" s="111"/>
      <c r="AL42" s="32">
        <v>182.25</v>
      </c>
      <c r="AM42" s="32">
        <f>+(45.74+4.21)/AL42</f>
        <v>0.27407407407407408</v>
      </c>
      <c r="AN42" s="32">
        <f>+AJ42/AL42</f>
        <v>0.26241426611796981</v>
      </c>
      <c r="AO42" s="32"/>
      <c r="AP42" s="32">
        <f>+(2*118292+94607*4+6*70965+8*47317)/20*AJ42</f>
        <v>3393991.9924999992</v>
      </c>
      <c r="AQ42" s="112">
        <v>24708.41</v>
      </c>
      <c r="AR42" s="32" t="s">
        <v>39</v>
      </c>
      <c r="AS42" s="34" t="s">
        <v>269</v>
      </c>
      <c r="AT42" s="35">
        <v>45392</v>
      </c>
      <c r="AU42" s="36"/>
      <c r="AV42" s="37" t="s">
        <v>270</v>
      </c>
      <c r="AW42" s="38"/>
      <c r="AX42" s="38"/>
      <c r="AY42" s="38"/>
      <c r="AZ42" s="38"/>
      <c r="BA42" s="38"/>
      <c r="BB42" s="38"/>
      <c r="BC42" s="38"/>
      <c r="BD42" s="38"/>
      <c r="BE42" s="38"/>
      <c r="BF42" s="38"/>
      <c r="BG42" s="38"/>
      <c r="BH42" s="39"/>
      <c r="BI42" s="39"/>
      <c r="BJ42" s="39"/>
      <c r="BK42" s="39"/>
      <c r="BL42" s="39"/>
      <c r="BM42" s="39"/>
      <c r="BN42" s="39"/>
      <c r="BO42" s="39"/>
      <c r="BP42" s="39"/>
      <c r="BQ42" s="39"/>
      <c r="BR42" s="39"/>
      <c r="BS42" s="39"/>
      <c r="BT42" s="39"/>
      <c r="BU42" s="39"/>
      <c r="BV42" s="39"/>
      <c r="BW42" s="39"/>
      <c r="IQ42" s="39"/>
      <c r="IR42" s="39"/>
      <c r="IS42" s="39"/>
      <c r="IT42" s="39"/>
      <c r="IU42" s="39"/>
      <c r="IV42" s="39"/>
      <c r="IW42" s="39"/>
    </row>
    <row r="43" spans="1:257" s="23" customFormat="1" ht="63.75">
      <c r="A43" s="1"/>
      <c r="B43" s="93">
        <v>42</v>
      </c>
      <c r="C43" s="61">
        <v>553337</v>
      </c>
      <c r="D43" s="46">
        <v>45082</v>
      </c>
      <c r="E43" s="47" t="s">
        <v>275</v>
      </c>
      <c r="F43" s="48">
        <v>7793</v>
      </c>
      <c r="G43" s="48">
        <v>2459</v>
      </c>
      <c r="H43" s="48">
        <v>295</v>
      </c>
      <c r="I43" s="49"/>
      <c r="J43" s="49"/>
      <c r="K43" s="49">
        <v>228</v>
      </c>
      <c r="L43" s="49"/>
      <c r="M43" s="49" t="s">
        <v>43</v>
      </c>
      <c r="N43" s="49" t="s">
        <v>276</v>
      </c>
      <c r="O43" s="50" t="s">
        <v>155</v>
      </c>
      <c r="P43" s="49"/>
      <c r="Q43" s="49" t="s">
        <v>87</v>
      </c>
      <c r="R43" s="49"/>
      <c r="S43" s="49"/>
      <c r="T43" s="49"/>
      <c r="U43" s="49"/>
      <c r="V43" s="51"/>
      <c r="W43" s="49"/>
      <c r="X43" s="49"/>
      <c r="Y43" s="49" t="s">
        <v>277</v>
      </c>
      <c r="Z43" s="52"/>
      <c r="AA43" s="53"/>
      <c r="AB43" s="54"/>
      <c r="AC43" s="53"/>
      <c r="AD43" s="54"/>
      <c r="AE43" s="53"/>
      <c r="AF43" s="49"/>
      <c r="AG43" s="49"/>
      <c r="AH43" s="49"/>
      <c r="AI43" s="49"/>
      <c r="AJ43" s="51"/>
      <c r="AK43" s="55"/>
      <c r="AL43" s="56">
        <v>468.02</v>
      </c>
      <c r="AM43" s="56"/>
      <c r="AN43" s="56"/>
      <c r="AO43" s="56"/>
      <c r="AP43" s="56"/>
      <c r="AQ43" s="109">
        <v>249961.75</v>
      </c>
      <c r="AR43" s="56" t="s">
        <v>39</v>
      </c>
      <c r="AS43" s="58" t="s">
        <v>278</v>
      </c>
      <c r="AT43" s="59">
        <v>45394</v>
      </c>
      <c r="AU43" s="60"/>
      <c r="AV43" s="73">
        <v>45092</v>
      </c>
      <c r="AW43" s="21"/>
      <c r="AX43" s="21"/>
      <c r="AY43" s="21"/>
      <c r="AZ43" s="21"/>
      <c r="BA43" s="21"/>
      <c r="BB43" s="21"/>
      <c r="BC43" s="21"/>
      <c r="BD43" s="21"/>
      <c r="BE43" s="21"/>
      <c r="BF43" s="21"/>
      <c r="BG43" s="21"/>
      <c r="BH43" s="22"/>
      <c r="BI43" s="22"/>
      <c r="BJ43" s="22"/>
      <c r="BK43" s="22"/>
      <c r="BL43" s="22"/>
      <c r="BM43" s="22"/>
      <c r="BN43" s="22"/>
      <c r="BO43" s="22"/>
      <c r="BP43" s="22"/>
      <c r="BQ43" s="22"/>
      <c r="BR43" s="22"/>
      <c r="BS43" s="22"/>
      <c r="BT43" s="22"/>
      <c r="BU43" s="22"/>
      <c r="BV43" s="22"/>
      <c r="BW43" s="22"/>
      <c r="IQ43" s="22"/>
      <c r="IR43" s="22"/>
      <c r="IS43" s="22"/>
      <c r="IT43" s="22"/>
      <c r="IU43" s="22"/>
      <c r="IV43" s="22"/>
      <c r="IW43" s="22"/>
    </row>
    <row r="44" spans="1:257" s="23" customFormat="1" ht="51">
      <c r="A44" s="1"/>
      <c r="B44" s="93">
        <v>43</v>
      </c>
      <c r="C44" s="41">
        <v>561378</v>
      </c>
      <c r="D44" s="25">
        <v>45376</v>
      </c>
      <c r="E44" s="88" t="s">
        <v>42</v>
      </c>
      <c r="F44" s="27">
        <v>46072</v>
      </c>
      <c r="G44" s="27">
        <v>119237</v>
      </c>
      <c r="H44" s="27">
        <v>5858</v>
      </c>
      <c r="I44" s="28"/>
      <c r="J44" s="28"/>
      <c r="K44" s="28">
        <v>715</v>
      </c>
      <c r="L44" s="28">
        <v>4</v>
      </c>
      <c r="M44" s="28" t="s">
        <v>43</v>
      </c>
      <c r="N44" s="28" t="s">
        <v>279</v>
      </c>
      <c r="O44" s="28" t="s">
        <v>280</v>
      </c>
      <c r="P44" s="28"/>
      <c r="Q44" s="28" t="s">
        <v>281</v>
      </c>
      <c r="R44" s="28"/>
      <c r="S44" s="28"/>
      <c r="T44" s="28"/>
      <c r="U44" s="28">
        <f>1+1+1</f>
        <v>3</v>
      </c>
      <c r="V44" s="29"/>
      <c r="W44" s="28"/>
      <c r="X44" s="28"/>
      <c r="Y44" s="28" t="s">
        <v>38</v>
      </c>
      <c r="Z44" s="30">
        <f>1+2+1</f>
        <v>4</v>
      </c>
      <c r="AA44" s="31"/>
      <c r="AB44" s="30">
        <f>+Z44+2</f>
        <v>6</v>
      </c>
      <c r="AC44" s="31"/>
      <c r="AD44" s="30">
        <f>+Z44*2</f>
        <v>8</v>
      </c>
      <c r="AE44" s="31"/>
      <c r="AF44" s="28">
        <f>45.33+34.07+12.77/2</f>
        <v>85.785000000000011</v>
      </c>
      <c r="AG44" s="28"/>
      <c r="AH44" s="28">
        <f>109.3+3/2-AF44</f>
        <v>25.014999999999986</v>
      </c>
      <c r="AI44" s="28"/>
      <c r="AJ44" s="110"/>
      <c r="AK44" s="111"/>
      <c r="AL44" s="32">
        <v>300</v>
      </c>
      <c r="AM44" s="32">
        <f>+(21.8+87.5+3)/AL44</f>
        <v>0.37433333333333335</v>
      </c>
      <c r="AN44" s="32">
        <f>+(AF44+AH44)/AL44</f>
        <v>0.36933333333333335</v>
      </c>
      <c r="AO44" s="32">
        <f>+(36/9)</f>
        <v>4</v>
      </c>
      <c r="AP44" s="32">
        <f>+(9*94607+5*70965+47317*7)/21*AH44</f>
        <v>1831463.6954761897</v>
      </c>
      <c r="AQ44" s="112">
        <v>117331.17</v>
      </c>
      <c r="AR44" s="32" t="s">
        <v>39</v>
      </c>
      <c r="AS44" s="34" t="s">
        <v>282</v>
      </c>
      <c r="AT44" s="35">
        <v>45397</v>
      </c>
      <c r="AU44" s="36"/>
      <c r="AV44" s="37">
        <v>45377</v>
      </c>
      <c r="AW44" s="21"/>
      <c r="AX44" s="21"/>
      <c r="AY44" s="21"/>
      <c r="AZ44" s="21"/>
      <c r="BA44" s="21"/>
      <c r="BB44" s="21"/>
      <c r="BC44" s="21"/>
      <c r="BD44" s="21"/>
      <c r="BE44" s="21"/>
      <c r="BF44" s="21"/>
      <c r="BG44" s="21"/>
      <c r="BH44" s="22"/>
      <c r="BI44" s="22"/>
      <c r="BJ44" s="22"/>
      <c r="BK44" s="22"/>
      <c r="BL44" s="22"/>
      <c r="BM44" s="22"/>
      <c r="BN44" s="22"/>
      <c r="BO44" s="22"/>
      <c r="BP44" s="22"/>
      <c r="BQ44" s="22"/>
      <c r="BR44" s="22"/>
      <c r="BS44" s="22"/>
      <c r="BT44" s="22"/>
      <c r="BU44" s="22"/>
      <c r="BV44" s="22"/>
      <c r="BW44" s="22"/>
      <c r="IQ44" s="22"/>
      <c r="IR44" s="22"/>
      <c r="IS44" s="22"/>
      <c r="IT44" s="22"/>
      <c r="IU44" s="22"/>
      <c r="IV44" s="22"/>
      <c r="IW44" s="22"/>
    </row>
    <row r="45" spans="1:257" s="40" customFormat="1" ht="25.5">
      <c r="A45" s="1"/>
      <c r="B45" s="93">
        <v>44</v>
      </c>
      <c r="C45" s="61" t="s">
        <v>271</v>
      </c>
      <c r="D45" s="46">
        <v>44592</v>
      </c>
      <c r="E45" s="210" t="s">
        <v>42</v>
      </c>
      <c r="F45" s="48">
        <v>24917</v>
      </c>
      <c r="G45" s="48"/>
      <c r="H45" s="48">
        <v>3926</v>
      </c>
      <c r="I45" s="49"/>
      <c r="J45" s="49"/>
      <c r="K45" s="49">
        <v>209</v>
      </c>
      <c r="L45" s="49"/>
      <c r="M45" s="49" t="s">
        <v>272</v>
      </c>
      <c r="N45" s="49" t="s">
        <v>273</v>
      </c>
      <c r="O45" s="50" t="s">
        <v>274</v>
      </c>
      <c r="P45" s="49"/>
      <c r="Q45" s="49" t="s">
        <v>69</v>
      </c>
      <c r="R45" s="49"/>
      <c r="S45" s="49"/>
      <c r="T45" s="49"/>
      <c r="U45" s="49"/>
      <c r="V45" s="51"/>
      <c r="W45" s="49"/>
      <c r="X45" s="49"/>
      <c r="Y45" s="49"/>
      <c r="Z45" s="52"/>
      <c r="AA45" s="53"/>
      <c r="AB45" s="54"/>
      <c r="AC45" s="53"/>
      <c r="AD45" s="54"/>
      <c r="AE45" s="53"/>
      <c r="AF45" s="49"/>
      <c r="AG45" s="49"/>
      <c r="AH45" s="49"/>
      <c r="AI45" s="49"/>
      <c r="AJ45" s="51"/>
      <c r="AK45" s="55"/>
      <c r="AL45" s="56"/>
      <c r="AM45" s="56"/>
      <c r="AN45" s="56"/>
      <c r="AO45" s="56"/>
      <c r="AP45" s="56"/>
      <c r="AQ45" s="109"/>
      <c r="AR45" s="56"/>
      <c r="AS45" s="58"/>
      <c r="AT45" s="59"/>
      <c r="AU45" s="60"/>
      <c r="AV45" s="73"/>
      <c r="AW45" s="38"/>
      <c r="AX45" s="38"/>
      <c r="AY45" s="38"/>
      <c r="AZ45" s="38"/>
      <c r="BA45" s="38"/>
      <c r="BB45" s="38"/>
      <c r="BC45" s="38"/>
      <c r="BD45" s="38"/>
      <c r="BE45" s="38"/>
      <c r="BF45" s="38"/>
      <c r="BG45" s="38"/>
      <c r="BH45" s="39"/>
      <c r="BI45" s="39"/>
      <c r="BJ45" s="39"/>
      <c r="BK45" s="39"/>
      <c r="BL45" s="39"/>
      <c r="BM45" s="39"/>
      <c r="BN45" s="39"/>
      <c r="BO45" s="39"/>
      <c r="BP45" s="39"/>
      <c r="BQ45" s="39"/>
      <c r="BR45" s="39"/>
      <c r="BS45" s="39"/>
      <c r="BT45" s="39"/>
      <c r="BU45" s="39"/>
      <c r="BV45" s="39"/>
      <c r="BW45" s="39"/>
      <c r="IQ45" s="39"/>
      <c r="IR45" s="39"/>
      <c r="IS45" s="39"/>
      <c r="IT45" s="39"/>
      <c r="IU45" s="39"/>
      <c r="IV45" s="39"/>
      <c r="IW45" s="39"/>
    </row>
    <row r="46" spans="1:257" s="40" customFormat="1" ht="63.75">
      <c r="A46" s="1"/>
      <c r="B46" s="93">
        <v>45</v>
      </c>
      <c r="C46" s="24">
        <v>560298</v>
      </c>
      <c r="D46" s="25">
        <v>45341</v>
      </c>
      <c r="E46" s="26" t="s">
        <v>48</v>
      </c>
      <c r="F46" s="27">
        <v>53653</v>
      </c>
      <c r="G46" s="27">
        <v>163120</v>
      </c>
      <c r="H46" s="27">
        <v>33304</v>
      </c>
      <c r="I46" s="28">
        <v>3</v>
      </c>
      <c r="J46" s="28"/>
      <c r="K46" s="28">
        <v>2</v>
      </c>
      <c r="L46" s="28">
        <v>20</v>
      </c>
      <c r="M46" s="28" t="s">
        <v>43</v>
      </c>
      <c r="N46" s="28" t="s">
        <v>288</v>
      </c>
      <c r="O46" s="28" t="s">
        <v>289</v>
      </c>
      <c r="P46" s="28"/>
      <c r="Q46" s="28" t="s">
        <v>290</v>
      </c>
      <c r="R46" s="28" t="s">
        <v>290</v>
      </c>
      <c r="S46" s="28" t="s">
        <v>290</v>
      </c>
      <c r="T46" s="28" t="s">
        <v>189</v>
      </c>
      <c r="U46" s="28"/>
      <c r="V46" s="29">
        <v>1</v>
      </c>
      <c r="W46" s="28"/>
      <c r="X46" s="28"/>
      <c r="Y46" s="28" t="s">
        <v>54</v>
      </c>
      <c r="Z46" s="30"/>
      <c r="AA46" s="31">
        <v>3</v>
      </c>
      <c r="AB46" s="30"/>
      <c r="AC46" s="31">
        <f>+AA46+1</f>
        <v>4</v>
      </c>
      <c r="AD46" s="30"/>
      <c r="AE46" s="31">
        <f>+AA46*2</f>
        <v>6</v>
      </c>
      <c r="AF46" s="28"/>
      <c r="AG46" s="28"/>
      <c r="AH46" s="28"/>
      <c r="AI46" s="28"/>
      <c r="AJ46" s="110">
        <f>148.07+66.07/2</f>
        <v>181.10499999999999</v>
      </c>
      <c r="AK46" s="111"/>
      <c r="AL46" s="32">
        <v>843.6</v>
      </c>
      <c r="AM46" s="32">
        <f>+(148.07+66.07)/AL46</f>
        <v>0.25384068278805116</v>
      </c>
      <c r="AN46" s="32">
        <f>+AJ46/AL46</f>
        <v>0.21468112849691795</v>
      </c>
      <c r="AO46" s="32"/>
      <c r="AP46" s="32">
        <f>2900000+((6*118292+13*94607+2*70965)/21*AJ46)</f>
        <v>20851584.674523808</v>
      </c>
      <c r="AQ46" s="112">
        <v>213444.77</v>
      </c>
      <c r="AR46" s="32" t="s">
        <v>39</v>
      </c>
      <c r="AS46" s="34" t="s">
        <v>291</v>
      </c>
      <c r="AT46" s="35">
        <v>45398</v>
      </c>
      <c r="AU46" s="36"/>
      <c r="AV46" s="37" t="s">
        <v>292</v>
      </c>
      <c r="AW46" s="38"/>
      <c r="AX46" s="38"/>
      <c r="AY46" s="38"/>
      <c r="AZ46" s="38"/>
      <c r="BA46" s="38"/>
      <c r="BB46" s="38"/>
      <c r="BC46" s="38"/>
      <c r="BD46" s="38"/>
      <c r="BE46" s="38"/>
      <c r="BF46" s="38"/>
      <c r="BG46" s="38"/>
      <c r="BH46" s="39"/>
      <c r="BI46" s="39"/>
      <c r="BJ46" s="39"/>
      <c r="BK46" s="39"/>
      <c r="BL46" s="39"/>
      <c r="BM46" s="39"/>
      <c r="BN46" s="39"/>
      <c r="BO46" s="39"/>
      <c r="BP46" s="39"/>
      <c r="BQ46" s="39"/>
      <c r="BR46" s="39"/>
      <c r="BS46" s="39"/>
      <c r="BT46" s="39"/>
      <c r="BU46" s="39"/>
      <c r="BV46" s="39"/>
      <c r="BW46" s="39"/>
      <c r="IQ46" s="39"/>
      <c r="IR46" s="39"/>
      <c r="IS46" s="39"/>
      <c r="IT46" s="39"/>
      <c r="IU46" s="39"/>
      <c r="IV46" s="39"/>
      <c r="IW46" s="39"/>
    </row>
    <row r="47" spans="1:257" s="40" customFormat="1" ht="76.5">
      <c r="A47" s="1"/>
      <c r="B47" s="93">
        <v>46</v>
      </c>
      <c r="C47" s="24">
        <v>559388</v>
      </c>
      <c r="D47" s="25">
        <v>45308</v>
      </c>
      <c r="E47" s="26" t="s">
        <v>59</v>
      </c>
      <c r="F47" s="27">
        <v>61157</v>
      </c>
      <c r="G47" s="48">
        <v>169063</v>
      </c>
      <c r="H47" s="27">
        <v>34009</v>
      </c>
      <c r="I47" s="28">
        <v>247</v>
      </c>
      <c r="J47" s="28"/>
      <c r="K47" s="28">
        <v>5</v>
      </c>
      <c r="L47" s="28">
        <v>4</v>
      </c>
      <c r="M47" s="28" t="s">
        <v>33</v>
      </c>
      <c r="N47" s="28" t="s">
        <v>283</v>
      </c>
      <c r="O47" s="28" t="s">
        <v>284</v>
      </c>
      <c r="P47" s="28"/>
      <c r="Q47" s="28" t="s">
        <v>285</v>
      </c>
      <c r="R47" s="28" t="s">
        <v>285</v>
      </c>
      <c r="S47" s="28" t="s">
        <v>285</v>
      </c>
      <c r="T47" s="28" t="s">
        <v>53</v>
      </c>
      <c r="U47" s="28"/>
      <c r="V47" s="29"/>
      <c r="W47" s="28">
        <v>4</v>
      </c>
      <c r="X47" s="28"/>
      <c r="Y47" s="28" t="s">
        <v>38</v>
      </c>
      <c r="Z47" s="30">
        <f>1+1+1+1</f>
        <v>4</v>
      </c>
      <c r="AA47" s="31"/>
      <c r="AB47" s="30">
        <f>+Z47+1+1</f>
        <v>6</v>
      </c>
      <c r="AC47" s="31"/>
      <c r="AD47" s="30">
        <f>+Z47*2</f>
        <v>8</v>
      </c>
      <c r="AE47" s="31"/>
      <c r="AF47" s="28">
        <f>118+24.77/2+21.64/2</f>
        <v>141.20499999999998</v>
      </c>
      <c r="AG47" s="28"/>
      <c r="AH47" s="28"/>
      <c r="AI47" s="28"/>
      <c r="AJ47" s="110">
        <f>10.7+51.5/2</f>
        <v>36.450000000000003</v>
      </c>
      <c r="AK47" s="111"/>
      <c r="AL47" s="32">
        <v>864</v>
      </c>
      <c r="AM47" s="32">
        <f>+(118+24.77+21.64+10.7+51.5)/AL47</f>
        <v>0.26228009259259261</v>
      </c>
      <c r="AN47" s="32">
        <f>+(AF47+AJ47)/AL47</f>
        <v>0.20561921296296293</v>
      </c>
      <c r="AO47" s="32"/>
      <c r="AP47" s="32">
        <v>4000000</v>
      </c>
      <c r="AQ47" s="112">
        <v>8792</v>
      </c>
      <c r="AR47" s="32" t="s">
        <v>39</v>
      </c>
      <c r="AS47" s="34" t="s">
        <v>286</v>
      </c>
      <c r="AT47" s="35">
        <v>45398</v>
      </c>
      <c r="AU47" s="36"/>
      <c r="AV47" s="37" t="s">
        <v>287</v>
      </c>
      <c r="AW47" s="38"/>
      <c r="AX47" s="38"/>
      <c r="AY47" s="38"/>
      <c r="AZ47" s="38"/>
      <c r="BA47" s="38"/>
      <c r="BB47" s="38"/>
      <c r="BC47" s="38"/>
      <c r="BD47" s="38"/>
      <c r="BE47" s="38"/>
      <c r="BF47" s="38"/>
      <c r="BG47" s="38"/>
      <c r="BH47" s="39"/>
      <c r="BI47" s="39"/>
      <c r="BJ47" s="39"/>
      <c r="BK47" s="39"/>
      <c r="BL47" s="39"/>
      <c r="BM47" s="39"/>
      <c r="BN47" s="39"/>
      <c r="BO47" s="39"/>
      <c r="BP47" s="39"/>
      <c r="BQ47" s="39"/>
      <c r="BR47" s="39"/>
      <c r="BS47" s="39"/>
      <c r="BT47" s="39"/>
      <c r="BU47" s="39"/>
      <c r="BV47" s="39"/>
      <c r="BW47" s="39"/>
      <c r="IQ47" s="39"/>
      <c r="IR47" s="39"/>
      <c r="IS47" s="39"/>
      <c r="IT47" s="39"/>
      <c r="IU47" s="39"/>
      <c r="IV47" s="39"/>
      <c r="IW47" s="39"/>
    </row>
    <row r="48" spans="1:257" s="40" customFormat="1" ht="38.25">
      <c r="A48" s="1"/>
      <c r="B48" s="93">
        <v>47</v>
      </c>
      <c r="C48" s="24">
        <v>561319</v>
      </c>
      <c r="D48" s="25">
        <v>45373</v>
      </c>
      <c r="E48" s="26" t="s">
        <v>48</v>
      </c>
      <c r="F48" s="27">
        <v>31645</v>
      </c>
      <c r="G48" s="27">
        <v>307</v>
      </c>
      <c r="H48" s="27">
        <v>586</v>
      </c>
      <c r="I48" s="28"/>
      <c r="J48" s="28"/>
      <c r="K48" s="28">
        <v>75</v>
      </c>
      <c r="L48" s="28">
        <v>7</v>
      </c>
      <c r="M48" s="28" t="s">
        <v>79</v>
      </c>
      <c r="N48" s="28" t="s">
        <v>293</v>
      </c>
      <c r="O48" s="28" t="s">
        <v>294</v>
      </c>
      <c r="P48" s="28"/>
      <c r="Q48" s="28" t="s">
        <v>154</v>
      </c>
      <c r="R48" s="28" t="s">
        <v>154</v>
      </c>
      <c r="S48" s="28" t="s">
        <v>154</v>
      </c>
      <c r="T48" s="28" t="s">
        <v>53</v>
      </c>
      <c r="U48" s="28"/>
      <c r="V48" s="29">
        <v>4</v>
      </c>
      <c r="W48" s="28"/>
      <c r="X48" s="28"/>
      <c r="Y48" s="28" t="s">
        <v>225</v>
      </c>
      <c r="Z48" s="30"/>
      <c r="AA48" s="31"/>
      <c r="AB48" s="30"/>
      <c r="AC48" s="31"/>
      <c r="AD48" s="30"/>
      <c r="AE48" s="31"/>
      <c r="AF48" s="28"/>
      <c r="AG48" s="28"/>
      <c r="AH48" s="28"/>
      <c r="AI48" s="28"/>
      <c r="AJ48" s="110"/>
      <c r="AK48" s="111">
        <v>199.3</v>
      </c>
      <c r="AL48" s="32">
        <v>219.45</v>
      </c>
      <c r="AM48" s="32">
        <f>+AK48/AL48</f>
        <v>0.9081795397584872</v>
      </c>
      <c r="AN48" s="32">
        <f>+AK48/AL48</f>
        <v>0.9081795397584872</v>
      </c>
      <c r="AO48" s="32">
        <f>+(12+12)/(6+4)</f>
        <v>2.4</v>
      </c>
      <c r="AP48" s="32">
        <f>350000+(AK48*94607)</f>
        <v>19205175.100000001</v>
      </c>
      <c r="AQ48" s="112">
        <v>91067.28</v>
      </c>
      <c r="AR48" s="32" t="s">
        <v>39</v>
      </c>
      <c r="AS48" s="34" t="s">
        <v>295</v>
      </c>
      <c r="AT48" s="35">
        <v>45404</v>
      </c>
      <c r="AU48" s="36"/>
      <c r="AV48" s="37" t="s">
        <v>296</v>
      </c>
      <c r="AW48" s="38"/>
      <c r="AX48" s="38"/>
      <c r="AY48" s="38"/>
      <c r="AZ48" s="38"/>
      <c r="BA48" s="38"/>
      <c r="BB48" s="38"/>
      <c r="BC48" s="38"/>
      <c r="BD48" s="38"/>
      <c r="BE48" s="38"/>
      <c r="BF48" s="38"/>
      <c r="BG48" s="38"/>
      <c r="BH48" s="39"/>
      <c r="BI48" s="39"/>
      <c r="BJ48" s="39"/>
      <c r="BK48" s="39"/>
      <c r="BL48" s="39"/>
      <c r="BM48" s="39"/>
      <c r="BN48" s="39"/>
      <c r="BO48" s="39"/>
      <c r="BP48" s="39"/>
      <c r="BQ48" s="39"/>
      <c r="BR48" s="39"/>
      <c r="BS48" s="39"/>
      <c r="BT48" s="39"/>
      <c r="BU48" s="39"/>
      <c r="BV48" s="39"/>
      <c r="BW48" s="39"/>
      <c r="IQ48" s="39"/>
      <c r="IR48" s="39"/>
      <c r="IS48" s="39"/>
      <c r="IT48" s="39"/>
      <c r="IU48" s="39"/>
      <c r="IV48" s="39"/>
      <c r="IW48" s="39"/>
    </row>
    <row r="49" spans="1:257" s="40" customFormat="1" ht="51">
      <c r="A49" s="1"/>
      <c r="B49" s="93">
        <v>48</v>
      </c>
      <c r="C49" s="24">
        <v>561819</v>
      </c>
      <c r="D49" s="25">
        <v>45394</v>
      </c>
      <c r="E49" s="26" t="s">
        <v>42</v>
      </c>
      <c r="F49" s="27">
        <v>-26241</v>
      </c>
      <c r="G49" s="27">
        <v>119614</v>
      </c>
      <c r="H49" s="27">
        <v>20193</v>
      </c>
      <c r="I49" s="28">
        <v>116</v>
      </c>
      <c r="J49" s="28"/>
      <c r="K49" s="28">
        <v>635</v>
      </c>
      <c r="L49" s="28">
        <v>10</v>
      </c>
      <c r="M49" s="28" t="s">
        <v>43</v>
      </c>
      <c r="N49" s="28" t="s">
        <v>297</v>
      </c>
      <c r="O49" s="28" t="s">
        <v>298</v>
      </c>
      <c r="P49" s="28"/>
      <c r="Q49" s="28" t="s">
        <v>168</v>
      </c>
      <c r="R49" s="28"/>
      <c r="S49" s="28"/>
      <c r="T49" s="28"/>
      <c r="U49" s="28">
        <f>1+1</f>
        <v>2</v>
      </c>
      <c r="V49" s="29"/>
      <c r="W49" s="28"/>
      <c r="X49" s="28"/>
      <c r="Y49" s="28" t="s">
        <v>83</v>
      </c>
      <c r="Z49" s="30"/>
      <c r="AA49" s="31"/>
      <c r="AB49" s="30"/>
      <c r="AC49" s="31"/>
      <c r="AD49" s="30"/>
      <c r="AE49" s="31"/>
      <c r="AF49" s="28"/>
      <c r="AG49" s="28"/>
      <c r="AH49" s="28">
        <f>157.54+7.4/2-AI49</f>
        <v>108.80299999999997</v>
      </c>
      <c r="AI49" s="28">
        <f>+(3.7+0.15)*(0.16+13.3+0.16)</f>
        <v>52.437000000000005</v>
      </c>
      <c r="AJ49" s="110"/>
      <c r="AK49" s="111"/>
      <c r="AL49" s="32">
        <v>300.45999999999998</v>
      </c>
      <c r="AM49" s="32">
        <f>+(157.54+7.4)/AL49</f>
        <v>0.54895826399520742</v>
      </c>
      <c r="AN49" s="32">
        <f>+(AH49+AI49)/AL49</f>
        <v>0.53664381282034213</v>
      </c>
      <c r="AO49" s="32">
        <f>+(6+24)/(2+6)</f>
        <v>3.75</v>
      </c>
      <c r="AP49" s="32">
        <f>+((7*118.292+2*94607+70965*5+7*47317)/21*AH49)+(AI49*94607)</f>
        <v>9499992.4897300936</v>
      </c>
      <c r="AQ49" s="112">
        <v>198844.92</v>
      </c>
      <c r="AR49" s="32" t="s">
        <v>39</v>
      </c>
      <c r="AS49" s="34" t="s">
        <v>299</v>
      </c>
      <c r="AT49" s="35">
        <v>45404</v>
      </c>
      <c r="AU49" s="36"/>
      <c r="AV49" s="37"/>
      <c r="AW49" s="38"/>
      <c r="AX49" s="38"/>
      <c r="AY49" s="38"/>
      <c r="AZ49" s="38"/>
      <c r="BA49" s="38"/>
      <c r="BB49" s="38"/>
      <c r="BC49" s="38"/>
      <c r="BD49" s="38"/>
      <c r="BE49" s="38"/>
      <c r="BF49" s="38"/>
      <c r="BG49" s="38"/>
      <c r="BH49" s="39"/>
      <c r="BI49" s="39"/>
      <c r="BJ49" s="39"/>
      <c r="BK49" s="39"/>
      <c r="BL49" s="39"/>
      <c r="BM49" s="39"/>
      <c r="BN49" s="39"/>
      <c r="BO49" s="39"/>
      <c r="BP49" s="39"/>
      <c r="BQ49" s="39"/>
      <c r="BR49" s="39"/>
      <c r="BS49" s="39"/>
      <c r="BT49" s="39"/>
      <c r="BU49" s="39"/>
      <c r="BV49" s="39"/>
      <c r="BW49" s="39"/>
      <c r="IQ49" s="39"/>
      <c r="IR49" s="39"/>
      <c r="IS49" s="39"/>
      <c r="IT49" s="39"/>
      <c r="IU49" s="39"/>
      <c r="IV49" s="39"/>
      <c r="IW49" s="39"/>
    </row>
    <row r="50" spans="1:257" s="40" customFormat="1" ht="25.5" customHeight="1">
      <c r="A50" s="1"/>
      <c r="B50" s="93">
        <v>49</v>
      </c>
      <c r="C50" s="75" t="s">
        <v>300</v>
      </c>
      <c r="D50" s="76">
        <v>45008</v>
      </c>
      <c r="E50" s="193" t="s">
        <v>59</v>
      </c>
      <c r="F50" s="27">
        <v>11160</v>
      </c>
      <c r="G50" s="27">
        <v>1694</v>
      </c>
      <c r="H50" s="27">
        <v>5011</v>
      </c>
      <c r="I50" s="28"/>
      <c r="J50" s="28"/>
      <c r="K50" s="79">
        <v>222</v>
      </c>
      <c r="L50" s="28">
        <v>1</v>
      </c>
      <c r="M50" s="79" t="s">
        <v>43</v>
      </c>
      <c r="N50" s="28" t="s">
        <v>301</v>
      </c>
      <c r="O50" s="28"/>
      <c r="P50" s="79" t="s">
        <v>302</v>
      </c>
      <c r="Q50" s="79" t="s">
        <v>303</v>
      </c>
      <c r="R50" s="79" t="s">
        <v>303</v>
      </c>
      <c r="S50" s="79" t="s">
        <v>303</v>
      </c>
      <c r="T50" s="79" t="s">
        <v>53</v>
      </c>
      <c r="U50" s="28"/>
      <c r="V50" s="29"/>
      <c r="W50" s="28">
        <v>1</v>
      </c>
      <c r="X50" s="28"/>
      <c r="Y50" s="79" t="s">
        <v>304</v>
      </c>
      <c r="Z50" s="30">
        <v>194</v>
      </c>
      <c r="AA50" s="31"/>
      <c r="AB50" s="30"/>
      <c r="AC50" s="31"/>
      <c r="AD50" s="30">
        <f>+Z50*2</f>
        <v>388</v>
      </c>
      <c r="AE50" s="31"/>
      <c r="AF50" s="28">
        <f>1035.14+158.48/2</f>
        <v>1114.3800000000001</v>
      </c>
      <c r="AG50" s="28"/>
      <c r="AH50" s="28"/>
      <c r="AI50" s="28"/>
      <c r="AJ50" s="110"/>
      <c r="AK50" s="111"/>
      <c r="AL50" s="32">
        <v>1607.92</v>
      </c>
      <c r="AM50" s="32">
        <v>0.47</v>
      </c>
      <c r="AN50" s="32">
        <v>0.68</v>
      </c>
      <c r="AO50" s="32"/>
      <c r="AP50" s="81">
        <v>107694538.31</v>
      </c>
      <c r="AQ50" s="194">
        <v>1595062.9</v>
      </c>
      <c r="AR50" s="81" t="s">
        <v>55</v>
      </c>
      <c r="AS50" s="83" t="s">
        <v>305</v>
      </c>
      <c r="AT50" s="84">
        <v>45405</v>
      </c>
      <c r="AU50" s="36"/>
      <c r="AV50" s="195">
        <v>45377</v>
      </c>
      <c r="AW50" s="38"/>
      <c r="AX50" s="38"/>
      <c r="AY50" s="38"/>
      <c r="AZ50" s="38"/>
      <c r="BA50" s="38"/>
      <c r="BB50" s="38"/>
      <c r="BC50" s="38"/>
      <c r="BD50" s="38"/>
      <c r="BE50" s="38"/>
      <c r="BF50" s="38"/>
      <c r="BG50" s="38"/>
      <c r="BH50" s="39"/>
      <c r="BI50" s="39"/>
      <c r="BJ50" s="39"/>
      <c r="BK50" s="39"/>
      <c r="BL50" s="39"/>
      <c r="BM50" s="39"/>
      <c r="BN50" s="39"/>
      <c r="BO50" s="39"/>
      <c r="BP50" s="39"/>
      <c r="BQ50" s="39"/>
      <c r="BR50" s="39"/>
      <c r="BS50" s="39"/>
      <c r="BT50" s="39"/>
      <c r="BU50" s="39"/>
      <c r="BV50" s="39"/>
      <c r="BW50" s="39"/>
      <c r="IQ50" s="39"/>
      <c r="IR50" s="39"/>
      <c r="IS50" s="39"/>
      <c r="IT50" s="39"/>
      <c r="IU50" s="39"/>
      <c r="IV50" s="39"/>
      <c r="IW50" s="39"/>
    </row>
    <row r="51" spans="1:257" s="40" customFormat="1" ht="38.25">
      <c r="A51" s="1"/>
      <c r="B51" s="93">
        <v>50</v>
      </c>
      <c r="C51" s="24" t="s">
        <v>306</v>
      </c>
      <c r="D51" s="25">
        <v>45317</v>
      </c>
      <c r="E51" s="26" t="s">
        <v>48</v>
      </c>
      <c r="F51" s="27">
        <v>38934</v>
      </c>
      <c r="G51" s="27">
        <v>119958</v>
      </c>
      <c r="H51" s="27">
        <v>3905</v>
      </c>
      <c r="I51" s="28"/>
      <c r="J51" s="28"/>
      <c r="K51" s="28">
        <v>803</v>
      </c>
      <c r="L51" s="28">
        <v>15</v>
      </c>
      <c r="M51" s="28" t="s">
        <v>43</v>
      </c>
      <c r="N51" s="28" t="s">
        <v>307</v>
      </c>
      <c r="O51" s="28" t="s">
        <v>308</v>
      </c>
      <c r="P51" s="28"/>
      <c r="Q51" s="28" t="s">
        <v>132</v>
      </c>
      <c r="R51" s="28" t="s">
        <v>132</v>
      </c>
      <c r="S51" s="28" t="s">
        <v>132</v>
      </c>
      <c r="T51" s="28" t="s">
        <v>169</v>
      </c>
      <c r="U51" s="28"/>
      <c r="V51" s="29">
        <v>11</v>
      </c>
      <c r="W51" s="28"/>
      <c r="X51" s="28"/>
      <c r="Y51" s="28" t="s">
        <v>156</v>
      </c>
      <c r="Z51" s="30"/>
      <c r="AA51" s="31">
        <f>+V51*1+2</f>
        <v>13</v>
      </c>
      <c r="AB51" s="30"/>
      <c r="AC51" s="31">
        <f>+AA51+11</f>
        <v>24</v>
      </c>
      <c r="AD51" s="30"/>
      <c r="AE51" s="31">
        <f>+AA51*2</f>
        <v>26</v>
      </c>
      <c r="AF51" s="28"/>
      <c r="AG51" s="28"/>
      <c r="AH51" s="28"/>
      <c r="AI51" s="28"/>
      <c r="AJ51" s="110">
        <f>831.16+237.94/2</f>
        <v>950.13</v>
      </c>
      <c r="AK51" s="111"/>
      <c r="AL51" s="32">
        <v>412.17</v>
      </c>
      <c r="AM51" s="32"/>
      <c r="AN51" s="32">
        <f>+AJ51/AL51</f>
        <v>2.3051896062304387</v>
      </c>
      <c r="AO51" s="32"/>
      <c r="AP51" s="32">
        <f>+(4*118292+94607*13+70968*8+47317)/26*AJ51</f>
        <v>84712129.061538458</v>
      </c>
      <c r="AQ51" s="112">
        <v>298572.45</v>
      </c>
      <c r="AR51" s="32" t="s">
        <v>55</v>
      </c>
      <c r="AS51" s="34" t="s">
        <v>309</v>
      </c>
      <c r="AT51" s="35">
        <v>45407</v>
      </c>
      <c r="AU51" s="36"/>
      <c r="AV51" s="37" t="s">
        <v>310</v>
      </c>
      <c r="AW51" s="38"/>
      <c r="AX51" s="38"/>
      <c r="AY51" s="38"/>
      <c r="AZ51" s="38"/>
      <c r="BA51" s="38"/>
      <c r="BB51" s="38"/>
      <c r="BC51" s="38"/>
      <c r="BD51" s="38"/>
      <c r="BE51" s="38"/>
      <c r="BF51" s="38"/>
      <c r="BG51" s="38"/>
      <c r="BH51" s="39"/>
      <c r="BI51" s="39"/>
      <c r="BJ51" s="39"/>
      <c r="BK51" s="39"/>
      <c r="BL51" s="39"/>
      <c r="BM51" s="39"/>
      <c r="BN51" s="39"/>
      <c r="BO51" s="39"/>
      <c r="BP51" s="39"/>
      <c r="BQ51" s="39"/>
      <c r="BR51" s="39"/>
      <c r="BS51" s="39"/>
      <c r="BT51" s="39"/>
      <c r="BU51" s="39"/>
      <c r="BV51" s="39"/>
      <c r="BW51" s="39"/>
      <c r="IQ51" s="39"/>
      <c r="IR51" s="39"/>
      <c r="IS51" s="39"/>
      <c r="IT51" s="39"/>
      <c r="IU51" s="39"/>
      <c r="IV51" s="39"/>
      <c r="IW51" s="39"/>
    </row>
    <row r="52" spans="1:257" s="40" customFormat="1" ht="76.5">
      <c r="A52" s="1"/>
      <c r="B52" s="93">
        <v>51</v>
      </c>
      <c r="C52" s="24">
        <v>561386</v>
      </c>
      <c r="D52" s="25">
        <v>45376</v>
      </c>
      <c r="E52" s="26" t="s">
        <v>42</v>
      </c>
      <c r="F52" s="27">
        <v>54031</v>
      </c>
      <c r="G52" s="27">
        <v>163317</v>
      </c>
      <c r="H52" s="27">
        <v>33325</v>
      </c>
      <c r="I52" s="28">
        <v>289</v>
      </c>
      <c r="J52" s="28"/>
      <c r="K52" s="28"/>
      <c r="L52" s="28">
        <v>17</v>
      </c>
      <c r="M52" s="28" t="s">
        <v>33</v>
      </c>
      <c r="N52" s="28" t="s">
        <v>107</v>
      </c>
      <c r="O52" s="28" t="s">
        <v>311</v>
      </c>
      <c r="P52" s="28"/>
      <c r="Q52" s="28" t="s">
        <v>312</v>
      </c>
      <c r="R52" s="28"/>
      <c r="S52" s="28"/>
      <c r="T52" s="28"/>
      <c r="U52" s="28">
        <v>1</v>
      </c>
      <c r="V52" s="29"/>
      <c r="W52" s="28"/>
      <c r="X52" s="28"/>
      <c r="Y52" s="28" t="s">
        <v>54</v>
      </c>
      <c r="Z52" s="30">
        <v>2</v>
      </c>
      <c r="AA52" s="31"/>
      <c r="AB52" s="30">
        <f>+Z52+1+1</f>
        <v>4</v>
      </c>
      <c r="AC52" s="31"/>
      <c r="AD52" s="30">
        <f>+Z52*2</f>
        <v>4</v>
      </c>
      <c r="AE52" s="31"/>
      <c r="AF52" s="28"/>
      <c r="AG52" s="28"/>
      <c r="AH52" s="28">
        <f>124.68+39.96/2</f>
        <v>144.66</v>
      </c>
      <c r="AI52" s="28"/>
      <c r="AJ52" s="110"/>
      <c r="AK52" s="111"/>
      <c r="AL52" s="32">
        <v>600</v>
      </c>
      <c r="AM52" s="32">
        <f>+(124.68+39.96)/AL52</f>
        <v>0.27440000000000003</v>
      </c>
      <c r="AN52" s="32">
        <f>+AH52/AL52</f>
        <v>0.24109999999999998</v>
      </c>
      <c r="AO52" s="32">
        <f>+(15+16)/(5+4)</f>
        <v>3.4444444444444446</v>
      </c>
      <c r="AP52" s="32">
        <f>+(5*118292+8*94607+70965*8)/21*AH52</f>
        <v>13198750.845714286</v>
      </c>
      <c r="AQ52" s="112">
        <v>194244.13</v>
      </c>
      <c r="AR52" s="32" t="s">
        <v>55</v>
      </c>
      <c r="AS52" s="34" t="s">
        <v>313</v>
      </c>
      <c r="AT52" s="35">
        <v>45408</v>
      </c>
      <c r="AU52" s="36"/>
      <c r="AV52" s="37">
        <v>45377</v>
      </c>
      <c r="AW52" s="38"/>
      <c r="AX52" s="38"/>
      <c r="AY52" s="38"/>
      <c r="AZ52" s="38"/>
      <c r="BA52" s="38"/>
      <c r="BB52" s="38"/>
      <c r="BC52" s="38"/>
      <c r="BD52" s="38"/>
      <c r="BE52" s="38"/>
      <c r="BF52" s="38"/>
      <c r="BG52" s="38"/>
      <c r="BH52" s="39"/>
      <c r="BI52" s="39"/>
      <c r="BJ52" s="39"/>
      <c r="BK52" s="39"/>
      <c r="BL52" s="39"/>
      <c r="BM52" s="39"/>
      <c r="BN52" s="39"/>
      <c r="BO52" s="39"/>
      <c r="BP52" s="39"/>
      <c r="BQ52" s="39"/>
      <c r="BR52" s="39"/>
      <c r="BS52" s="39"/>
      <c r="BT52" s="39"/>
      <c r="BU52" s="39"/>
      <c r="BV52" s="39"/>
      <c r="BW52" s="39"/>
      <c r="IQ52" s="39"/>
      <c r="IR52" s="39"/>
      <c r="IS52" s="39"/>
      <c r="IT52" s="39"/>
      <c r="IU52" s="39"/>
      <c r="IV52" s="39"/>
      <c r="IW52" s="39"/>
    </row>
    <row r="53" spans="1:257" s="40" customFormat="1" ht="51">
      <c r="A53" s="1"/>
      <c r="B53" s="93">
        <v>52</v>
      </c>
      <c r="C53" s="24">
        <v>560465</v>
      </c>
      <c r="D53" s="25">
        <v>45348</v>
      </c>
      <c r="E53" s="26" t="s">
        <v>48</v>
      </c>
      <c r="F53" s="27">
        <v>52737</v>
      </c>
      <c r="G53" s="27">
        <v>138605</v>
      </c>
      <c r="H53" s="27">
        <v>21285</v>
      </c>
      <c r="I53" s="28"/>
      <c r="J53" s="28"/>
      <c r="K53" s="28">
        <v>291</v>
      </c>
      <c r="L53" s="28">
        <v>2</v>
      </c>
      <c r="M53" s="28" t="s">
        <v>43</v>
      </c>
      <c r="N53" s="28" t="s">
        <v>314</v>
      </c>
      <c r="O53" s="28" t="s">
        <v>315</v>
      </c>
      <c r="P53" s="28"/>
      <c r="Q53" s="28" t="s">
        <v>316</v>
      </c>
      <c r="R53" s="28" t="s">
        <v>316</v>
      </c>
      <c r="S53" s="28" t="s">
        <v>316</v>
      </c>
      <c r="T53" s="28" t="s">
        <v>53</v>
      </c>
      <c r="U53" s="28"/>
      <c r="V53" s="29">
        <v>1</v>
      </c>
      <c r="W53" s="28"/>
      <c r="X53" s="28"/>
      <c r="Y53" s="28" t="s">
        <v>54</v>
      </c>
      <c r="Z53" s="30"/>
      <c r="AA53" s="31">
        <v>2</v>
      </c>
      <c r="AB53" s="30"/>
      <c r="AC53" s="31">
        <f>+AA53+1</f>
        <v>3</v>
      </c>
      <c r="AD53" s="30"/>
      <c r="AE53" s="31">
        <f>+AA53*2</f>
        <v>4</v>
      </c>
      <c r="AF53" s="28"/>
      <c r="AG53" s="28"/>
      <c r="AH53" s="28"/>
      <c r="AI53" s="28"/>
      <c r="AJ53" s="110">
        <f>69.65+8.4/2</f>
        <v>73.850000000000009</v>
      </c>
      <c r="AK53" s="111"/>
      <c r="AL53" s="32">
        <v>374.99</v>
      </c>
      <c r="AM53" s="32">
        <f>+(69.65+8.4)/AL53</f>
        <v>0.20813888370356545</v>
      </c>
      <c r="AN53" s="32">
        <f>+AJ53/AL53</f>
        <v>0.19693858502893413</v>
      </c>
      <c r="AO53" s="32"/>
      <c r="AP53" s="32">
        <f>+(2*118292+94607*8+5*70965+47317*4)/19*AJ53</f>
        <v>5976148.0026315795</v>
      </c>
      <c r="AQ53" s="112">
        <v>93775.92</v>
      </c>
      <c r="AR53" s="32" t="s">
        <v>39</v>
      </c>
      <c r="AS53" s="34" t="s">
        <v>317</v>
      </c>
      <c r="AT53" s="35">
        <v>45411</v>
      </c>
      <c r="AU53" s="36"/>
      <c r="AV53" s="37" t="s">
        <v>318</v>
      </c>
      <c r="AW53" s="38"/>
      <c r="AX53" s="38"/>
      <c r="AY53" s="38"/>
      <c r="AZ53" s="38"/>
      <c r="BA53" s="38"/>
      <c r="BB53" s="38"/>
      <c r="BC53" s="38"/>
      <c r="BD53" s="38"/>
      <c r="BE53" s="38"/>
      <c r="BF53" s="38"/>
      <c r="BG53" s="38"/>
      <c r="BH53" s="39"/>
      <c r="BI53" s="39"/>
      <c r="BJ53" s="39"/>
      <c r="BK53" s="39"/>
      <c r="BL53" s="39"/>
      <c r="BM53" s="39"/>
      <c r="BN53" s="39"/>
      <c r="BO53" s="39"/>
      <c r="BP53" s="39"/>
      <c r="BQ53" s="39"/>
      <c r="BR53" s="39"/>
      <c r="BS53" s="39"/>
      <c r="BT53" s="39"/>
      <c r="BU53" s="39"/>
      <c r="BV53" s="39"/>
      <c r="BW53" s="39"/>
      <c r="IQ53" s="39"/>
      <c r="IR53" s="39"/>
      <c r="IS53" s="39"/>
      <c r="IT53" s="39"/>
      <c r="IU53" s="39"/>
      <c r="IV53" s="39"/>
      <c r="IW53" s="39"/>
    </row>
    <row r="54" spans="1:257" s="40" customFormat="1" ht="38.25">
      <c r="A54" s="1" t="s">
        <v>319</v>
      </c>
      <c r="B54" s="74">
        <v>53</v>
      </c>
      <c r="C54" s="24">
        <v>561884</v>
      </c>
      <c r="D54" s="25">
        <v>45398</v>
      </c>
      <c r="E54" s="26" t="s">
        <v>42</v>
      </c>
      <c r="F54" s="27">
        <v>60107</v>
      </c>
      <c r="G54" s="27">
        <v>168258</v>
      </c>
      <c r="H54" s="27">
        <v>33906</v>
      </c>
      <c r="I54" s="28">
        <v>308</v>
      </c>
      <c r="J54" s="28"/>
      <c r="K54" s="28"/>
      <c r="L54" s="28">
        <v>21</v>
      </c>
      <c r="M54" s="28" t="s">
        <v>33</v>
      </c>
      <c r="N54" s="28" t="s">
        <v>320</v>
      </c>
      <c r="O54" s="28" t="s">
        <v>321</v>
      </c>
      <c r="P54" s="28"/>
      <c r="Q54" s="28" t="s">
        <v>132</v>
      </c>
      <c r="R54" s="28"/>
      <c r="S54" s="28"/>
      <c r="T54" s="28"/>
      <c r="U54" s="28">
        <v>1</v>
      </c>
      <c r="V54" s="29"/>
      <c r="W54" s="28"/>
      <c r="X54" s="28"/>
      <c r="Y54" s="28" t="s">
        <v>94</v>
      </c>
      <c r="Z54" s="30"/>
      <c r="AA54" s="31"/>
      <c r="AB54" s="30"/>
      <c r="AC54" s="31"/>
      <c r="AD54" s="30"/>
      <c r="AE54" s="31"/>
      <c r="AF54" s="28"/>
      <c r="AG54" s="28">
        <v>787.5</v>
      </c>
      <c r="AH54" s="28"/>
      <c r="AI54" s="28">
        <f>823.38-AG54</f>
        <v>35.879999999999995</v>
      </c>
      <c r="AJ54" s="110"/>
      <c r="AK54" s="111"/>
      <c r="AL54" s="32">
        <v>2754.38</v>
      </c>
      <c r="AM54" s="32">
        <f>+(787.5/AL54)</f>
        <v>0.28590826247649198</v>
      </c>
      <c r="AN54" s="32">
        <f>+(AG54+AI54)/AL54</f>
        <v>0.29893478750208757</v>
      </c>
      <c r="AO54" s="32"/>
      <c r="AP54" s="32">
        <v>1373625.26</v>
      </c>
      <c r="AQ54" s="33">
        <v>21205.84</v>
      </c>
      <c r="AR54" s="32" t="s">
        <v>55</v>
      </c>
      <c r="AS54" s="34" t="s">
        <v>322</v>
      </c>
      <c r="AT54" s="35">
        <v>45420</v>
      </c>
      <c r="AU54" s="36"/>
      <c r="AV54" s="37">
        <v>45401</v>
      </c>
      <c r="AW54" s="38"/>
      <c r="AX54" s="38"/>
      <c r="AY54" s="38"/>
      <c r="AZ54" s="38"/>
      <c r="BA54" s="38"/>
      <c r="BB54" s="38"/>
      <c r="BC54" s="38"/>
      <c r="BD54" s="38"/>
      <c r="BE54" s="38"/>
      <c r="BF54" s="38"/>
      <c r="BG54" s="38"/>
      <c r="BH54" s="39"/>
      <c r="BI54" s="39"/>
      <c r="BJ54" s="39"/>
      <c r="BK54" s="39"/>
      <c r="BL54" s="39"/>
      <c r="BM54" s="39"/>
      <c r="BN54" s="39"/>
      <c r="BO54" s="39"/>
      <c r="BP54" s="39"/>
      <c r="BQ54" s="39"/>
      <c r="BR54" s="39"/>
      <c r="BS54" s="39"/>
      <c r="BT54" s="39"/>
      <c r="BU54" s="39"/>
      <c r="BV54" s="39"/>
      <c r="BW54" s="39"/>
      <c r="IQ54" s="39"/>
      <c r="IR54" s="39"/>
      <c r="IS54" s="39"/>
      <c r="IT54" s="39"/>
      <c r="IU54" s="39"/>
      <c r="IV54" s="39"/>
      <c r="IW54" s="39"/>
    </row>
    <row r="55" spans="1:257" s="40" customFormat="1" ht="25.5">
      <c r="A55" s="1"/>
      <c r="B55" s="74">
        <v>54</v>
      </c>
      <c r="C55" s="24">
        <v>562188</v>
      </c>
      <c r="D55" s="25">
        <v>45412</v>
      </c>
      <c r="E55" s="26" t="s">
        <v>42</v>
      </c>
      <c r="F55" s="27">
        <v>52598</v>
      </c>
      <c r="G55" s="27">
        <v>162227</v>
      </c>
      <c r="H55" s="27">
        <v>33140</v>
      </c>
      <c r="I55" s="28">
        <v>1</v>
      </c>
      <c r="J55" s="28"/>
      <c r="K55" s="28"/>
      <c r="L55" s="28">
        <v>61</v>
      </c>
      <c r="M55" s="28" t="s">
        <v>323</v>
      </c>
      <c r="N55" s="28" t="s">
        <v>324</v>
      </c>
      <c r="O55" s="28" t="s">
        <v>325</v>
      </c>
      <c r="P55" s="28"/>
      <c r="Q55" s="28" t="s">
        <v>168</v>
      </c>
      <c r="R55" s="28"/>
      <c r="S55" s="28"/>
      <c r="T55" s="28"/>
      <c r="U55" s="28">
        <v>1</v>
      </c>
      <c r="V55" s="29"/>
      <c r="W55" s="28"/>
      <c r="X55" s="28"/>
      <c r="Y55" s="28" t="s">
        <v>54</v>
      </c>
      <c r="Z55" s="30">
        <v>1</v>
      </c>
      <c r="AA55" s="31"/>
      <c r="AB55" s="30">
        <v>1</v>
      </c>
      <c r="AC55" s="31"/>
      <c r="AD55" s="30">
        <f>+Z55*2</f>
        <v>2</v>
      </c>
      <c r="AE55" s="31"/>
      <c r="AF55" s="28"/>
      <c r="AG55" s="28"/>
      <c r="AH55" s="28">
        <v>31.44</v>
      </c>
      <c r="AI55" s="28"/>
      <c r="AJ55" s="110"/>
      <c r="AK55" s="111"/>
      <c r="AL55" s="32">
        <v>6855</v>
      </c>
      <c r="AM55" s="32">
        <f>+AH55/AL55</f>
        <v>4.5864332603938731E-3</v>
      </c>
      <c r="AN55" s="32">
        <f>+AH55/AL55</f>
        <v>4.5864332603938731E-3</v>
      </c>
      <c r="AO55" s="32">
        <f>36/9</f>
        <v>4</v>
      </c>
      <c r="AP55" s="32">
        <f>+(494607+70965*6+10*47317)/20*AH55</f>
        <v>2190687.3240000005</v>
      </c>
      <c r="AQ55" s="33">
        <v>30043.17</v>
      </c>
      <c r="AR55" s="32" t="s">
        <v>39</v>
      </c>
      <c r="AS55" s="34" t="s">
        <v>326</v>
      </c>
      <c r="AT55" s="35">
        <v>45421</v>
      </c>
      <c r="AU55" s="36"/>
      <c r="AV55" s="37">
        <v>45414</v>
      </c>
      <c r="AW55" s="38"/>
      <c r="AX55" s="38"/>
      <c r="AY55" s="38"/>
      <c r="AZ55" s="38"/>
      <c r="BA55" s="38"/>
      <c r="BB55" s="38"/>
      <c r="BC55" s="38"/>
      <c r="BD55" s="38"/>
      <c r="BE55" s="38"/>
      <c r="BF55" s="38"/>
      <c r="BG55" s="38"/>
      <c r="BH55" s="39"/>
      <c r="BI55" s="39"/>
      <c r="BJ55" s="39"/>
      <c r="BK55" s="39"/>
      <c r="BL55" s="39"/>
      <c r="BM55" s="39"/>
      <c r="BN55" s="39"/>
      <c r="BO55" s="39"/>
      <c r="BP55" s="39"/>
      <c r="BQ55" s="39"/>
      <c r="BR55" s="39"/>
      <c r="BS55" s="39"/>
      <c r="BT55" s="39"/>
      <c r="BU55" s="39"/>
      <c r="BV55" s="39"/>
      <c r="BW55" s="39"/>
      <c r="IQ55" s="39"/>
      <c r="IR55" s="39"/>
      <c r="IS55" s="39"/>
      <c r="IT55" s="39"/>
      <c r="IU55" s="39"/>
      <c r="IV55" s="39"/>
      <c r="IW55" s="39"/>
    </row>
    <row r="56" spans="1:257" s="40" customFormat="1" ht="63.75">
      <c r="A56" s="1"/>
      <c r="B56" s="74">
        <v>55</v>
      </c>
      <c r="C56" s="24">
        <v>561232</v>
      </c>
      <c r="D56" s="25">
        <v>45371</v>
      </c>
      <c r="E56" s="26" t="s">
        <v>48</v>
      </c>
      <c r="F56" s="27">
        <v>23431</v>
      </c>
      <c r="G56" s="27">
        <v>116073</v>
      </c>
      <c r="H56" s="27">
        <v>1605</v>
      </c>
      <c r="I56" s="28"/>
      <c r="J56" s="28"/>
      <c r="K56" s="28">
        <v>154</v>
      </c>
      <c r="L56" s="28">
        <v>12</v>
      </c>
      <c r="M56" s="28" t="s">
        <v>43</v>
      </c>
      <c r="N56" s="28" t="s">
        <v>327</v>
      </c>
      <c r="O56" s="28" t="s">
        <v>328</v>
      </c>
      <c r="P56" s="28"/>
      <c r="Q56" s="28" t="s">
        <v>154</v>
      </c>
      <c r="R56" s="28" t="s">
        <v>154</v>
      </c>
      <c r="S56" s="28" t="s">
        <v>154</v>
      </c>
      <c r="T56" s="28" t="s">
        <v>329</v>
      </c>
      <c r="U56" s="28"/>
      <c r="V56" s="29">
        <f>1+1</f>
        <v>2</v>
      </c>
      <c r="W56" s="28"/>
      <c r="X56" s="28"/>
      <c r="Y56" s="28" t="s">
        <v>225</v>
      </c>
      <c r="Z56" s="30"/>
      <c r="AA56" s="31">
        <f>1+1</f>
        <v>2</v>
      </c>
      <c r="AB56" s="30"/>
      <c r="AC56" s="31"/>
      <c r="AD56" s="30"/>
      <c r="AE56" s="31"/>
      <c r="AF56" s="28"/>
      <c r="AG56" s="28"/>
      <c r="AH56" s="28"/>
      <c r="AI56" s="28"/>
      <c r="AJ56" s="110"/>
      <c r="AK56" s="111">
        <f>+(96+87.2)</f>
        <v>183.2</v>
      </c>
      <c r="AL56" s="32">
        <v>120.07</v>
      </c>
      <c r="AM56" s="32">
        <f>96/AL56</f>
        <v>0.79953360539685192</v>
      </c>
      <c r="AN56" s="32">
        <f>+AK56/AL56</f>
        <v>1.5257766302989924</v>
      </c>
      <c r="AO56" s="32"/>
      <c r="AP56" s="32">
        <f>+AK56*94607</f>
        <v>17332002.399999999</v>
      </c>
      <c r="AQ56" s="33">
        <v>260736.23</v>
      </c>
      <c r="AR56" s="32" t="s">
        <v>39</v>
      </c>
      <c r="AS56" s="34" t="s">
        <v>330</v>
      </c>
      <c r="AT56" s="35">
        <v>45422</v>
      </c>
      <c r="AU56" s="36"/>
      <c r="AV56" s="37" t="s">
        <v>331</v>
      </c>
      <c r="AW56" s="38"/>
      <c r="AX56" s="38"/>
      <c r="AY56" s="38"/>
      <c r="AZ56" s="38"/>
      <c r="BA56" s="38"/>
      <c r="BB56" s="38"/>
      <c r="BC56" s="38"/>
      <c r="BD56" s="38"/>
      <c r="BE56" s="38"/>
      <c r="BF56" s="38"/>
      <c r="BG56" s="38"/>
      <c r="BH56" s="39"/>
      <c r="BI56" s="39"/>
      <c r="BJ56" s="39"/>
      <c r="BK56" s="39"/>
      <c r="BL56" s="39"/>
      <c r="BM56" s="39"/>
      <c r="BN56" s="39"/>
      <c r="BO56" s="39"/>
      <c r="BP56" s="39"/>
      <c r="BQ56" s="39"/>
      <c r="BR56" s="39"/>
      <c r="BS56" s="39"/>
      <c r="BT56" s="39"/>
      <c r="BU56" s="39"/>
      <c r="BV56" s="39"/>
      <c r="BW56" s="39"/>
      <c r="IQ56" s="39"/>
      <c r="IR56" s="39"/>
      <c r="IS56" s="39"/>
      <c r="IT56" s="39"/>
      <c r="IU56" s="39"/>
      <c r="IV56" s="39"/>
      <c r="IW56" s="39"/>
    </row>
    <row r="57" spans="1:257" s="40" customFormat="1" ht="51">
      <c r="A57" s="1"/>
      <c r="B57" s="113">
        <v>56</v>
      </c>
      <c r="C57" s="24">
        <v>559675</v>
      </c>
      <c r="D57" s="87">
        <v>45315</v>
      </c>
      <c r="E57" s="88" t="s">
        <v>332</v>
      </c>
      <c r="F57" s="27">
        <v>23550</v>
      </c>
      <c r="G57" s="27">
        <v>1214</v>
      </c>
      <c r="H57" s="27">
        <v>976</v>
      </c>
      <c r="I57" s="28"/>
      <c r="J57" s="28"/>
      <c r="K57" s="28">
        <v>112</v>
      </c>
      <c r="L57" s="28">
        <v>19</v>
      </c>
      <c r="M57" s="28" t="s">
        <v>43</v>
      </c>
      <c r="N57" s="28" t="s">
        <v>333</v>
      </c>
      <c r="O57" s="28" t="s">
        <v>334</v>
      </c>
      <c r="P57" s="28"/>
      <c r="Q57" s="28" t="s">
        <v>335</v>
      </c>
      <c r="R57" s="28" t="s">
        <v>335</v>
      </c>
      <c r="S57" s="28" t="s">
        <v>335</v>
      </c>
      <c r="T57" s="28" t="s">
        <v>336</v>
      </c>
      <c r="U57" s="28">
        <v>1</v>
      </c>
      <c r="V57" s="28"/>
      <c r="W57" s="28"/>
      <c r="X57" s="28"/>
      <c r="Y57" s="28" t="s">
        <v>54</v>
      </c>
      <c r="Z57" s="30"/>
      <c r="AA57" s="30"/>
      <c r="AB57" s="30"/>
      <c r="AC57" s="30"/>
      <c r="AD57" s="30"/>
      <c r="AE57" s="30"/>
      <c r="AF57" s="28"/>
      <c r="AG57" s="28"/>
      <c r="AH57" s="28"/>
      <c r="AI57" s="28"/>
      <c r="AJ57" s="28"/>
      <c r="AK57" s="32"/>
      <c r="AL57" s="32">
        <v>281.67</v>
      </c>
      <c r="AM57" s="32">
        <v>0</v>
      </c>
      <c r="AN57" s="32">
        <v>0</v>
      </c>
      <c r="AO57" s="32"/>
      <c r="AP57" s="32">
        <v>1200000</v>
      </c>
      <c r="AQ57" s="33">
        <v>63678</v>
      </c>
      <c r="AR57" s="32" t="s">
        <v>39</v>
      </c>
      <c r="AS57" s="34" t="s">
        <v>337</v>
      </c>
      <c r="AT57" s="35">
        <v>45429</v>
      </c>
      <c r="AU57" s="36"/>
      <c r="AV57" s="89" t="s">
        <v>338</v>
      </c>
      <c r="AW57" s="38"/>
      <c r="AX57" s="38"/>
      <c r="AY57" s="38"/>
      <c r="AZ57" s="38"/>
      <c r="BA57" s="38"/>
      <c r="BB57" s="38"/>
      <c r="BC57" s="38"/>
      <c r="BD57" s="38"/>
      <c r="BE57" s="38"/>
      <c r="BF57" s="38"/>
      <c r="BG57" s="38"/>
      <c r="BH57" s="39"/>
      <c r="BI57" s="39"/>
      <c r="BJ57" s="39"/>
      <c r="BK57" s="39"/>
      <c r="BL57" s="39"/>
      <c r="BM57" s="39"/>
      <c r="BN57" s="39"/>
      <c r="BO57" s="39"/>
      <c r="BP57" s="39"/>
      <c r="BQ57" s="39"/>
      <c r="BR57" s="39"/>
      <c r="BS57" s="39"/>
      <c r="BT57" s="39"/>
      <c r="BU57" s="39"/>
      <c r="BV57" s="39"/>
      <c r="BW57" s="39"/>
      <c r="IQ57" s="39"/>
      <c r="IR57" s="39"/>
      <c r="IS57" s="39"/>
      <c r="IT57" s="39"/>
      <c r="IU57" s="39"/>
      <c r="IV57" s="39"/>
      <c r="IW57" s="39"/>
    </row>
    <row r="58" spans="1:257" s="40" customFormat="1" ht="38.25">
      <c r="A58" s="1"/>
      <c r="B58" s="113">
        <v>57</v>
      </c>
      <c r="C58" s="24">
        <v>562290</v>
      </c>
      <c r="D58" s="25">
        <v>45418</v>
      </c>
      <c r="E58" s="26" t="s">
        <v>48</v>
      </c>
      <c r="F58" s="27">
        <v>14195</v>
      </c>
      <c r="G58" s="27">
        <v>475</v>
      </c>
      <c r="H58" s="27">
        <v>4188</v>
      </c>
      <c r="I58" s="28"/>
      <c r="J58" s="28"/>
      <c r="K58" s="28">
        <v>86</v>
      </c>
      <c r="L58" s="28">
        <v>9</v>
      </c>
      <c r="M58" s="28" t="s">
        <v>43</v>
      </c>
      <c r="N58" s="28" t="s">
        <v>339</v>
      </c>
      <c r="O58" s="28" t="s">
        <v>340</v>
      </c>
      <c r="P58" s="28" t="s">
        <v>194</v>
      </c>
      <c r="Q58" s="28" t="s">
        <v>195</v>
      </c>
      <c r="R58" s="28" t="s">
        <v>195</v>
      </c>
      <c r="S58" s="28" t="s">
        <v>195</v>
      </c>
      <c r="T58" s="28" t="s">
        <v>194</v>
      </c>
      <c r="U58" s="28"/>
      <c r="V58" s="28">
        <v>18</v>
      </c>
      <c r="W58" s="28"/>
      <c r="X58" s="28"/>
      <c r="Y58" s="28" t="s">
        <v>38</v>
      </c>
      <c r="Z58" s="30"/>
      <c r="AA58" s="30">
        <f>5*2+6*2</f>
        <v>22</v>
      </c>
      <c r="AB58" s="30"/>
      <c r="AC58" s="30">
        <f>+AA58+18</f>
        <v>40</v>
      </c>
      <c r="AD58" s="30"/>
      <c r="AE58" s="30">
        <f>+AA58*2</f>
        <v>44</v>
      </c>
      <c r="AF58" s="28"/>
      <c r="AG58" s="28"/>
      <c r="AH58" s="28"/>
      <c r="AI58" s="28"/>
      <c r="AJ58" s="28">
        <f>923.08+276.01/2</f>
        <v>1061.085</v>
      </c>
      <c r="AK58" s="32"/>
      <c r="AL58" s="32">
        <v>479.82</v>
      </c>
      <c r="AM58" s="32">
        <f>0.75-0.18</f>
        <v>0.57000000000000006</v>
      </c>
      <c r="AN58" s="32">
        <v>2</v>
      </c>
      <c r="AO58" s="32"/>
      <c r="AP58" s="32">
        <f>1750000+((2*118292+4*94607+12*70965+47317*3)/21*AJ58)</f>
        <v>83026230.912142858</v>
      </c>
      <c r="AQ58" s="33">
        <v>390007.29</v>
      </c>
      <c r="AR58" s="32" t="s">
        <v>341</v>
      </c>
      <c r="AS58" s="34" t="s">
        <v>342</v>
      </c>
      <c r="AT58" s="35">
        <v>45434</v>
      </c>
      <c r="AU58" s="36"/>
      <c r="AV58" s="114" t="s">
        <v>343</v>
      </c>
      <c r="AW58" s="38"/>
      <c r="AX58" s="38"/>
      <c r="AY58" s="38"/>
      <c r="AZ58" s="38"/>
      <c r="BA58" s="38"/>
      <c r="BB58" s="38"/>
      <c r="BC58" s="38"/>
      <c r="BD58" s="38"/>
      <c r="BE58" s="38"/>
      <c r="BF58" s="38"/>
      <c r="BG58" s="38"/>
      <c r="BH58" s="39"/>
      <c r="BI58" s="39"/>
      <c r="BJ58" s="39"/>
      <c r="BK58" s="39"/>
      <c r="BL58" s="39"/>
      <c r="BM58" s="39"/>
      <c r="BN58" s="39"/>
      <c r="BO58" s="39"/>
      <c r="BP58" s="39"/>
      <c r="BQ58" s="39"/>
      <c r="BR58" s="39"/>
      <c r="BS58" s="39"/>
      <c r="BT58" s="39"/>
      <c r="BU58" s="39"/>
      <c r="BV58" s="39"/>
      <c r="BW58" s="39"/>
      <c r="IQ58" s="39"/>
      <c r="IR58" s="39"/>
      <c r="IS58" s="39"/>
      <c r="IT58" s="39"/>
      <c r="IU58" s="39"/>
      <c r="IV58" s="39"/>
      <c r="IW58" s="39"/>
    </row>
    <row r="59" spans="1:257" s="40" customFormat="1" ht="38.25">
      <c r="A59" s="1"/>
      <c r="B59" s="113">
        <v>58</v>
      </c>
      <c r="C59" s="24">
        <v>562097</v>
      </c>
      <c r="D59" s="25" t="s">
        <v>344</v>
      </c>
      <c r="E59" s="26" t="s">
        <v>332</v>
      </c>
      <c r="F59" s="27">
        <v>55503</v>
      </c>
      <c r="G59" s="27">
        <v>104049</v>
      </c>
      <c r="H59" s="27">
        <v>327</v>
      </c>
      <c r="I59" s="28"/>
      <c r="J59" s="28"/>
      <c r="K59" s="28">
        <v>225</v>
      </c>
      <c r="L59" s="28">
        <v>5</v>
      </c>
      <c r="M59" s="28" t="s">
        <v>79</v>
      </c>
      <c r="N59" s="28" t="s">
        <v>345</v>
      </c>
      <c r="O59" s="28"/>
      <c r="P59" s="28" t="s">
        <v>346</v>
      </c>
      <c r="Q59" s="28" t="s">
        <v>347</v>
      </c>
      <c r="R59" s="28"/>
      <c r="S59" s="28"/>
      <c r="T59" s="28" t="s">
        <v>348</v>
      </c>
      <c r="U59" s="28"/>
      <c r="V59" s="28"/>
      <c r="W59" s="28"/>
      <c r="X59" s="28"/>
      <c r="Y59" s="28" t="s">
        <v>349</v>
      </c>
      <c r="Z59" s="30"/>
      <c r="AA59" s="30"/>
      <c r="AB59" s="30"/>
      <c r="AC59" s="30"/>
      <c r="AD59" s="30"/>
      <c r="AE59" s="30"/>
      <c r="AF59" s="28"/>
      <c r="AG59" s="28"/>
      <c r="AH59" s="28"/>
      <c r="AI59" s="28"/>
      <c r="AJ59" s="28"/>
      <c r="AK59" s="32"/>
      <c r="AL59" s="32">
        <v>1172.22</v>
      </c>
      <c r="AM59" s="32"/>
      <c r="AN59" s="32"/>
      <c r="AO59" s="32"/>
      <c r="AP59" s="32">
        <v>16000</v>
      </c>
      <c r="AQ59" s="33">
        <v>382253.08</v>
      </c>
      <c r="AR59" s="32" t="s">
        <v>39</v>
      </c>
      <c r="AS59" s="34" t="s">
        <v>350</v>
      </c>
      <c r="AT59" s="35">
        <v>45435</v>
      </c>
      <c r="AU59" s="36"/>
      <c r="AV59" s="114" t="s">
        <v>351</v>
      </c>
      <c r="AW59" s="38"/>
      <c r="AX59" s="38"/>
      <c r="AY59" s="38"/>
      <c r="AZ59" s="38"/>
      <c r="BA59" s="38"/>
      <c r="BB59" s="38"/>
      <c r="BC59" s="38"/>
      <c r="BD59" s="38"/>
      <c r="BE59" s="38"/>
      <c r="BF59" s="38"/>
      <c r="BG59" s="38"/>
      <c r="BH59" s="39"/>
      <c r="BI59" s="39"/>
      <c r="BJ59" s="39"/>
      <c r="BK59" s="39"/>
      <c r="BL59" s="39"/>
      <c r="BM59" s="39"/>
      <c r="BN59" s="39"/>
      <c r="BO59" s="39"/>
      <c r="BP59" s="39"/>
      <c r="BQ59" s="39"/>
      <c r="BR59" s="39"/>
      <c r="BS59" s="39"/>
      <c r="BT59" s="39"/>
      <c r="BU59" s="39"/>
      <c r="BV59" s="39"/>
      <c r="BW59" s="39"/>
      <c r="IQ59" s="39"/>
      <c r="IR59" s="39"/>
      <c r="IS59" s="39"/>
      <c r="IT59" s="39"/>
      <c r="IU59" s="39"/>
      <c r="IV59" s="39"/>
      <c r="IW59" s="39"/>
    </row>
    <row r="60" spans="1:257" s="40" customFormat="1" ht="63.75">
      <c r="A60" s="1"/>
      <c r="B60" s="74">
        <v>59</v>
      </c>
      <c r="C60" s="24">
        <v>561158</v>
      </c>
      <c r="D60" s="25">
        <v>45369</v>
      </c>
      <c r="E60" s="26" t="s">
        <v>42</v>
      </c>
      <c r="F60" s="27">
        <v>39684</v>
      </c>
      <c r="G60" s="27">
        <v>138237</v>
      </c>
      <c r="H60" s="27">
        <v>31644</v>
      </c>
      <c r="I60" s="28">
        <v>355</v>
      </c>
      <c r="J60" s="28"/>
      <c r="K60" s="28">
        <v>2</v>
      </c>
      <c r="L60" s="28">
        <v>5</v>
      </c>
      <c r="M60" s="28" t="s">
        <v>33</v>
      </c>
      <c r="N60" s="28" t="s">
        <v>352</v>
      </c>
      <c r="O60" s="28" t="s">
        <v>347</v>
      </c>
      <c r="P60" s="28"/>
      <c r="Q60" s="28" t="s">
        <v>347</v>
      </c>
      <c r="R60" s="28"/>
      <c r="S60" s="28"/>
      <c r="T60" s="28"/>
      <c r="U60" s="28"/>
      <c r="V60" s="29"/>
      <c r="W60" s="28"/>
      <c r="X60" s="28"/>
      <c r="Y60" s="28" t="s">
        <v>38</v>
      </c>
      <c r="Z60" s="30"/>
      <c r="AA60" s="31"/>
      <c r="AB60" s="30"/>
      <c r="AC60" s="31"/>
      <c r="AD60" s="30"/>
      <c r="AE60" s="31"/>
      <c r="AF60" s="28"/>
      <c r="AG60" s="28"/>
      <c r="AH60" s="28">
        <f>33+12/2+43+33+12/2+43</f>
        <v>164</v>
      </c>
      <c r="AI60" s="28"/>
      <c r="AJ60" s="110"/>
      <c r="AK60" s="111"/>
      <c r="AL60" s="32">
        <v>450</v>
      </c>
      <c r="AM60" s="32">
        <f>+(33+12+33+12)/AL60</f>
        <v>0.2</v>
      </c>
      <c r="AN60" s="32">
        <f>+AH60/AL60</f>
        <v>0.36444444444444446</v>
      </c>
      <c r="AO60" s="32"/>
      <c r="AP60" s="32">
        <f>+(9*118292+94607*8+3*70965+47317*1)/21*AH60</f>
        <v>16257054.476190476</v>
      </c>
      <c r="AQ60" s="33">
        <v>204708.35</v>
      </c>
      <c r="AR60" s="32" t="s">
        <v>39</v>
      </c>
      <c r="AS60" s="34" t="s">
        <v>353</v>
      </c>
      <c r="AT60" s="35">
        <v>45436</v>
      </c>
      <c r="AU60" s="36"/>
      <c r="AV60" s="37">
        <v>45373</v>
      </c>
      <c r="AW60" s="38"/>
      <c r="AX60" s="38"/>
      <c r="AY60" s="38"/>
      <c r="AZ60" s="38"/>
      <c r="BA60" s="38"/>
      <c r="BB60" s="38"/>
      <c r="BC60" s="38"/>
      <c r="BD60" s="38"/>
      <c r="BE60" s="38"/>
      <c r="BF60" s="38"/>
      <c r="BG60" s="38"/>
      <c r="BH60" s="39"/>
      <c r="BI60" s="39"/>
      <c r="BJ60" s="39"/>
      <c r="BK60" s="39"/>
      <c r="BL60" s="39"/>
      <c r="BM60" s="39"/>
      <c r="BN60" s="39"/>
      <c r="BO60" s="39"/>
      <c r="BP60" s="39"/>
      <c r="BQ60" s="39"/>
      <c r="BR60" s="39"/>
      <c r="BS60" s="39"/>
      <c r="BT60" s="39"/>
      <c r="BU60" s="39"/>
      <c r="BV60" s="39"/>
      <c r="BW60" s="39"/>
      <c r="IQ60" s="39"/>
      <c r="IR60" s="39"/>
      <c r="IS60" s="39"/>
      <c r="IT60" s="39"/>
      <c r="IU60" s="39"/>
      <c r="IV60" s="39"/>
      <c r="IW60" s="39"/>
    </row>
    <row r="61" spans="1:257" s="40" customFormat="1" ht="51">
      <c r="A61" s="1"/>
      <c r="B61" s="74">
        <v>60</v>
      </c>
      <c r="C61" s="24">
        <v>561820</v>
      </c>
      <c r="D61" s="25">
        <v>45394</v>
      </c>
      <c r="E61" s="26" t="s">
        <v>59</v>
      </c>
      <c r="F61" s="27">
        <v>14995</v>
      </c>
      <c r="G61" s="27">
        <v>265</v>
      </c>
      <c r="H61" s="27">
        <v>4312</v>
      </c>
      <c r="I61" s="28"/>
      <c r="J61" s="28"/>
      <c r="K61" s="28">
        <v>169</v>
      </c>
      <c r="L61" s="28">
        <v>2</v>
      </c>
      <c r="M61" s="28" t="s">
        <v>79</v>
      </c>
      <c r="N61" s="28" t="s">
        <v>354</v>
      </c>
      <c r="O61" s="28" t="s">
        <v>355</v>
      </c>
      <c r="P61" s="28"/>
      <c r="Q61" s="28" t="s">
        <v>76</v>
      </c>
      <c r="R61" s="28"/>
      <c r="S61" s="28"/>
      <c r="T61" s="28"/>
      <c r="U61" s="28"/>
      <c r="V61" s="29"/>
      <c r="W61" s="28">
        <f>1+1</f>
        <v>2</v>
      </c>
      <c r="X61" s="28"/>
      <c r="Y61" s="28" t="s">
        <v>38</v>
      </c>
      <c r="Z61" s="30">
        <v>1</v>
      </c>
      <c r="AA61" s="31">
        <v>1</v>
      </c>
      <c r="AB61" s="30">
        <f>+Z61+1</f>
        <v>2</v>
      </c>
      <c r="AC61" s="31">
        <f>+AA61+1</f>
        <v>2</v>
      </c>
      <c r="AD61" s="30">
        <f>+Z61*2</f>
        <v>2</v>
      </c>
      <c r="AE61" s="31">
        <f>+AA61*2</f>
        <v>2</v>
      </c>
      <c r="AF61" s="28"/>
      <c r="AG61" s="28"/>
      <c r="AH61" s="28">
        <f>56.54+20.15</f>
        <v>76.69</v>
      </c>
      <c r="AI61" s="28"/>
      <c r="AJ61" s="110">
        <v>34.56</v>
      </c>
      <c r="AK61" s="111"/>
      <c r="AL61" s="32">
        <v>134.31</v>
      </c>
      <c r="AM61" s="32">
        <f>+(56.54+34.56)/AL61</f>
        <v>0.67828158737249644</v>
      </c>
      <c r="AN61" s="32">
        <f>+(AH61+AJ61)/AL61</f>
        <v>0.82830764648946464</v>
      </c>
      <c r="AO61" s="32"/>
      <c r="AP61" s="32">
        <v>33976645.979999997</v>
      </c>
      <c r="AQ61" s="33">
        <v>123727.24</v>
      </c>
      <c r="AR61" s="32" t="s">
        <v>39</v>
      </c>
      <c r="AS61" s="34" t="s">
        <v>356</v>
      </c>
      <c r="AT61" s="35">
        <v>45442</v>
      </c>
      <c r="AU61" s="36"/>
      <c r="AV61" s="37" t="s">
        <v>357</v>
      </c>
      <c r="AW61" s="38"/>
      <c r="AX61" s="38"/>
      <c r="AY61" s="38"/>
      <c r="AZ61" s="38"/>
      <c r="BA61" s="38"/>
      <c r="BB61" s="38"/>
      <c r="BC61" s="38"/>
      <c r="BD61" s="38"/>
      <c r="BE61" s="38"/>
      <c r="BF61" s="38"/>
      <c r="BG61" s="38"/>
      <c r="BH61" s="39"/>
      <c r="BI61" s="39"/>
      <c r="BJ61" s="39"/>
      <c r="BK61" s="39"/>
      <c r="BL61" s="39"/>
      <c r="BM61" s="39"/>
      <c r="BN61" s="39"/>
      <c r="BO61" s="39"/>
      <c r="BP61" s="39"/>
      <c r="BQ61" s="39"/>
      <c r="BR61" s="39"/>
      <c r="BS61" s="39"/>
      <c r="BT61" s="39"/>
      <c r="BU61" s="39"/>
      <c r="BV61" s="39"/>
      <c r="BW61" s="39"/>
      <c r="IQ61" s="39"/>
      <c r="IR61" s="39"/>
      <c r="IS61" s="39"/>
      <c r="IT61" s="39"/>
      <c r="IU61" s="39"/>
      <c r="IV61" s="39"/>
      <c r="IW61" s="39"/>
    </row>
    <row r="62" spans="1:257" s="23" customFormat="1" ht="51">
      <c r="A62" s="1"/>
      <c r="B62" s="74">
        <v>61</v>
      </c>
      <c r="C62" s="3" t="s">
        <v>358</v>
      </c>
      <c r="D62" s="46">
        <v>45006</v>
      </c>
      <c r="E62" s="47" t="s">
        <v>48</v>
      </c>
      <c r="F62" s="48">
        <v>42593</v>
      </c>
      <c r="G62" s="48">
        <v>140755</v>
      </c>
      <c r="H62" s="48">
        <v>20656</v>
      </c>
      <c r="I62" s="49"/>
      <c r="J62" s="49"/>
      <c r="K62" s="49">
        <v>293</v>
      </c>
      <c r="L62" s="49">
        <v>2</v>
      </c>
      <c r="M62" s="49" t="s">
        <v>126</v>
      </c>
      <c r="N62" s="49" t="s">
        <v>359</v>
      </c>
      <c r="O62" s="50" t="s">
        <v>360</v>
      </c>
      <c r="P62" s="49"/>
      <c r="Q62" s="49" t="s">
        <v>335</v>
      </c>
      <c r="R62" s="49" t="s">
        <v>335</v>
      </c>
      <c r="S62" s="49" t="s">
        <v>335</v>
      </c>
      <c r="T62" s="49" t="s">
        <v>361</v>
      </c>
      <c r="U62" s="49"/>
      <c r="V62" s="51">
        <v>1</v>
      </c>
      <c r="W62" s="49"/>
      <c r="X62" s="49"/>
      <c r="Y62" s="49" t="s">
        <v>54</v>
      </c>
      <c r="Z62" s="52"/>
      <c r="AA62" s="53">
        <v>5</v>
      </c>
      <c r="AB62" s="54"/>
      <c r="AC62" s="53">
        <f>+AA62+1+1+1</f>
        <v>8</v>
      </c>
      <c r="AD62" s="54"/>
      <c r="AE62" s="53">
        <f>+AA62*2</f>
        <v>10</v>
      </c>
      <c r="AF62" s="49"/>
      <c r="AG62" s="49"/>
      <c r="AH62" s="49"/>
      <c r="AI62" s="49"/>
      <c r="AJ62" s="51">
        <f>214.63+35.67/2</f>
        <v>232.465</v>
      </c>
      <c r="AK62" s="55"/>
      <c r="AL62" s="56">
        <v>854.56</v>
      </c>
      <c r="AM62" s="56">
        <f>+(214.63+35.67)/AL62</f>
        <v>0.29289926979966302</v>
      </c>
      <c r="AN62" s="56">
        <f>+AJ62/AL62</f>
        <v>0.27202888035948325</v>
      </c>
      <c r="AO62" s="56"/>
      <c r="AP62" s="56">
        <f>+(6*118292+94607*10+4*70965+2*47317)/22*AJ62</f>
        <v>21495784.951818183</v>
      </c>
      <c r="AQ62" s="57">
        <v>145268.09</v>
      </c>
      <c r="AR62" s="56" t="s">
        <v>39</v>
      </c>
      <c r="AS62" s="58" t="s">
        <v>362</v>
      </c>
      <c r="AT62" s="59">
        <v>45440</v>
      </c>
      <c r="AU62" s="60"/>
      <c r="AV62" s="58" t="s">
        <v>363</v>
      </c>
      <c r="AW62" s="21"/>
      <c r="AX62" s="21"/>
      <c r="AY62" s="21"/>
      <c r="AZ62" s="21"/>
      <c r="BA62" s="21"/>
      <c r="BB62" s="21"/>
      <c r="BC62" s="21"/>
      <c r="BD62" s="21"/>
      <c r="BE62" s="21"/>
      <c r="BF62" s="21"/>
      <c r="BG62" s="21"/>
      <c r="BH62" s="22"/>
      <c r="BI62" s="22"/>
      <c r="BJ62" s="22"/>
      <c r="BK62" s="22"/>
      <c r="BL62" s="22"/>
      <c r="BM62" s="22"/>
      <c r="BN62" s="22"/>
      <c r="BO62" s="22"/>
      <c r="BP62" s="22"/>
      <c r="BQ62" s="22"/>
      <c r="BR62" s="22"/>
      <c r="BS62" s="22"/>
      <c r="BT62" s="22"/>
      <c r="BU62" s="22"/>
      <c r="BV62" s="22"/>
      <c r="BW62" s="22"/>
      <c r="IQ62" s="22"/>
      <c r="IR62" s="22"/>
      <c r="IS62" s="22"/>
      <c r="IT62" s="22"/>
      <c r="IU62" s="22"/>
      <c r="IV62" s="22"/>
      <c r="IW62" s="22"/>
    </row>
    <row r="63" spans="1:257" s="23" customFormat="1" ht="76.5">
      <c r="A63" s="1"/>
      <c r="B63" s="74">
        <v>62</v>
      </c>
      <c r="C63" s="61">
        <v>562709</v>
      </c>
      <c r="D63" s="62">
        <v>45435</v>
      </c>
      <c r="E63" s="47" t="s">
        <v>42</v>
      </c>
      <c r="F63" s="48">
        <v>43712</v>
      </c>
      <c r="G63" s="48">
        <v>141478</v>
      </c>
      <c r="H63" s="48">
        <v>32083</v>
      </c>
      <c r="I63" s="49">
        <v>2</v>
      </c>
      <c r="J63" s="49"/>
      <c r="K63" s="49"/>
      <c r="L63" s="49">
        <v>74</v>
      </c>
      <c r="M63" s="49" t="s">
        <v>33</v>
      </c>
      <c r="N63" s="49" t="s">
        <v>324</v>
      </c>
      <c r="O63" s="49" t="s">
        <v>364</v>
      </c>
      <c r="P63" s="49"/>
      <c r="Q63" s="49" t="s">
        <v>168</v>
      </c>
      <c r="R63" s="49"/>
      <c r="S63" s="49"/>
      <c r="T63" s="49"/>
      <c r="U63" s="49">
        <v>3</v>
      </c>
      <c r="V63" s="51"/>
      <c r="W63" s="49"/>
      <c r="X63" s="49"/>
      <c r="Y63" s="49" t="s">
        <v>38</v>
      </c>
      <c r="Z63" s="52">
        <f>2+2+3</f>
        <v>7</v>
      </c>
      <c r="AA63" s="53"/>
      <c r="AB63" s="54">
        <f>+Z63+1+1+1</f>
        <v>10</v>
      </c>
      <c r="AC63" s="53"/>
      <c r="AD63" s="54">
        <f>+Z63*2</f>
        <v>14</v>
      </c>
      <c r="AE63" s="53"/>
      <c r="AF63" s="49"/>
      <c r="AG63" s="49"/>
      <c r="AH63" s="49">
        <f>215.79+255.97/2</f>
        <v>343.77499999999998</v>
      </c>
      <c r="AI63" s="49"/>
      <c r="AJ63" s="51"/>
      <c r="AK63" s="55"/>
      <c r="AL63" s="56">
        <v>25514</v>
      </c>
      <c r="AM63" s="56">
        <f>+(215.79+255.97)/AL63</f>
        <v>1.8490240652190952E-2</v>
      </c>
      <c r="AN63" s="56">
        <f>+AH63/AL63</f>
        <v>1.347397507250921E-2</v>
      </c>
      <c r="AO63" s="56">
        <f>+(36/9)</f>
        <v>4</v>
      </c>
      <c r="AP63" s="56">
        <f>1025000+((2*118292+2*94607+4*70965+47317*12)/20*AH63)</f>
        <v>22982974.952499997</v>
      </c>
      <c r="AQ63" s="57">
        <v>366581.61</v>
      </c>
      <c r="AR63" s="56" t="s">
        <v>39</v>
      </c>
      <c r="AS63" s="58" t="s">
        <v>365</v>
      </c>
      <c r="AT63" s="59">
        <v>45442</v>
      </c>
      <c r="AU63" s="60"/>
      <c r="AV63" s="63">
        <v>45435</v>
      </c>
      <c r="AW63" s="21"/>
      <c r="AX63" s="21"/>
      <c r="AY63" s="21"/>
      <c r="AZ63" s="21"/>
      <c r="BA63" s="21"/>
      <c r="BB63" s="21"/>
      <c r="BC63" s="21"/>
      <c r="BD63" s="21"/>
      <c r="BE63" s="21"/>
      <c r="BF63" s="21"/>
      <c r="BG63" s="21"/>
      <c r="BH63" s="22"/>
      <c r="BI63" s="22"/>
      <c r="BJ63" s="22"/>
      <c r="BK63" s="22"/>
      <c r="BL63" s="22"/>
      <c r="BM63" s="22"/>
      <c r="BN63" s="22"/>
      <c r="BO63" s="22"/>
      <c r="BP63" s="22"/>
      <c r="BQ63" s="22"/>
      <c r="BR63" s="22"/>
      <c r="BS63" s="22"/>
      <c r="BT63" s="22"/>
      <c r="BU63" s="22"/>
      <c r="BV63" s="22"/>
      <c r="BW63" s="22"/>
      <c r="IQ63" s="22"/>
      <c r="IR63" s="22"/>
      <c r="IS63" s="22"/>
      <c r="IT63" s="22"/>
      <c r="IU63" s="22"/>
      <c r="IV63" s="22"/>
      <c r="IW63" s="22"/>
    </row>
    <row r="64" spans="1:257" s="40" customFormat="1" ht="63.75">
      <c r="A64" s="1"/>
      <c r="B64" s="74">
        <v>63</v>
      </c>
      <c r="C64" s="24" t="s">
        <v>366</v>
      </c>
      <c r="D64" s="25">
        <v>45308</v>
      </c>
      <c r="E64" s="26" t="s">
        <v>48</v>
      </c>
      <c r="F64" s="27">
        <v>43120</v>
      </c>
      <c r="G64" s="27">
        <v>141096</v>
      </c>
      <c r="H64" s="27">
        <v>31776</v>
      </c>
      <c r="I64" s="28"/>
      <c r="J64" s="28"/>
      <c r="K64" s="28">
        <v>3</v>
      </c>
      <c r="L64" s="28">
        <v>8</v>
      </c>
      <c r="M64" s="28" t="s">
        <v>33</v>
      </c>
      <c r="N64" s="28" t="s">
        <v>367</v>
      </c>
      <c r="O64" s="28" t="s">
        <v>368</v>
      </c>
      <c r="P64" s="28"/>
      <c r="Q64" s="28" t="s">
        <v>369</v>
      </c>
      <c r="R64" s="28" t="s">
        <v>369</v>
      </c>
      <c r="S64" s="28" t="s">
        <v>369</v>
      </c>
      <c r="T64" s="28" t="s">
        <v>370</v>
      </c>
      <c r="U64" s="28"/>
      <c r="V64" s="29">
        <v>1</v>
      </c>
      <c r="W64" s="28"/>
      <c r="X64" s="28"/>
      <c r="Y64" s="28" t="s">
        <v>54</v>
      </c>
      <c r="Z64" s="30"/>
      <c r="AA64" s="31">
        <v>3</v>
      </c>
      <c r="AB64" s="30"/>
      <c r="AC64" s="31">
        <f>+AA64+1+1+1</f>
        <v>6</v>
      </c>
      <c r="AD64" s="30"/>
      <c r="AE64" s="31">
        <f>+AA64*2</f>
        <v>6</v>
      </c>
      <c r="AF64" s="28"/>
      <c r="AG64" s="28"/>
      <c r="AH64" s="28"/>
      <c r="AI64" s="28"/>
      <c r="AJ64" s="110">
        <f>148.45+7.07/2+75.21+0.72/2</f>
        <v>227.55500000000001</v>
      </c>
      <c r="AK64" s="111"/>
      <c r="AL64" s="32">
        <v>562.5</v>
      </c>
      <c r="AM64" s="32">
        <f>+(148.45+7.07)/AL64</f>
        <v>0.27647999999999995</v>
      </c>
      <c r="AN64" s="32">
        <f>+AJ64/AL64</f>
        <v>0.40454222222222225</v>
      </c>
      <c r="AO64" s="32"/>
      <c r="AP64" s="32">
        <f>+(8*118292+94607*8+70965*4+47965*3)/23*AJ64</f>
        <v>21082941.068913043</v>
      </c>
      <c r="AQ64" s="33">
        <v>101855.28</v>
      </c>
      <c r="AR64" s="32" t="s">
        <v>39</v>
      </c>
      <c r="AS64" s="34" t="s">
        <v>371</v>
      </c>
      <c r="AT64" s="35">
        <v>45443</v>
      </c>
      <c r="AU64" s="36"/>
      <c r="AV64" s="37" t="s">
        <v>372</v>
      </c>
      <c r="AW64" s="38"/>
      <c r="AX64" s="38"/>
      <c r="AY64" s="38"/>
      <c r="AZ64" s="38"/>
      <c r="BA64" s="38"/>
      <c r="BB64" s="38"/>
      <c r="BC64" s="38"/>
      <c r="BD64" s="38"/>
      <c r="BE64" s="38"/>
      <c r="BF64" s="38"/>
      <c r="BG64" s="38"/>
      <c r="BH64" s="39"/>
      <c r="BI64" s="39"/>
      <c r="BJ64" s="39"/>
      <c r="BK64" s="39"/>
      <c r="BL64" s="39"/>
      <c r="BM64" s="39"/>
      <c r="BN64" s="39"/>
      <c r="BO64" s="39"/>
      <c r="BP64" s="39"/>
      <c r="BQ64" s="39"/>
      <c r="BR64" s="39"/>
      <c r="BS64" s="39"/>
      <c r="BT64" s="39"/>
      <c r="BU64" s="39"/>
      <c r="BV64" s="39"/>
      <c r="BW64" s="39"/>
      <c r="IQ64" s="39"/>
      <c r="IR64" s="39"/>
      <c r="IS64" s="39"/>
      <c r="IT64" s="39"/>
      <c r="IU64" s="39"/>
      <c r="IV64" s="39"/>
      <c r="IW64" s="39"/>
    </row>
    <row r="65" spans="1:257" s="40" customFormat="1" ht="38.25">
      <c r="A65" s="1" t="s">
        <v>373</v>
      </c>
      <c r="B65" s="115">
        <v>64</v>
      </c>
      <c r="C65" s="24" t="s">
        <v>374</v>
      </c>
      <c r="D65" s="25">
        <v>45365</v>
      </c>
      <c r="E65" s="26" t="s">
        <v>42</v>
      </c>
      <c r="F65" s="27">
        <v>32948</v>
      </c>
      <c r="G65" s="27">
        <v>107977</v>
      </c>
      <c r="H65" s="27">
        <v>4159</v>
      </c>
      <c r="I65" s="28"/>
      <c r="J65" s="28"/>
      <c r="K65" s="28">
        <v>111</v>
      </c>
      <c r="L65" s="28">
        <v>11</v>
      </c>
      <c r="M65" s="28" t="s">
        <v>375</v>
      </c>
      <c r="N65" s="28" t="s">
        <v>376</v>
      </c>
      <c r="O65" s="28" t="s">
        <v>377</v>
      </c>
      <c r="P65" s="28"/>
      <c r="Q65" s="28" t="s">
        <v>210</v>
      </c>
      <c r="R65" s="28"/>
      <c r="S65" s="28"/>
      <c r="T65" s="28"/>
      <c r="U65" s="28">
        <v>2</v>
      </c>
      <c r="V65" s="29"/>
      <c r="W65" s="28"/>
      <c r="X65" s="28"/>
      <c r="Y65" s="28" t="s">
        <v>378</v>
      </c>
      <c r="Z65" s="30"/>
      <c r="AA65" s="31"/>
      <c r="AB65" s="30"/>
      <c r="AC65" s="31"/>
      <c r="AD65" s="30"/>
      <c r="AE65" s="31"/>
      <c r="AF65" s="28"/>
      <c r="AG65" s="28"/>
      <c r="AH65" s="28"/>
      <c r="AI65" s="28">
        <f>204.83+33.12</f>
        <v>237.95000000000002</v>
      </c>
      <c r="AJ65" s="110"/>
      <c r="AK65" s="111"/>
      <c r="AL65" s="32">
        <v>208.17</v>
      </c>
      <c r="AM65" s="32">
        <f>204.83/AL65</f>
        <v>0.98395542105010336</v>
      </c>
      <c r="AN65" s="32">
        <f>+AI65/AL65</f>
        <v>1.1430561560263248</v>
      </c>
      <c r="AO65" s="32"/>
      <c r="AP65" s="32">
        <f>+AI65*163397</f>
        <v>38880316.150000006</v>
      </c>
      <c r="AQ65" s="116">
        <v>571625.52</v>
      </c>
      <c r="AR65" s="32" t="s">
        <v>39</v>
      </c>
      <c r="AS65" s="34" t="s">
        <v>379</v>
      </c>
      <c r="AT65" s="35">
        <v>45449</v>
      </c>
      <c r="AU65" s="36"/>
      <c r="AV65" s="37">
        <v>45446</v>
      </c>
      <c r="AW65" s="38"/>
      <c r="AX65" s="38"/>
      <c r="AY65" s="38"/>
      <c r="AZ65" s="38"/>
      <c r="BA65" s="38"/>
      <c r="BB65" s="38"/>
      <c r="BC65" s="38"/>
      <c r="BD65" s="38"/>
      <c r="BE65" s="38"/>
      <c r="BF65" s="38"/>
      <c r="BG65" s="38"/>
      <c r="BH65" s="39"/>
      <c r="BI65" s="39"/>
      <c r="BJ65" s="39"/>
      <c r="BK65" s="39"/>
      <c r="BL65" s="39"/>
      <c r="BM65" s="39"/>
      <c r="BN65" s="39"/>
      <c r="BO65" s="39"/>
      <c r="BP65" s="39"/>
      <c r="BQ65" s="39"/>
      <c r="BR65" s="39"/>
      <c r="BS65" s="39"/>
      <c r="BT65" s="39"/>
      <c r="BU65" s="39"/>
      <c r="BV65" s="39"/>
      <c r="BW65" s="39"/>
      <c r="IQ65" s="39"/>
      <c r="IR65" s="39"/>
      <c r="IS65" s="39"/>
      <c r="IT65" s="39"/>
      <c r="IU65" s="39"/>
      <c r="IV65" s="39"/>
      <c r="IW65" s="39"/>
    </row>
    <row r="66" spans="1:257" s="40" customFormat="1" ht="76.5">
      <c r="A66" s="1"/>
      <c r="B66" s="115">
        <v>65</v>
      </c>
      <c r="C66" s="24" t="s">
        <v>380</v>
      </c>
      <c r="D66" s="25">
        <v>45364</v>
      </c>
      <c r="E66" s="26" t="s">
        <v>42</v>
      </c>
      <c r="F66" s="27">
        <v>1</v>
      </c>
      <c r="G66" s="27">
        <v>50343</v>
      </c>
      <c r="H66" s="27">
        <v>3063</v>
      </c>
      <c r="I66" s="28"/>
      <c r="J66" s="28">
        <v>446</v>
      </c>
      <c r="K66" s="28">
        <v>777</v>
      </c>
      <c r="L66" s="28">
        <v>5</v>
      </c>
      <c r="M66" s="28" t="s">
        <v>375</v>
      </c>
      <c r="N66" s="28" t="s">
        <v>381</v>
      </c>
      <c r="O66" s="28" t="s">
        <v>382</v>
      </c>
      <c r="P66" s="28"/>
      <c r="Q66" s="28" t="s">
        <v>316</v>
      </c>
      <c r="R66" s="28"/>
      <c r="S66" s="28"/>
      <c r="T66" s="28"/>
      <c r="U66" s="28">
        <f>1+2</f>
        <v>3</v>
      </c>
      <c r="V66" s="29"/>
      <c r="W66" s="28"/>
      <c r="X66" s="28"/>
      <c r="Y66" s="28" t="s">
        <v>383</v>
      </c>
      <c r="Z66" s="30">
        <f>1+2</f>
        <v>3</v>
      </c>
      <c r="AA66" s="31"/>
      <c r="AB66" s="30">
        <f>+Z66+1+1</f>
        <v>5</v>
      </c>
      <c r="AC66" s="31"/>
      <c r="AD66" s="30">
        <f>+Z66*2</f>
        <v>6</v>
      </c>
      <c r="AE66" s="31"/>
      <c r="AF66" s="28"/>
      <c r="AG66" s="28"/>
      <c r="AH66" s="28">
        <f>235.5+8.77/2-123.0625</f>
        <v>116.82249999999999</v>
      </c>
      <c r="AI66" s="28">
        <v>123.0625</v>
      </c>
      <c r="AJ66" s="110"/>
      <c r="AK66" s="111"/>
      <c r="AL66" s="32">
        <v>300.5</v>
      </c>
      <c r="AM66" s="32">
        <f>+(235.5+8.77)/AL66</f>
        <v>0.8128785357737105</v>
      </c>
      <c r="AN66" s="32">
        <f>+(235.5-8.77/2)/AL66</f>
        <v>0.76910149750415979</v>
      </c>
      <c r="AO66" s="32"/>
      <c r="AP66" s="32">
        <f>+AI66*163397</f>
        <v>20108043.3125</v>
      </c>
      <c r="AQ66" s="116">
        <v>582145.11</v>
      </c>
      <c r="AR66" s="32" t="s">
        <v>39</v>
      </c>
      <c r="AS66" s="34" t="s">
        <v>384</v>
      </c>
      <c r="AT66" s="35">
        <v>45450</v>
      </c>
      <c r="AU66" s="36"/>
      <c r="AV66" s="37">
        <v>45408</v>
      </c>
      <c r="AW66" s="38"/>
      <c r="AX66" s="38"/>
      <c r="AY66" s="38"/>
      <c r="AZ66" s="38"/>
      <c r="BA66" s="38"/>
      <c r="BB66" s="38"/>
      <c r="BC66" s="38"/>
      <c r="BD66" s="38"/>
      <c r="BE66" s="38"/>
      <c r="BF66" s="38"/>
      <c r="BG66" s="38"/>
      <c r="BH66" s="39"/>
      <c r="BI66" s="39"/>
      <c r="BJ66" s="39"/>
      <c r="BK66" s="39"/>
      <c r="BL66" s="39"/>
      <c r="BM66" s="39"/>
      <c r="BN66" s="39"/>
      <c r="BO66" s="39"/>
      <c r="BP66" s="39"/>
      <c r="BQ66" s="39"/>
      <c r="BR66" s="39"/>
      <c r="BS66" s="39"/>
      <c r="BT66" s="39"/>
      <c r="BU66" s="39"/>
      <c r="BV66" s="39"/>
      <c r="BW66" s="39"/>
      <c r="IQ66" s="39"/>
      <c r="IR66" s="39"/>
      <c r="IS66" s="39"/>
      <c r="IT66" s="39"/>
      <c r="IU66" s="39"/>
      <c r="IV66" s="39"/>
      <c r="IW66" s="39"/>
    </row>
    <row r="67" spans="1:257" s="23" customFormat="1" ht="51">
      <c r="A67" s="1"/>
      <c r="B67" s="115">
        <v>66</v>
      </c>
      <c r="C67" s="61" t="s">
        <v>385</v>
      </c>
      <c r="D67" s="46">
        <v>44791</v>
      </c>
      <c r="E67" s="47" t="s">
        <v>48</v>
      </c>
      <c r="F67" s="48">
        <v>21222</v>
      </c>
      <c r="G67" s="48">
        <v>50082</v>
      </c>
      <c r="H67" s="48">
        <v>2921</v>
      </c>
      <c r="I67" s="49"/>
      <c r="J67" s="49"/>
      <c r="K67" s="49">
        <v>751</v>
      </c>
      <c r="L67" s="49">
        <v>11</v>
      </c>
      <c r="M67" s="49" t="s">
        <v>386</v>
      </c>
      <c r="N67" s="49" t="s">
        <v>387</v>
      </c>
      <c r="O67" s="50" t="s">
        <v>388</v>
      </c>
      <c r="P67" s="49"/>
      <c r="Q67" s="49" t="s">
        <v>389</v>
      </c>
      <c r="R67" s="49" t="s">
        <v>389</v>
      </c>
      <c r="S67" s="49" t="s">
        <v>389</v>
      </c>
      <c r="T67" s="49" t="s">
        <v>390</v>
      </c>
      <c r="U67" s="49">
        <v>2</v>
      </c>
      <c r="V67" s="51">
        <v>1</v>
      </c>
      <c r="W67" s="49"/>
      <c r="X67" s="49"/>
      <c r="Y67" s="49" t="s">
        <v>38</v>
      </c>
      <c r="Z67" s="52">
        <f>1+1</f>
        <v>2</v>
      </c>
      <c r="AA67" s="53">
        <v>1</v>
      </c>
      <c r="AB67" s="54">
        <f>+Z67+1</f>
        <v>3</v>
      </c>
      <c r="AC67" s="53">
        <f>+AA67+1</f>
        <v>2</v>
      </c>
      <c r="AD67" s="54"/>
      <c r="AE67" s="53"/>
      <c r="AF67" s="49"/>
      <c r="AG67" s="49"/>
      <c r="AH67" s="49"/>
      <c r="AI67" s="49"/>
      <c r="AJ67" s="51">
        <f>16.7+172.27/2+380.22+27.14/2</f>
        <v>496.62500000000006</v>
      </c>
      <c r="AK67" s="55"/>
      <c r="AL67" s="56">
        <v>365.38</v>
      </c>
      <c r="AM67" s="56">
        <f>+(16.7+172.27)/AL67</f>
        <v>0.51718758552739619</v>
      </c>
      <c r="AN67" s="56">
        <f>+AJ67/AL67</f>
        <v>1.3592013793858451</v>
      </c>
      <c r="AO67" s="56"/>
      <c r="AP67" s="56">
        <f>+(3*204929+4*163397+122940*8+9*81972)/24*AJ67</f>
        <v>61863810.619791672</v>
      </c>
      <c r="AQ67" s="117">
        <v>324680.27</v>
      </c>
      <c r="AR67" s="56" t="s">
        <v>265</v>
      </c>
      <c r="AS67" s="58" t="s">
        <v>391</v>
      </c>
      <c r="AT67" s="59">
        <v>45454</v>
      </c>
      <c r="AU67" s="60"/>
      <c r="AV67" s="73">
        <v>45423</v>
      </c>
      <c r="AW67" s="21"/>
      <c r="AX67" s="21"/>
      <c r="AY67" s="21"/>
      <c r="AZ67" s="21"/>
      <c r="BA67" s="21"/>
      <c r="BB67" s="21"/>
      <c r="BC67" s="21"/>
      <c r="BD67" s="21"/>
      <c r="BE67" s="21"/>
      <c r="BF67" s="21"/>
      <c r="BG67" s="21"/>
      <c r="BH67" s="22"/>
      <c r="BI67" s="22"/>
      <c r="BJ67" s="22"/>
      <c r="BK67" s="22"/>
      <c r="BL67" s="22"/>
      <c r="BM67" s="22"/>
      <c r="BN67" s="22"/>
      <c r="BO67" s="22"/>
      <c r="BP67" s="22"/>
      <c r="BQ67" s="22"/>
      <c r="BR67" s="22"/>
      <c r="BS67" s="22"/>
      <c r="BT67" s="22"/>
      <c r="BU67" s="22"/>
      <c r="BV67" s="22"/>
      <c r="BW67" s="22"/>
      <c r="IQ67" s="22"/>
      <c r="IR67" s="22"/>
      <c r="IS67" s="22"/>
      <c r="IT67" s="22"/>
      <c r="IU67" s="22"/>
      <c r="IV67" s="22"/>
      <c r="IW67" s="22"/>
    </row>
    <row r="68" spans="1:257" s="40" customFormat="1" ht="76.5">
      <c r="A68" s="1"/>
      <c r="B68" s="118">
        <v>67</v>
      </c>
      <c r="C68" s="119">
        <v>558291</v>
      </c>
      <c r="D68" s="120">
        <v>45267</v>
      </c>
      <c r="E68" s="121" t="s">
        <v>392</v>
      </c>
      <c r="F68" s="122">
        <v>24345</v>
      </c>
      <c r="G68" s="122">
        <v>524</v>
      </c>
      <c r="H68" s="122">
        <v>740</v>
      </c>
      <c r="I68" s="123"/>
      <c r="J68" s="123"/>
      <c r="K68" s="123">
        <v>101</v>
      </c>
      <c r="L68" s="123">
        <v>20</v>
      </c>
      <c r="M68" s="123" t="s">
        <v>79</v>
      </c>
      <c r="N68" s="123" t="s">
        <v>393</v>
      </c>
      <c r="O68" s="124" t="s">
        <v>394</v>
      </c>
      <c r="P68" s="123"/>
      <c r="Q68" s="123" t="s">
        <v>87</v>
      </c>
      <c r="R68" s="123" t="s">
        <v>87</v>
      </c>
      <c r="S68" s="123" t="s">
        <v>87</v>
      </c>
      <c r="T68" s="123" t="s">
        <v>53</v>
      </c>
      <c r="U68" s="123"/>
      <c r="V68" s="29"/>
      <c r="W68" s="123">
        <v>1</v>
      </c>
      <c r="X68" s="123"/>
      <c r="Y68" s="123" t="s">
        <v>225</v>
      </c>
      <c r="Z68" s="125"/>
      <c r="AA68" s="31"/>
      <c r="AB68" s="126"/>
      <c r="AC68" s="31"/>
      <c r="AD68" s="126"/>
      <c r="AE68" s="31"/>
      <c r="AF68" s="123"/>
      <c r="AG68" s="123"/>
      <c r="AH68" s="123">
        <f>315.55+53.5/2</f>
        <v>342.3</v>
      </c>
      <c r="AI68" s="123"/>
      <c r="AJ68" s="29"/>
      <c r="AK68" s="127">
        <v>8.1999999999999993</v>
      </c>
      <c r="AL68" s="128">
        <v>618.54</v>
      </c>
      <c r="AM68" s="128">
        <f>+(315.55+8.2+53.5)/AL68</f>
        <v>0.60990396740712005</v>
      </c>
      <c r="AN68" s="128">
        <f>+(AH68+AK68)/AL68</f>
        <v>0.5666569664047596</v>
      </c>
      <c r="AO68" s="128"/>
      <c r="AP68" s="128">
        <f>+(AH68*163397)+(AK68*163397)</f>
        <v>57270648.5</v>
      </c>
      <c r="AQ68" s="129">
        <v>338394.3</v>
      </c>
      <c r="AR68" s="128" t="s">
        <v>39</v>
      </c>
      <c r="AS68" s="130" t="s">
        <v>395</v>
      </c>
      <c r="AT68" s="131">
        <v>45461</v>
      </c>
      <c r="AU68" s="132"/>
      <c r="AV68" s="133" t="s">
        <v>396</v>
      </c>
      <c r="AW68" s="38"/>
      <c r="AX68" s="38"/>
      <c r="AY68" s="38"/>
      <c r="AZ68" s="38"/>
      <c r="BA68" s="38"/>
      <c r="BB68" s="38"/>
      <c r="BC68" s="38"/>
      <c r="BD68" s="38"/>
      <c r="BE68" s="38"/>
      <c r="BF68" s="38"/>
      <c r="BG68" s="38"/>
      <c r="BH68" s="39"/>
      <c r="BI68" s="39"/>
      <c r="BJ68" s="39"/>
      <c r="BK68" s="39"/>
      <c r="BL68" s="39"/>
      <c r="BM68" s="39"/>
      <c r="BN68" s="39"/>
      <c r="BO68" s="39"/>
      <c r="BP68" s="39"/>
      <c r="BQ68" s="39"/>
      <c r="BR68" s="39"/>
      <c r="BS68" s="39"/>
      <c r="BT68" s="39"/>
      <c r="BU68" s="39"/>
      <c r="BV68" s="39"/>
      <c r="BW68" s="39"/>
      <c r="IQ68" s="39"/>
      <c r="IR68" s="39"/>
      <c r="IS68" s="39"/>
      <c r="IT68" s="39"/>
      <c r="IU68" s="39"/>
      <c r="IV68" s="39"/>
      <c r="IW68" s="39"/>
    </row>
    <row r="69" spans="1:257" s="40" customFormat="1" ht="51">
      <c r="A69" s="1"/>
      <c r="B69" s="115">
        <v>68</v>
      </c>
      <c r="C69" s="24">
        <v>544184</v>
      </c>
      <c r="D69" s="25">
        <v>44771</v>
      </c>
      <c r="E69" s="26" t="s">
        <v>42</v>
      </c>
      <c r="F69" s="27">
        <v>52134</v>
      </c>
      <c r="G69" s="27"/>
      <c r="H69" s="27">
        <v>8495</v>
      </c>
      <c r="I69" s="28"/>
      <c r="J69" s="28">
        <v>76</v>
      </c>
      <c r="K69" s="28">
        <v>515</v>
      </c>
      <c r="L69" s="28">
        <v>7</v>
      </c>
      <c r="M69" s="28" t="s">
        <v>43</v>
      </c>
      <c r="N69" s="28" t="s">
        <v>397</v>
      </c>
      <c r="O69" s="28" t="s">
        <v>398</v>
      </c>
      <c r="P69" s="28"/>
      <c r="Q69" s="28" t="s">
        <v>399</v>
      </c>
      <c r="R69" s="28"/>
      <c r="S69" s="28"/>
      <c r="T69" s="28"/>
      <c r="U69" s="28">
        <v>1</v>
      </c>
      <c r="V69" s="29"/>
      <c r="W69" s="28"/>
      <c r="X69" s="28"/>
      <c r="Y69" s="28" t="s">
        <v>54</v>
      </c>
      <c r="Z69" s="30">
        <v>3</v>
      </c>
      <c r="AA69" s="31"/>
      <c r="AB69" s="30">
        <f>+Z69+1</f>
        <v>4</v>
      </c>
      <c r="AC69" s="31"/>
      <c r="AD69" s="30">
        <f>+Z69*2</f>
        <v>6</v>
      </c>
      <c r="AE69" s="31"/>
      <c r="AF69" s="28"/>
      <c r="AG69" s="28"/>
      <c r="AH69" s="28">
        <f>100+18.65/2</f>
        <v>109.325</v>
      </c>
      <c r="AI69" s="28"/>
      <c r="AJ69" s="110"/>
      <c r="AK69" s="111"/>
      <c r="AL69" s="32">
        <v>333</v>
      </c>
      <c r="AM69" s="32">
        <f>+(100+18.65)/AL69</f>
        <v>0.35630630630630633</v>
      </c>
      <c r="AN69" s="32">
        <f>+AH69/AL69</f>
        <v>0.32830330330330332</v>
      </c>
      <c r="AO69" s="32"/>
      <c r="AP69" s="32">
        <f>+(1*204929+11*163397+7*122940+1*81972)/20*AH69</f>
        <v>16097275.379999999</v>
      </c>
      <c r="AQ69" s="116">
        <v>244706.67</v>
      </c>
      <c r="AR69" s="32" t="s">
        <v>55</v>
      </c>
      <c r="AS69" s="34" t="s">
        <v>400</v>
      </c>
      <c r="AT69" s="35">
        <v>45471</v>
      </c>
      <c r="AU69" s="36"/>
      <c r="AV69" s="37">
        <v>44777</v>
      </c>
      <c r="AW69" s="38"/>
      <c r="AX69" s="38"/>
      <c r="AY69" s="38"/>
      <c r="AZ69" s="38"/>
      <c r="BA69" s="38"/>
      <c r="BB69" s="38"/>
      <c r="BC69" s="38"/>
      <c r="BD69" s="38"/>
      <c r="BE69" s="38"/>
      <c r="BF69" s="38"/>
      <c r="BG69" s="38"/>
      <c r="BH69" s="39"/>
      <c r="BI69" s="39"/>
      <c r="BJ69" s="39"/>
      <c r="BK69" s="39"/>
      <c r="BL69" s="39"/>
      <c r="BM69" s="39"/>
      <c r="BN69" s="39"/>
      <c r="BO69" s="39"/>
      <c r="BP69" s="39"/>
      <c r="BQ69" s="39"/>
      <c r="BR69" s="39"/>
      <c r="BS69" s="39"/>
      <c r="BT69" s="39"/>
      <c r="BU69" s="39"/>
      <c r="BV69" s="39"/>
      <c r="BW69" s="39"/>
      <c r="IQ69" s="39"/>
      <c r="IR69" s="39"/>
      <c r="IS69" s="39"/>
      <c r="IT69" s="39"/>
      <c r="IU69" s="39"/>
      <c r="IV69" s="39"/>
      <c r="IW69" s="39"/>
    </row>
    <row r="70" spans="1:257" s="40" customFormat="1" ht="38.25">
      <c r="A70" s="1" t="s">
        <v>408</v>
      </c>
      <c r="B70" s="134">
        <v>69</v>
      </c>
      <c r="C70" s="24">
        <v>561728</v>
      </c>
      <c r="D70" s="25">
        <v>45392</v>
      </c>
      <c r="E70" s="26" t="s">
        <v>48</v>
      </c>
      <c r="F70" s="27">
        <v>45500</v>
      </c>
      <c r="G70" s="27">
        <v>142715</v>
      </c>
      <c r="H70" s="27">
        <v>20851</v>
      </c>
      <c r="I70" s="28">
        <v>48</v>
      </c>
      <c r="J70" s="28"/>
      <c r="K70" s="28">
        <v>408</v>
      </c>
      <c r="L70" s="28">
        <v>12</v>
      </c>
      <c r="M70" s="28" t="s">
        <v>43</v>
      </c>
      <c r="N70" s="28" t="s">
        <v>409</v>
      </c>
      <c r="O70" s="28" t="s">
        <v>410</v>
      </c>
      <c r="P70" s="28"/>
      <c r="Q70" s="28" t="s">
        <v>154</v>
      </c>
      <c r="R70" s="28" t="s">
        <v>154</v>
      </c>
      <c r="S70" s="28" t="s">
        <v>154</v>
      </c>
      <c r="T70" s="28" t="s">
        <v>53</v>
      </c>
      <c r="U70" s="28"/>
      <c r="V70" s="29"/>
      <c r="W70" s="28"/>
      <c r="X70" s="28"/>
      <c r="Y70" s="28" t="s">
        <v>94</v>
      </c>
      <c r="Z70" s="30"/>
      <c r="AA70" s="31"/>
      <c r="AB70" s="30"/>
      <c r="AC70" s="31"/>
      <c r="AD70" s="30"/>
      <c r="AE70" s="31"/>
      <c r="AF70" s="28"/>
      <c r="AG70" s="28"/>
      <c r="AH70" s="28"/>
      <c r="AI70" s="28"/>
      <c r="AJ70" s="110"/>
      <c r="AK70" s="111">
        <v>210</v>
      </c>
      <c r="AL70" s="32">
        <v>624.4</v>
      </c>
      <c r="AM70" s="32">
        <f>+AL70/AK70</f>
        <v>2.9733333333333332</v>
      </c>
      <c r="AN70" s="32">
        <f>+AK70/AL70</f>
        <v>0.33632286995515698</v>
      </c>
      <c r="AO70" s="32">
        <f>+(2+6+9+4+18)/(2+3+3+1+3)</f>
        <v>3.25</v>
      </c>
      <c r="AP70" s="32">
        <v>59091894</v>
      </c>
      <c r="AQ70" s="135">
        <v>820209.06</v>
      </c>
      <c r="AR70" s="32" t="s">
        <v>39</v>
      </c>
      <c r="AS70" s="34" t="s">
        <v>411</v>
      </c>
      <c r="AT70" s="35">
        <v>45474</v>
      </c>
      <c r="AU70" s="36"/>
      <c r="AV70" s="37" t="s">
        <v>412</v>
      </c>
      <c r="AW70" s="38"/>
      <c r="AX70" s="38"/>
      <c r="AY70" s="38"/>
      <c r="AZ70" s="38"/>
      <c r="BA70" s="38"/>
      <c r="BB70" s="38"/>
      <c r="BC70" s="38"/>
      <c r="BD70" s="38"/>
      <c r="BE70" s="38"/>
      <c r="BF70" s="38"/>
      <c r="BG70" s="38"/>
      <c r="BH70" s="39"/>
      <c r="BI70" s="39"/>
      <c r="BJ70" s="39"/>
      <c r="BK70" s="39"/>
      <c r="BL70" s="39"/>
      <c r="BM70" s="39"/>
      <c r="BN70" s="39"/>
      <c r="BO70" s="39"/>
      <c r="BP70" s="39"/>
      <c r="BQ70" s="39"/>
      <c r="BR70" s="39"/>
      <c r="BS70" s="39"/>
      <c r="BT70" s="39"/>
      <c r="BU70" s="39"/>
      <c r="BV70" s="39"/>
      <c r="BW70" s="39"/>
      <c r="IQ70" s="39"/>
      <c r="IR70" s="39"/>
      <c r="IS70" s="39"/>
      <c r="IT70" s="39"/>
      <c r="IU70" s="39"/>
      <c r="IV70" s="39"/>
      <c r="IW70" s="39"/>
    </row>
    <row r="71" spans="1:257" s="40" customFormat="1" ht="63.75">
      <c r="A71" s="1"/>
      <c r="B71" s="134">
        <v>70</v>
      </c>
      <c r="C71" s="24">
        <v>561625</v>
      </c>
      <c r="D71" s="25">
        <v>45390</v>
      </c>
      <c r="E71" s="26" t="s">
        <v>48</v>
      </c>
      <c r="F71" s="27">
        <v>61388</v>
      </c>
      <c r="G71" s="27">
        <v>169238</v>
      </c>
      <c r="H71" s="27">
        <v>34066</v>
      </c>
      <c r="I71" s="28">
        <v>247</v>
      </c>
      <c r="J71" s="28"/>
      <c r="K71" s="28">
        <v>6</v>
      </c>
      <c r="L71" s="28">
        <v>5</v>
      </c>
      <c r="M71" s="28" t="s">
        <v>323</v>
      </c>
      <c r="N71" s="28" t="s">
        <v>259</v>
      </c>
      <c r="O71" s="28" t="s">
        <v>413</v>
      </c>
      <c r="P71" s="28"/>
      <c r="Q71" s="28" t="s">
        <v>87</v>
      </c>
      <c r="R71" s="28" t="s">
        <v>87</v>
      </c>
      <c r="S71" s="28" t="s">
        <v>87</v>
      </c>
      <c r="T71" s="28" t="s">
        <v>249</v>
      </c>
      <c r="U71" s="28"/>
      <c r="V71" s="29">
        <v>1</v>
      </c>
      <c r="W71" s="28"/>
      <c r="X71" s="28"/>
      <c r="Y71" s="28" t="s">
        <v>54</v>
      </c>
      <c r="Z71" s="30"/>
      <c r="AA71" s="31">
        <v>3</v>
      </c>
      <c r="AB71" s="30"/>
      <c r="AC71" s="31">
        <f>+AA71+1</f>
        <v>4</v>
      </c>
      <c r="AD71" s="30"/>
      <c r="AE71" s="31">
        <f>+AA71*2</f>
        <v>6</v>
      </c>
      <c r="AF71" s="28"/>
      <c r="AG71" s="28"/>
      <c r="AH71" s="28"/>
      <c r="AI71" s="28"/>
      <c r="AJ71" s="110">
        <f>108.95+74.78/2</f>
        <v>146.34</v>
      </c>
      <c r="AK71" s="111"/>
      <c r="AL71" s="32">
        <v>496</v>
      </c>
      <c r="AM71" s="32">
        <f>+(108.95+74.78)/AL71</f>
        <v>0.37042338709677425</v>
      </c>
      <c r="AN71" s="32">
        <f>+AJ71/AL71</f>
        <v>0.29504032258064516</v>
      </c>
      <c r="AO71" s="32"/>
      <c r="AP71" s="32">
        <f>+(11*204929+163397*7+3*122940)/21*AJ71</f>
        <v>26249340.29142857</v>
      </c>
      <c r="AQ71" s="135">
        <v>89296.65</v>
      </c>
      <c r="AR71" s="32" t="s">
        <v>39</v>
      </c>
      <c r="AS71" s="34" t="s">
        <v>414</v>
      </c>
      <c r="AT71" s="35">
        <v>45485</v>
      </c>
      <c r="AU71" s="36"/>
      <c r="AV71" s="37" t="s">
        <v>415</v>
      </c>
      <c r="AW71" s="38"/>
      <c r="AX71" s="38"/>
      <c r="AY71" s="38"/>
      <c r="AZ71" s="38"/>
      <c r="BA71" s="38"/>
      <c r="BB71" s="38"/>
      <c r="BC71" s="38"/>
      <c r="BD71" s="38"/>
      <c r="BE71" s="38"/>
      <c r="BF71" s="38"/>
      <c r="BG71" s="38"/>
      <c r="BH71" s="39"/>
      <c r="BI71" s="39"/>
      <c r="BJ71" s="39"/>
      <c r="BK71" s="39"/>
      <c r="BL71" s="39"/>
      <c r="BM71" s="39"/>
      <c r="BN71" s="39"/>
      <c r="BO71" s="39"/>
      <c r="BP71" s="39"/>
      <c r="BQ71" s="39"/>
      <c r="BR71" s="39"/>
      <c r="BS71" s="39"/>
      <c r="BT71" s="39"/>
      <c r="BU71" s="39"/>
      <c r="BV71" s="39"/>
      <c r="BW71" s="39"/>
      <c r="IQ71" s="39"/>
      <c r="IR71" s="39"/>
      <c r="IS71" s="39"/>
      <c r="IT71" s="39"/>
      <c r="IU71" s="39"/>
      <c r="IV71" s="39"/>
      <c r="IW71" s="39"/>
    </row>
    <row r="72" spans="1:257" s="40" customFormat="1" ht="89.25">
      <c r="A72" s="1"/>
      <c r="B72" s="134">
        <v>71</v>
      </c>
      <c r="C72" s="24">
        <v>550149</v>
      </c>
      <c r="D72" s="25">
        <v>44965</v>
      </c>
      <c r="E72" s="26" t="s">
        <v>42</v>
      </c>
      <c r="F72" s="27">
        <v>22922</v>
      </c>
      <c r="G72" s="27">
        <v>50952</v>
      </c>
      <c r="H72" s="27">
        <v>4976</v>
      </c>
      <c r="I72" s="28"/>
      <c r="J72" s="28"/>
      <c r="K72" s="28">
        <v>428</v>
      </c>
      <c r="L72" s="28">
        <v>1</v>
      </c>
      <c r="M72" s="28" t="s">
        <v>43</v>
      </c>
      <c r="N72" s="28" t="s">
        <v>416</v>
      </c>
      <c r="O72" s="28" t="s">
        <v>417</v>
      </c>
      <c r="P72" s="28"/>
      <c r="Q72" s="28" t="s">
        <v>418</v>
      </c>
      <c r="R72" s="28"/>
      <c r="S72" s="28"/>
      <c r="T72" s="28"/>
      <c r="U72" s="28">
        <v>3</v>
      </c>
      <c r="V72" s="29"/>
      <c r="W72" s="28"/>
      <c r="X72" s="28"/>
      <c r="Y72" s="28" t="s">
        <v>38</v>
      </c>
      <c r="Z72" s="30">
        <f>1+1+1</f>
        <v>3</v>
      </c>
      <c r="AA72" s="31"/>
      <c r="AB72" s="30">
        <f>+Z72+1</f>
        <v>4</v>
      </c>
      <c r="AC72" s="31"/>
      <c r="AD72" s="30">
        <f>+Z72*2</f>
        <v>6</v>
      </c>
      <c r="AE72" s="31"/>
      <c r="AF72" s="28"/>
      <c r="AG72" s="28"/>
      <c r="AH72" s="28">
        <f>133.47+44.28/2</f>
        <v>155.61000000000001</v>
      </c>
      <c r="AI72" s="28"/>
      <c r="AJ72" s="110"/>
      <c r="AK72" s="111"/>
      <c r="AL72" s="32">
        <v>261.39999999999998</v>
      </c>
      <c r="AM72" s="32">
        <f>+(133.47+44.28)/AL72</f>
        <v>0.67999234889058924</v>
      </c>
      <c r="AN72" s="32">
        <f>+AH72/AL72</f>
        <v>0.59529456771231837</v>
      </c>
      <c r="AO72" s="32"/>
      <c r="AP72" s="32">
        <f>+(2*204929+9*163397+122940*6+6*81972)/23*AH72</f>
        <v>21040521.9926087</v>
      </c>
      <c r="AQ72" s="135">
        <v>125877.21</v>
      </c>
      <c r="AR72" s="32" t="s">
        <v>39</v>
      </c>
      <c r="AS72" s="34" t="s">
        <v>419</v>
      </c>
      <c r="AT72" s="35">
        <v>45485</v>
      </c>
      <c r="AU72" s="36"/>
      <c r="AV72" s="37">
        <v>44979</v>
      </c>
      <c r="AW72" s="38"/>
      <c r="AX72" s="38"/>
      <c r="AY72" s="38"/>
      <c r="AZ72" s="38"/>
      <c r="BA72" s="38"/>
      <c r="BB72" s="38"/>
      <c r="BC72" s="38"/>
      <c r="BD72" s="38"/>
      <c r="BE72" s="38"/>
      <c r="BF72" s="38"/>
      <c r="BG72" s="38"/>
      <c r="BH72" s="39"/>
      <c r="BI72" s="39"/>
      <c r="BJ72" s="39"/>
      <c r="BK72" s="39"/>
      <c r="BL72" s="39"/>
      <c r="BM72" s="39"/>
      <c r="BN72" s="39"/>
      <c r="BO72" s="39"/>
      <c r="BP72" s="39"/>
      <c r="BQ72" s="39"/>
      <c r="BR72" s="39"/>
      <c r="BS72" s="39"/>
      <c r="BT72" s="39"/>
      <c r="BU72" s="39"/>
      <c r="BV72" s="39"/>
      <c r="BW72" s="39"/>
      <c r="IQ72" s="39"/>
      <c r="IR72" s="39"/>
      <c r="IS72" s="39"/>
      <c r="IT72" s="39"/>
      <c r="IU72" s="39"/>
      <c r="IV72" s="39"/>
      <c r="IW72" s="39"/>
    </row>
    <row r="73" spans="1:257" s="40" customFormat="1" ht="63.75">
      <c r="A73" s="1"/>
      <c r="B73" s="134">
        <v>72</v>
      </c>
      <c r="C73" s="24">
        <v>562602</v>
      </c>
      <c r="D73" s="25">
        <v>45429</v>
      </c>
      <c r="E73" s="26" t="s">
        <v>48</v>
      </c>
      <c r="F73" s="27">
        <v>4464</v>
      </c>
      <c r="G73" s="27">
        <v>102170</v>
      </c>
      <c r="H73" s="27">
        <v>2517</v>
      </c>
      <c r="I73" s="28"/>
      <c r="J73" s="28"/>
      <c r="K73" s="28">
        <v>46</v>
      </c>
      <c r="L73" s="28">
        <v>1</v>
      </c>
      <c r="M73" s="28" t="s">
        <v>43</v>
      </c>
      <c r="N73" s="28" t="s">
        <v>420</v>
      </c>
      <c r="O73" s="28" t="s">
        <v>421</v>
      </c>
      <c r="P73" s="28"/>
      <c r="Q73" s="28" t="s">
        <v>422</v>
      </c>
      <c r="R73" s="28" t="s">
        <v>422</v>
      </c>
      <c r="S73" s="28" t="s">
        <v>422</v>
      </c>
      <c r="T73" s="28" t="s">
        <v>211</v>
      </c>
      <c r="U73" s="28"/>
      <c r="V73" s="29">
        <v>4</v>
      </c>
      <c r="W73" s="28"/>
      <c r="X73" s="28"/>
      <c r="Y73" s="28" t="s">
        <v>38</v>
      </c>
      <c r="Z73" s="30"/>
      <c r="AA73" s="31">
        <f>2*4</f>
        <v>8</v>
      </c>
      <c r="AB73" s="30"/>
      <c r="AC73" s="31">
        <f>+AA73+4</f>
        <v>12</v>
      </c>
      <c r="AD73" s="30"/>
      <c r="AE73" s="31">
        <f>+AA73*2</f>
        <v>16</v>
      </c>
      <c r="AF73" s="28"/>
      <c r="AG73" s="28"/>
      <c r="AH73" s="28"/>
      <c r="AI73" s="28"/>
      <c r="AJ73" s="110">
        <f>33.6/2+166.32+179.76+16.08/2</f>
        <v>370.92</v>
      </c>
      <c r="AK73" s="111"/>
      <c r="AL73" s="32">
        <v>462.02</v>
      </c>
      <c r="AM73" s="32">
        <f>+(33.6+166.32)/AL73</f>
        <v>0.43270854075581144</v>
      </c>
      <c r="AN73" s="32">
        <f>+AJ73/AL73</f>
        <v>0.80282238864118438</v>
      </c>
      <c r="AO73" s="32">
        <f>+(6+21+12)/(3+7+12)</f>
        <v>1.7727272727272727</v>
      </c>
      <c r="AP73" s="32">
        <f>+(10*204929+8*163397+3*122940+81972*1)/22*AJ73</f>
        <v>64190369.880000003</v>
      </c>
      <c r="AQ73" s="135">
        <v>243192.62</v>
      </c>
      <c r="AR73" s="32" t="s">
        <v>39</v>
      </c>
      <c r="AS73" s="34" t="s">
        <v>423</v>
      </c>
      <c r="AT73" s="35">
        <v>45485</v>
      </c>
      <c r="AU73" s="36"/>
      <c r="AV73" s="37" t="s">
        <v>424</v>
      </c>
      <c r="AW73" s="38"/>
      <c r="AX73" s="38"/>
      <c r="AY73" s="38"/>
      <c r="AZ73" s="38"/>
      <c r="BA73" s="38"/>
      <c r="BB73" s="38"/>
      <c r="BC73" s="38"/>
      <c r="BD73" s="38"/>
      <c r="BE73" s="38"/>
      <c r="BF73" s="38"/>
      <c r="BG73" s="38"/>
      <c r="BH73" s="39"/>
      <c r="BI73" s="39"/>
      <c r="BJ73" s="39"/>
      <c r="BK73" s="39"/>
      <c r="BL73" s="39"/>
      <c r="BM73" s="39"/>
      <c r="BN73" s="39"/>
      <c r="BO73" s="39"/>
      <c r="BP73" s="39"/>
      <c r="BQ73" s="39"/>
      <c r="BR73" s="39"/>
      <c r="BS73" s="39"/>
      <c r="BT73" s="39"/>
      <c r="BU73" s="39"/>
      <c r="BV73" s="39"/>
      <c r="BW73" s="39"/>
      <c r="IQ73" s="39"/>
      <c r="IR73" s="39"/>
      <c r="IS73" s="39"/>
      <c r="IT73" s="39"/>
      <c r="IU73" s="39"/>
      <c r="IV73" s="39"/>
      <c r="IW73" s="39"/>
    </row>
    <row r="74" spans="1:257" s="40" customFormat="1" ht="51">
      <c r="A74" s="1"/>
      <c r="B74" s="134">
        <v>73</v>
      </c>
      <c r="C74" s="24" t="s">
        <v>232</v>
      </c>
      <c r="D74" s="25">
        <v>45356</v>
      </c>
      <c r="E74" s="26" t="s">
        <v>48</v>
      </c>
      <c r="F74" s="27"/>
      <c r="G74" s="27"/>
      <c r="H74" s="27">
        <v>338</v>
      </c>
      <c r="I74" s="28"/>
      <c r="J74" s="28"/>
      <c r="K74" s="28">
        <v>130</v>
      </c>
      <c r="L74" s="28">
        <v>13</v>
      </c>
      <c r="M74" s="28" t="s">
        <v>79</v>
      </c>
      <c r="N74" s="28" t="s">
        <v>425</v>
      </c>
      <c r="O74" s="28" t="s">
        <v>426</v>
      </c>
      <c r="P74" s="28"/>
      <c r="Q74" s="28" t="s">
        <v>335</v>
      </c>
      <c r="R74" s="28" t="s">
        <v>335</v>
      </c>
      <c r="S74" s="28" t="s">
        <v>335</v>
      </c>
      <c r="T74" s="28" t="s">
        <v>427</v>
      </c>
      <c r="U74" s="28"/>
      <c r="V74" s="29">
        <v>2</v>
      </c>
      <c r="W74" s="28"/>
      <c r="X74" s="28"/>
      <c r="Y74" s="28" t="s">
        <v>225</v>
      </c>
      <c r="Z74" s="30"/>
      <c r="AA74" s="31"/>
      <c r="AB74" s="30"/>
      <c r="AC74" s="31"/>
      <c r="AD74" s="30"/>
      <c r="AE74" s="31"/>
      <c r="AF74" s="28"/>
      <c r="AG74" s="28"/>
      <c r="AH74" s="28"/>
      <c r="AI74" s="28"/>
      <c r="AJ74" s="110"/>
      <c r="AK74" s="111">
        <v>49.27</v>
      </c>
      <c r="AL74" s="32">
        <v>49.27</v>
      </c>
      <c r="AM74" s="32">
        <f>+AK74/AL74</f>
        <v>1</v>
      </c>
      <c r="AN74" s="32">
        <f>+AM74</f>
        <v>1</v>
      </c>
      <c r="AO74" s="32"/>
      <c r="AP74" s="32">
        <f>+AK74*163397</f>
        <v>8050570.1900000004</v>
      </c>
      <c r="AQ74" s="135">
        <v>48028.15</v>
      </c>
      <c r="AR74" s="32" t="s">
        <v>39</v>
      </c>
      <c r="AS74" s="34" t="s">
        <v>428</v>
      </c>
      <c r="AT74" s="35">
        <v>45485</v>
      </c>
      <c r="AU74" s="36"/>
      <c r="AV74" s="37" t="s">
        <v>429</v>
      </c>
      <c r="AW74" s="38"/>
      <c r="AX74" s="38"/>
      <c r="AY74" s="38"/>
      <c r="AZ74" s="38"/>
      <c r="BA74" s="38"/>
      <c r="BB74" s="38"/>
      <c r="BC74" s="38"/>
      <c r="BD74" s="38"/>
      <c r="BE74" s="38"/>
      <c r="BF74" s="38"/>
      <c r="BG74" s="38"/>
      <c r="BH74" s="39"/>
      <c r="BI74" s="39"/>
      <c r="BJ74" s="39"/>
      <c r="BK74" s="39"/>
      <c r="BL74" s="39"/>
      <c r="BM74" s="39"/>
      <c r="BN74" s="39"/>
      <c r="BO74" s="39"/>
      <c r="BP74" s="39"/>
      <c r="BQ74" s="39"/>
      <c r="BR74" s="39"/>
      <c r="BS74" s="39"/>
      <c r="BT74" s="39"/>
      <c r="BU74" s="39"/>
      <c r="BV74" s="39"/>
      <c r="BW74" s="39"/>
      <c r="IQ74" s="39"/>
      <c r="IR74" s="39"/>
      <c r="IS74" s="39"/>
      <c r="IT74" s="39"/>
      <c r="IU74" s="39"/>
      <c r="IV74" s="39"/>
      <c r="IW74" s="39"/>
    </row>
    <row r="75" spans="1:257" s="40" customFormat="1" ht="38.25">
      <c r="A75" s="1"/>
      <c r="B75" s="134">
        <v>74</v>
      </c>
      <c r="C75" s="61" t="s">
        <v>430</v>
      </c>
      <c r="D75" s="46">
        <v>45454</v>
      </c>
      <c r="E75" s="210" t="s">
        <v>48</v>
      </c>
      <c r="F75" s="48">
        <v>39703</v>
      </c>
      <c r="G75" s="48">
        <v>138412</v>
      </c>
      <c r="H75" s="48">
        <v>31611</v>
      </c>
      <c r="I75" s="49">
        <v>3</v>
      </c>
      <c r="J75" s="49"/>
      <c r="K75" s="49">
        <v>6</v>
      </c>
      <c r="L75" s="49">
        <v>4</v>
      </c>
      <c r="M75" s="49" t="s">
        <v>173</v>
      </c>
      <c r="N75" s="49" t="s">
        <v>85</v>
      </c>
      <c r="O75" s="50" t="s">
        <v>431</v>
      </c>
      <c r="P75" s="49"/>
      <c r="Q75" s="49" t="s">
        <v>432</v>
      </c>
      <c r="R75" s="49" t="s">
        <v>432</v>
      </c>
      <c r="S75" s="49" t="s">
        <v>432</v>
      </c>
      <c r="T75" s="49" t="s">
        <v>431</v>
      </c>
      <c r="U75" s="49"/>
      <c r="V75" s="51">
        <v>1</v>
      </c>
      <c r="W75" s="49"/>
      <c r="X75" s="49"/>
      <c r="Y75" s="49" t="s">
        <v>54</v>
      </c>
      <c r="Z75" s="52"/>
      <c r="AA75" s="53">
        <v>2</v>
      </c>
      <c r="AB75" s="54"/>
      <c r="AC75" s="53">
        <f>+AA75+1</f>
        <v>3</v>
      </c>
      <c r="AD75" s="54"/>
      <c r="AE75" s="53">
        <f>+AA75*2</f>
        <v>4</v>
      </c>
      <c r="AF75" s="49"/>
      <c r="AG75" s="49"/>
      <c r="AH75" s="49"/>
      <c r="AI75" s="49"/>
      <c r="AJ75" s="51"/>
      <c r="AK75" s="55">
        <f>88.02+2.2/2</f>
        <v>89.11999999999999</v>
      </c>
      <c r="AL75" s="56">
        <v>803.15</v>
      </c>
      <c r="AM75" s="56">
        <f>+(88.02+2.2)/AL75</f>
        <v>0.11233269003299508</v>
      </c>
      <c r="AN75" s="56">
        <f>+AK75/AL75</f>
        <v>0.11096308286123388</v>
      </c>
      <c r="AO75" s="56"/>
      <c r="AP75" s="56">
        <f>830060+((7*204929+6*163397+122940*6+3*81972)/(7+6+6+3))</f>
        <v>984534.59090909094</v>
      </c>
      <c r="AQ75" s="136">
        <v>110259.63</v>
      </c>
      <c r="AR75" s="56" t="s">
        <v>55</v>
      </c>
      <c r="AS75" s="58" t="s">
        <v>433</v>
      </c>
      <c r="AT75" s="59">
        <v>45502</v>
      </c>
      <c r="AU75" s="60"/>
      <c r="AV75" s="73" t="s">
        <v>434</v>
      </c>
      <c r="AW75" s="38"/>
      <c r="AX75" s="38"/>
      <c r="AY75" s="38"/>
      <c r="AZ75" s="38"/>
      <c r="BA75" s="38"/>
      <c r="BB75" s="38"/>
      <c r="BC75" s="38"/>
      <c r="BD75" s="38"/>
      <c r="BE75" s="38"/>
      <c r="BF75" s="38"/>
      <c r="BG75" s="38"/>
      <c r="BH75" s="39"/>
      <c r="BI75" s="39"/>
      <c r="BJ75" s="39"/>
      <c r="BK75" s="39"/>
      <c r="BL75" s="39"/>
      <c r="BM75" s="39"/>
      <c r="BN75" s="39"/>
      <c r="BO75" s="39"/>
      <c r="BP75" s="39"/>
      <c r="BQ75" s="39"/>
      <c r="BR75" s="39"/>
      <c r="BS75" s="39"/>
      <c r="BT75" s="39"/>
      <c r="BU75" s="39"/>
      <c r="BV75" s="39"/>
      <c r="BW75" s="39"/>
      <c r="IQ75" s="39"/>
      <c r="IR75" s="39"/>
      <c r="IS75" s="39"/>
      <c r="IT75" s="39"/>
      <c r="IU75" s="39"/>
      <c r="IV75" s="39"/>
      <c r="IW75" s="39"/>
    </row>
    <row r="76" spans="1:257" s="23" customFormat="1" ht="38.25">
      <c r="A76" s="1" t="s">
        <v>435</v>
      </c>
      <c r="B76" s="139">
        <v>75</v>
      </c>
      <c r="C76" s="24" t="s">
        <v>436</v>
      </c>
      <c r="D76" s="87">
        <v>45386</v>
      </c>
      <c r="E76" s="88" t="s">
        <v>48</v>
      </c>
      <c r="F76" s="27">
        <v>57183</v>
      </c>
      <c r="G76" s="27">
        <v>165745</v>
      </c>
      <c r="H76" s="27">
        <v>33715</v>
      </c>
      <c r="I76" s="28">
        <v>2</v>
      </c>
      <c r="J76" s="28"/>
      <c r="K76" s="28">
        <v>5</v>
      </c>
      <c r="L76" s="28">
        <v>5</v>
      </c>
      <c r="M76" s="28" t="s">
        <v>437</v>
      </c>
      <c r="N76" s="28" t="s">
        <v>438</v>
      </c>
      <c r="O76" s="28" t="s">
        <v>439</v>
      </c>
      <c r="P76" s="28"/>
      <c r="Q76" s="28" t="s">
        <v>440</v>
      </c>
      <c r="R76" s="28" t="s">
        <v>440</v>
      </c>
      <c r="S76" s="28" t="s">
        <v>440</v>
      </c>
      <c r="T76" s="28" t="s">
        <v>37</v>
      </c>
      <c r="U76" s="28"/>
      <c r="V76" s="29">
        <v>1</v>
      </c>
      <c r="W76" s="28"/>
      <c r="X76" s="28"/>
      <c r="Y76" s="28" t="s">
        <v>54</v>
      </c>
      <c r="Z76" s="30"/>
      <c r="AA76" s="31">
        <v>3</v>
      </c>
      <c r="AB76" s="30"/>
      <c r="AC76" s="31">
        <f>+AA76+1</f>
        <v>4</v>
      </c>
      <c r="AD76" s="30"/>
      <c r="AE76" s="31">
        <f>+AA76*2</f>
        <v>6</v>
      </c>
      <c r="AF76" s="28"/>
      <c r="AG76" s="28"/>
      <c r="AH76" s="28"/>
      <c r="AI76" s="28"/>
      <c r="AJ76" s="110">
        <f>107.72+3.1/2</f>
        <v>109.27</v>
      </c>
      <c r="AK76" s="111"/>
      <c r="AL76" s="32">
        <v>2400</v>
      </c>
      <c r="AM76" s="32">
        <f>+(107.72+3.1)/AL76</f>
        <v>4.6174999999999994E-2</v>
      </c>
      <c r="AN76" s="32">
        <f>+AJ76/AL76</f>
        <v>4.5529166666666662E-2</v>
      </c>
      <c r="AO76" s="32">
        <f>+(2+12+16)/(1+4+4)</f>
        <v>3.3333333333333335</v>
      </c>
      <c r="AP76" s="32">
        <f>+(7*204929+6*163397+122940*4+4*81972)/21*AJ76</f>
        <v>16830353.376666665</v>
      </c>
      <c r="AQ76" s="92">
        <v>88254</v>
      </c>
      <c r="AR76" s="32" t="s">
        <v>265</v>
      </c>
      <c r="AS76" s="34" t="s">
        <v>441</v>
      </c>
      <c r="AT76" s="35">
        <v>45505</v>
      </c>
      <c r="AU76" s="36"/>
      <c r="AV76" s="89" t="s">
        <v>442</v>
      </c>
      <c r="AW76" s="21"/>
      <c r="AX76" s="21"/>
      <c r="AY76" s="21"/>
      <c r="AZ76" s="21"/>
      <c r="BA76" s="21"/>
      <c r="BB76" s="21"/>
      <c r="BC76" s="21"/>
      <c r="BD76" s="21"/>
      <c r="BE76" s="21"/>
      <c r="BF76" s="21"/>
      <c r="BG76" s="21"/>
      <c r="BH76" s="22"/>
      <c r="BI76" s="22"/>
      <c r="BJ76" s="22"/>
      <c r="BK76" s="22"/>
      <c r="BL76" s="22"/>
      <c r="BM76" s="22"/>
      <c r="BN76" s="22"/>
      <c r="BO76" s="22"/>
      <c r="BP76" s="22"/>
      <c r="BQ76" s="22"/>
      <c r="BR76" s="22"/>
      <c r="BS76" s="22"/>
      <c r="BT76" s="22"/>
      <c r="BU76" s="22"/>
      <c r="BV76" s="22"/>
      <c r="BW76" s="22"/>
      <c r="IQ76" s="22"/>
      <c r="IR76" s="22"/>
      <c r="IS76" s="22"/>
      <c r="IT76" s="22"/>
      <c r="IU76" s="22"/>
      <c r="IV76" s="22"/>
      <c r="IW76" s="22"/>
    </row>
    <row r="77" spans="1:257" s="40" customFormat="1" ht="102">
      <c r="A77" s="1"/>
      <c r="B77" s="205">
        <v>76</v>
      </c>
      <c r="C77" s="24" t="s">
        <v>459</v>
      </c>
      <c r="D77" s="25">
        <v>45288</v>
      </c>
      <c r="E77" s="26" t="s">
        <v>460</v>
      </c>
      <c r="F77" s="27">
        <v>18753</v>
      </c>
      <c r="G77" s="27">
        <v>108948</v>
      </c>
      <c r="H77" s="27">
        <v>3582</v>
      </c>
      <c r="I77" s="28">
        <v>34</v>
      </c>
      <c r="J77" s="28"/>
      <c r="K77" s="28">
        <v>211</v>
      </c>
      <c r="L77" s="28">
        <v>18</v>
      </c>
      <c r="M77" s="28" t="s">
        <v>126</v>
      </c>
      <c r="N77" s="28" t="s">
        <v>461</v>
      </c>
      <c r="O77" s="28" t="s">
        <v>462</v>
      </c>
      <c r="P77" s="28" t="s">
        <v>463</v>
      </c>
      <c r="Q77" s="28" t="s">
        <v>154</v>
      </c>
      <c r="R77" s="28" t="s">
        <v>154</v>
      </c>
      <c r="S77" s="28" t="s">
        <v>154</v>
      </c>
      <c r="T77" s="28" t="s">
        <v>53</v>
      </c>
      <c r="U77" s="28"/>
      <c r="V77" s="29"/>
      <c r="W77" s="28">
        <v>1</v>
      </c>
      <c r="X77" s="28"/>
      <c r="Y77" s="28" t="s">
        <v>83</v>
      </c>
      <c r="Z77" s="30">
        <v>3</v>
      </c>
      <c r="AA77" s="31"/>
      <c r="AB77" s="30">
        <f>+Z77+1</f>
        <v>4</v>
      </c>
      <c r="AC77" s="31"/>
      <c r="AD77" s="30">
        <f>+Z77*2</f>
        <v>6</v>
      </c>
      <c r="AE77" s="31"/>
      <c r="AF77" s="28">
        <f>87+5.5/2</f>
        <v>89.75</v>
      </c>
      <c r="AG77" s="28"/>
      <c r="AH77" s="28">
        <v>7.45</v>
      </c>
      <c r="AI77" s="28">
        <f>169+5.2</f>
        <v>174.2</v>
      </c>
      <c r="AJ77" s="110"/>
      <c r="AK77" s="111">
        <f>3.8+0.83/2</f>
        <v>4.2149999999999999</v>
      </c>
      <c r="AL77" s="32">
        <v>700.01</v>
      </c>
      <c r="AM77" s="32">
        <f>+(87+5.5+7.45+169+5.2+3.8+0.83)/AL77</f>
        <v>0.39825145355066355</v>
      </c>
      <c r="AN77" s="32">
        <f>+(AF77+AH77+AI77+AK77)/AL77</f>
        <v>0.39373008957014893</v>
      </c>
      <c r="AO77" s="32">
        <f>+(1+12+9+12)/(1+6+3+2)</f>
        <v>2.8333333333333335</v>
      </c>
      <c r="AP77" s="32">
        <v>13358315</v>
      </c>
      <c r="AQ77" s="92">
        <v>101450.45</v>
      </c>
      <c r="AR77" s="32" t="s">
        <v>39</v>
      </c>
      <c r="AS77" s="34" t="s">
        <v>464</v>
      </c>
      <c r="AT77" s="35">
        <v>45506</v>
      </c>
      <c r="AU77" s="36"/>
      <c r="AV77" s="37" t="s">
        <v>465</v>
      </c>
      <c r="AW77" s="38"/>
      <c r="AX77" s="38"/>
      <c r="AY77" s="38"/>
      <c r="AZ77" s="38"/>
      <c r="BA77" s="38"/>
      <c r="BB77" s="38"/>
      <c r="BC77" s="38"/>
      <c r="BD77" s="38"/>
      <c r="BE77" s="38"/>
      <c r="BF77" s="38"/>
      <c r="BG77" s="38"/>
      <c r="BH77" s="39"/>
      <c r="BI77" s="39"/>
      <c r="BJ77" s="39"/>
      <c r="BK77" s="39"/>
      <c r="BL77" s="39"/>
      <c r="BM77" s="39"/>
      <c r="BN77" s="39"/>
      <c r="BO77" s="39"/>
      <c r="BP77" s="39"/>
      <c r="BQ77" s="39"/>
      <c r="BR77" s="39"/>
      <c r="BS77" s="39"/>
      <c r="BT77" s="39"/>
      <c r="BU77" s="39"/>
      <c r="BV77" s="39"/>
      <c r="BW77" s="39"/>
      <c r="IQ77" s="39"/>
      <c r="IR77" s="39"/>
      <c r="IS77" s="39"/>
      <c r="IT77" s="39"/>
      <c r="IU77" s="39"/>
      <c r="IV77" s="39"/>
      <c r="IW77" s="39"/>
    </row>
    <row r="78" spans="1:257" s="40" customFormat="1" ht="38.25">
      <c r="A78" s="1"/>
      <c r="B78" s="137">
        <v>77</v>
      </c>
      <c r="C78" s="24">
        <v>562265</v>
      </c>
      <c r="D78" s="25">
        <v>45415</v>
      </c>
      <c r="E78" s="26" t="s">
        <v>48</v>
      </c>
      <c r="F78" s="27">
        <v>42697</v>
      </c>
      <c r="G78" s="27">
        <v>140775</v>
      </c>
      <c r="H78" s="27">
        <v>20654</v>
      </c>
      <c r="I78" s="28">
        <v>120</v>
      </c>
      <c r="J78" s="28"/>
      <c r="K78" s="28">
        <v>661</v>
      </c>
      <c r="L78" s="28">
        <v>6</v>
      </c>
      <c r="M78" s="28" t="s">
        <v>49</v>
      </c>
      <c r="N78" s="28" t="s">
        <v>443</v>
      </c>
      <c r="O78" s="28" t="s">
        <v>444</v>
      </c>
      <c r="P78" s="28"/>
      <c r="Q78" s="28" t="s">
        <v>285</v>
      </c>
      <c r="R78" s="28" t="s">
        <v>285</v>
      </c>
      <c r="S78" s="28" t="s">
        <v>285</v>
      </c>
      <c r="T78" s="28" t="s">
        <v>445</v>
      </c>
      <c r="U78" s="28"/>
      <c r="V78" s="29">
        <v>1</v>
      </c>
      <c r="W78" s="28"/>
      <c r="X78" s="28"/>
      <c r="Y78" s="28" t="s">
        <v>54</v>
      </c>
      <c r="Z78" s="30"/>
      <c r="AA78" s="31">
        <v>2</v>
      </c>
      <c r="AB78" s="30"/>
      <c r="AC78" s="31">
        <f>+AA78+1</f>
        <v>3</v>
      </c>
      <c r="AD78" s="30"/>
      <c r="AE78" s="31">
        <f>+AA78*2</f>
        <v>4</v>
      </c>
      <c r="AF78" s="28"/>
      <c r="AG78" s="28"/>
      <c r="AH78" s="28"/>
      <c r="AI78" s="28"/>
      <c r="AJ78" s="110">
        <f>99.73+39.1/2+34.55</f>
        <v>153.82999999999998</v>
      </c>
      <c r="AK78" s="111"/>
      <c r="AL78" s="32">
        <v>301.39499999999998</v>
      </c>
      <c r="AM78" s="32">
        <f>+(99.73+39.1)/AL78</f>
        <v>0.4606247615255728</v>
      </c>
      <c r="AN78" s="32">
        <f>+AJ78/AL78</f>
        <v>0.51039333764660988</v>
      </c>
      <c r="AO78" s="32">
        <f>+(20+15)/(5+3)</f>
        <v>4.375</v>
      </c>
      <c r="AP78" s="32">
        <f>2500000.01+((5*204929+6*163397+122940*2+7*81972)/21*AJ78)</f>
        <v>23191680.635238096</v>
      </c>
      <c r="AQ78" s="92">
        <v>203313.81</v>
      </c>
      <c r="AR78" s="32" t="s">
        <v>39</v>
      </c>
      <c r="AS78" s="34" t="s">
        <v>446</v>
      </c>
      <c r="AT78" s="35">
        <v>45506</v>
      </c>
      <c r="AU78" s="36"/>
      <c r="AV78" s="37" t="s">
        <v>447</v>
      </c>
      <c r="AW78" s="38"/>
      <c r="AX78" s="38"/>
      <c r="AY78" s="38"/>
      <c r="AZ78" s="38"/>
      <c r="BA78" s="38"/>
      <c r="BB78" s="38"/>
      <c r="BC78" s="38"/>
      <c r="BD78" s="38"/>
      <c r="BE78" s="38"/>
      <c r="BF78" s="38"/>
      <c r="BG78" s="38"/>
      <c r="BH78" s="39"/>
      <c r="BI78" s="39"/>
      <c r="BJ78" s="39"/>
      <c r="BK78" s="39"/>
      <c r="BL78" s="39"/>
      <c r="BM78" s="39"/>
      <c r="BN78" s="39"/>
      <c r="BO78" s="39"/>
      <c r="BP78" s="39"/>
      <c r="BQ78" s="39"/>
      <c r="BR78" s="39"/>
      <c r="BS78" s="39"/>
      <c r="BT78" s="39"/>
      <c r="BU78" s="39"/>
      <c r="BV78" s="39"/>
      <c r="BW78" s="39"/>
      <c r="IQ78" s="39"/>
      <c r="IR78" s="39"/>
      <c r="IS78" s="39"/>
      <c r="IT78" s="39"/>
      <c r="IU78" s="39"/>
      <c r="IV78" s="39"/>
      <c r="IW78" s="39"/>
    </row>
    <row r="79" spans="1:257" s="40" customFormat="1" ht="38.25">
      <c r="A79" s="1"/>
      <c r="B79" s="137">
        <v>78</v>
      </c>
      <c r="C79" s="41">
        <v>563941</v>
      </c>
      <c r="D79" s="42">
        <v>45497</v>
      </c>
      <c r="E79" s="43" t="s">
        <v>59</v>
      </c>
      <c r="F79" s="27">
        <v>40654</v>
      </c>
      <c r="G79" s="27">
        <v>139134</v>
      </c>
      <c r="H79" s="27">
        <v>8414</v>
      </c>
      <c r="I79" s="28"/>
      <c r="J79" s="28"/>
      <c r="K79" s="10">
        <v>704</v>
      </c>
      <c r="L79" s="28">
        <v>19</v>
      </c>
      <c r="M79" s="10" t="s">
        <v>173</v>
      </c>
      <c r="N79" s="28" t="s">
        <v>454</v>
      </c>
      <c r="O79" s="10" t="s">
        <v>455</v>
      </c>
      <c r="P79" s="28"/>
      <c r="Q79" s="28" t="s">
        <v>154</v>
      </c>
      <c r="R79" s="28" t="s">
        <v>154</v>
      </c>
      <c r="S79" s="28" t="s">
        <v>154</v>
      </c>
      <c r="T79" s="28" t="s">
        <v>456</v>
      </c>
      <c r="U79" s="28"/>
      <c r="V79" s="29"/>
      <c r="W79" s="28">
        <v>1</v>
      </c>
      <c r="X79" s="28"/>
      <c r="Y79" s="10" t="s">
        <v>54</v>
      </c>
      <c r="Z79" s="30">
        <f>1+2</f>
        <v>3</v>
      </c>
      <c r="AA79" s="31"/>
      <c r="AB79" s="30">
        <f>+Z79+1+1</f>
        <v>5</v>
      </c>
      <c r="AC79" s="31"/>
      <c r="AD79" s="30">
        <f>+Z79*2</f>
        <v>6</v>
      </c>
      <c r="AE79" s="31"/>
      <c r="AF79" s="28">
        <f>145.65+15.05/2</f>
        <v>153.17500000000001</v>
      </c>
      <c r="AG79" s="28"/>
      <c r="AH79" s="28"/>
      <c r="AI79" s="28"/>
      <c r="AJ79" s="110">
        <v>9</v>
      </c>
      <c r="AK79" s="111"/>
      <c r="AL79" s="32">
        <v>201.36</v>
      </c>
      <c r="AM79" s="32">
        <f>+(84.8+15.05+9)/AL79</f>
        <v>0.54057409614620577</v>
      </c>
      <c r="AN79" s="32">
        <f>+AF79/AL79</f>
        <v>0.76070222487087802</v>
      </c>
      <c r="AO79" s="32">
        <f>+(21+8)/(7+2)</f>
        <v>3.2222222222222223</v>
      </c>
      <c r="AP79" s="32">
        <v>4180000</v>
      </c>
      <c r="AQ79" s="92">
        <v>18944</v>
      </c>
      <c r="AR79" s="32" t="s">
        <v>39</v>
      </c>
      <c r="AS79" s="34" t="s">
        <v>457</v>
      </c>
      <c r="AT79" s="35">
        <v>45509</v>
      </c>
      <c r="AU79" s="36"/>
      <c r="AV79" s="37" t="s">
        <v>458</v>
      </c>
      <c r="AW79" s="38"/>
      <c r="AX79" s="38"/>
      <c r="AY79" s="38"/>
      <c r="AZ79" s="38"/>
      <c r="BA79" s="38"/>
      <c r="BB79" s="38"/>
      <c r="BC79" s="38"/>
      <c r="BD79" s="38"/>
      <c r="BE79" s="38"/>
      <c r="BF79" s="38"/>
      <c r="BG79" s="38"/>
      <c r="BH79" s="39"/>
      <c r="BI79" s="39"/>
      <c r="BJ79" s="39"/>
      <c r="BK79" s="39"/>
      <c r="BL79" s="39"/>
      <c r="BM79" s="39"/>
      <c r="BN79" s="39"/>
      <c r="BO79" s="39"/>
      <c r="BP79" s="39"/>
      <c r="BQ79" s="39"/>
      <c r="BR79" s="39"/>
      <c r="BS79" s="39"/>
      <c r="BT79" s="39"/>
      <c r="BU79" s="39"/>
      <c r="BV79" s="39"/>
      <c r="BW79" s="39"/>
      <c r="IQ79" s="39"/>
      <c r="IR79" s="39"/>
      <c r="IS79" s="39"/>
      <c r="IT79" s="39"/>
      <c r="IU79" s="39"/>
      <c r="IV79" s="39"/>
      <c r="IW79" s="39"/>
    </row>
    <row r="80" spans="1:257" s="40" customFormat="1" ht="38.25">
      <c r="A80" s="1"/>
      <c r="B80" s="137">
        <v>79</v>
      </c>
      <c r="C80" s="41" t="s">
        <v>448</v>
      </c>
      <c r="D80" s="42">
        <v>45457</v>
      </c>
      <c r="E80" s="43" t="s">
        <v>48</v>
      </c>
      <c r="F80" s="27">
        <v>63277</v>
      </c>
      <c r="G80" s="27">
        <v>163231</v>
      </c>
      <c r="H80" s="27">
        <v>33362</v>
      </c>
      <c r="I80" s="28">
        <v>247</v>
      </c>
      <c r="J80" s="28"/>
      <c r="K80" s="10">
        <v>6</v>
      </c>
      <c r="L80" s="28">
        <v>1</v>
      </c>
      <c r="M80" s="10" t="s">
        <v>33</v>
      </c>
      <c r="N80" s="28" t="s">
        <v>449</v>
      </c>
      <c r="O80" s="10" t="s">
        <v>450</v>
      </c>
      <c r="P80" s="28"/>
      <c r="Q80" s="28" t="s">
        <v>143</v>
      </c>
      <c r="R80" s="28" t="s">
        <v>143</v>
      </c>
      <c r="S80" s="28" t="s">
        <v>143</v>
      </c>
      <c r="T80" s="28" t="s">
        <v>451</v>
      </c>
      <c r="U80" s="28"/>
      <c r="V80" s="29">
        <v>2</v>
      </c>
      <c r="W80" s="28"/>
      <c r="X80" s="28"/>
      <c r="Y80" s="10" t="s">
        <v>38</v>
      </c>
      <c r="Z80" s="30"/>
      <c r="AA80" s="31">
        <f>2+2</f>
        <v>4</v>
      </c>
      <c r="AB80" s="30"/>
      <c r="AC80" s="31">
        <f>+AA80+1+1</f>
        <v>6</v>
      </c>
      <c r="AD80" s="30"/>
      <c r="AE80" s="31">
        <f>+AA80*2</f>
        <v>8</v>
      </c>
      <c r="AF80" s="28"/>
      <c r="AG80" s="28"/>
      <c r="AH80" s="28"/>
      <c r="AI80" s="28"/>
      <c r="AJ80" s="110">
        <f>123.7+5.15/2</f>
        <v>126.27500000000001</v>
      </c>
      <c r="AK80" s="111"/>
      <c r="AL80" s="32">
        <v>864</v>
      </c>
      <c r="AM80" s="32">
        <f>+(123.7+5.15)/AL80</f>
        <v>0.14913194444444444</v>
      </c>
      <c r="AN80" s="32">
        <f>+AJ80/AL80</f>
        <v>0.14615162037037038</v>
      </c>
      <c r="AO80" s="32"/>
      <c r="AP80" s="32">
        <f>+(3*204929+163397*6+5*122940+81972*6)/20*AJ80</f>
        <v>17057864.688749999</v>
      </c>
      <c r="AQ80" s="92">
        <v>73151.179999999993</v>
      </c>
      <c r="AR80" s="32" t="s">
        <v>39</v>
      </c>
      <c r="AS80" s="34" t="s">
        <v>452</v>
      </c>
      <c r="AT80" s="35">
        <v>45509</v>
      </c>
      <c r="AU80" s="36"/>
      <c r="AV80" s="37" t="s">
        <v>453</v>
      </c>
      <c r="AW80" s="38"/>
      <c r="AX80" s="38"/>
      <c r="AY80" s="38"/>
      <c r="AZ80" s="38"/>
      <c r="BA80" s="38"/>
      <c r="BB80" s="38"/>
      <c r="BC80" s="38"/>
      <c r="BD80" s="38"/>
      <c r="BE80" s="38"/>
      <c r="BF80" s="38"/>
      <c r="BG80" s="38"/>
      <c r="BH80" s="39"/>
      <c r="BI80" s="39"/>
      <c r="BJ80" s="39"/>
      <c r="BK80" s="39"/>
      <c r="BL80" s="39"/>
      <c r="BM80" s="39"/>
      <c r="BN80" s="39"/>
      <c r="BO80" s="39"/>
      <c r="BP80" s="39"/>
      <c r="BQ80" s="39"/>
      <c r="BR80" s="39"/>
      <c r="BS80" s="39"/>
      <c r="BT80" s="39"/>
      <c r="BU80" s="39"/>
      <c r="BV80" s="39"/>
      <c r="BW80" s="39"/>
      <c r="IQ80" s="39"/>
      <c r="IR80" s="39"/>
      <c r="IS80" s="39"/>
      <c r="IT80" s="39"/>
      <c r="IU80" s="39"/>
      <c r="IV80" s="39"/>
      <c r="IW80" s="39"/>
    </row>
    <row r="81" spans="1:257" s="40" customFormat="1" ht="76.5">
      <c r="A81" s="1"/>
      <c r="B81" s="139">
        <v>80</v>
      </c>
      <c r="C81" s="24">
        <v>554590</v>
      </c>
      <c r="D81" s="25">
        <v>45134</v>
      </c>
      <c r="E81" s="26" t="s">
        <v>866</v>
      </c>
      <c r="F81" s="27">
        <v>1907</v>
      </c>
      <c r="G81" s="27">
        <v>1762</v>
      </c>
      <c r="H81" s="27">
        <v>2428</v>
      </c>
      <c r="I81" s="28"/>
      <c r="J81" s="28"/>
      <c r="K81" s="28">
        <v>175</v>
      </c>
      <c r="L81" s="28">
        <v>4</v>
      </c>
      <c r="M81" s="28" t="s">
        <v>173</v>
      </c>
      <c r="N81" s="28" t="s">
        <v>868</v>
      </c>
      <c r="O81" s="28" t="s">
        <v>494</v>
      </c>
      <c r="P81" s="28" t="s">
        <v>495</v>
      </c>
      <c r="Q81" s="49" t="s">
        <v>87</v>
      </c>
      <c r="R81" s="49" t="s">
        <v>87</v>
      </c>
      <c r="S81" s="49" t="s">
        <v>87</v>
      </c>
      <c r="T81" s="28" t="s">
        <v>496</v>
      </c>
      <c r="U81" s="28"/>
      <c r="V81" s="28"/>
      <c r="W81" s="28">
        <v>1</v>
      </c>
      <c r="X81" s="28"/>
      <c r="Y81" s="28" t="s">
        <v>497</v>
      </c>
      <c r="Z81" s="30"/>
      <c r="AA81" s="53"/>
      <c r="AB81" s="30"/>
      <c r="AC81" s="53"/>
      <c r="AD81" s="30"/>
      <c r="AE81" s="53"/>
      <c r="AF81" s="28"/>
      <c r="AG81" s="28"/>
      <c r="AH81" s="28"/>
      <c r="AI81" s="28"/>
      <c r="AJ81" s="110"/>
      <c r="AK81" s="111"/>
      <c r="AL81" s="32">
        <v>230.36</v>
      </c>
      <c r="AM81" s="32"/>
      <c r="AN81" s="32"/>
      <c r="AO81" s="32"/>
      <c r="AP81" s="36">
        <f>2500000+76975048.8+5150000+3280000+2965000</f>
        <v>90870048.799999997</v>
      </c>
      <c r="AQ81" s="108">
        <f>515326.85+58582.1</f>
        <v>573908.94999999995</v>
      </c>
      <c r="AR81" s="32" t="s">
        <v>39</v>
      </c>
      <c r="AS81" s="58" t="s">
        <v>867</v>
      </c>
      <c r="AT81" s="35">
        <v>45541</v>
      </c>
      <c r="AU81" s="36"/>
      <c r="AV81" s="212">
        <v>45134</v>
      </c>
      <c r="AW81" s="38"/>
      <c r="AX81" s="38"/>
      <c r="AY81" s="38"/>
      <c r="AZ81" s="38"/>
      <c r="BA81" s="38"/>
      <c r="BB81" s="38"/>
      <c r="BC81" s="38"/>
      <c r="BD81" s="38"/>
      <c r="BE81" s="38"/>
      <c r="BF81" s="38"/>
      <c r="BG81" s="38"/>
      <c r="BH81" s="39"/>
      <c r="BI81" s="39"/>
      <c r="BJ81" s="39"/>
      <c r="BK81" s="39"/>
      <c r="BL81" s="39"/>
      <c r="BM81" s="39"/>
      <c r="BN81" s="39"/>
      <c r="BO81" s="39"/>
      <c r="BP81" s="39"/>
      <c r="BQ81" s="39"/>
      <c r="BR81" s="39"/>
      <c r="BS81" s="39"/>
      <c r="BT81" s="39"/>
      <c r="BU81" s="39"/>
      <c r="BV81" s="39"/>
      <c r="BW81" s="39"/>
      <c r="IQ81" s="39"/>
      <c r="IR81" s="39"/>
      <c r="IS81" s="39"/>
      <c r="IT81" s="39"/>
      <c r="IU81" s="39"/>
      <c r="IV81" s="39"/>
      <c r="IW81" s="39"/>
    </row>
    <row r="82" spans="1:257" s="23" customFormat="1" ht="63.75">
      <c r="A82" s="1"/>
      <c r="B82" s="137">
        <v>81</v>
      </c>
      <c r="C82" s="61" t="s">
        <v>466</v>
      </c>
      <c r="D82" s="62">
        <v>45356</v>
      </c>
      <c r="E82" s="47" t="s">
        <v>42</v>
      </c>
      <c r="F82" s="48">
        <v>56135</v>
      </c>
      <c r="G82" s="48">
        <v>165100</v>
      </c>
      <c r="H82" s="48">
        <v>33562</v>
      </c>
      <c r="I82" s="49">
        <v>111</v>
      </c>
      <c r="J82" s="49"/>
      <c r="K82" s="49">
        <v>5</v>
      </c>
      <c r="L82" s="49">
        <v>4</v>
      </c>
      <c r="M82" s="49" t="s">
        <v>33</v>
      </c>
      <c r="N82" s="49" t="s">
        <v>467</v>
      </c>
      <c r="O82" s="50" t="s">
        <v>468</v>
      </c>
      <c r="P82" s="49"/>
      <c r="Q82" s="49" t="s">
        <v>469</v>
      </c>
      <c r="R82" s="49"/>
      <c r="S82" s="49"/>
      <c r="T82" s="49"/>
      <c r="U82" s="49">
        <v>1</v>
      </c>
      <c r="V82" s="51"/>
      <c r="W82" s="49"/>
      <c r="X82" s="49"/>
      <c r="Y82" s="49" t="s">
        <v>54</v>
      </c>
      <c r="Z82" s="52">
        <v>2</v>
      </c>
      <c r="AA82" s="53"/>
      <c r="AB82" s="54">
        <f>+Z82+1</f>
        <v>3</v>
      </c>
      <c r="AC82" s="53"/>
      <c r="AD82" s="54">
        <f>+Z82*2</f>
        <v>4</v>
      </c>
      <c r="AE82" s="53"/>
      <c r="AF82" s="49"/>
      <c r="AG82" s="49"/>
      <c r="AH82" s="49">
        <f>82.21+38.29/2</f>
        <v>101.35499999999999</v>
      </c>
      <c r="AI82" s="49"/>
      <c r="AJ82" s="51"/>
      <c r="AK82" s="55"/>
      <c r="AL82" s="56">
        <v>2360</v>
      </c>
      <c r="AM82" s="56">
        <f>+(82.21+38.29)/AL82</f>
        <v>5.1059322033898305E-2</v>
      </c>
      <c r="AN82" s="56">
        <f>+AH82/AL82</f>
        <v>4.2947033898305079E-2</v>
      </c>
      <c r="AO82" s="56"/>
      <c r="AP82" s="56">
        <f>+(6*204929+6*163397+122940*5+81972*3)/20*AH82</f>
        <v>15560891.252999999</v>
      </c>
      <c r="AQ82" s="94">
        <v>224372.47</v>
      </c>
      <c r="AR82" s="56" t="s">
        <v>55</v>
      </c>
      <c r="AS82" s="58" t="s">
        <v>470</v>
      </c>
      <c r="AT82" s="59">
        <v>45512</v>
      </c>
      <c r="AU82" s="60"/>
      <c r="AV82" s="63">
        <v>45502</v>
      </c>
      <c r="AW82" s="21"/>
      <c r="AX82" s="21"/>
      <c r="AY82" s="21"/>
      <c r="AZ82" s="21"/>
      <c r="BA82" s="21"/>
      <c r="BB82" s="21"/>
      <c r="BC82" s="21"/>
      <c r="BD82" s="21"/>
      <c r="BE82" s="21"/>
      <c r="BF82" s="21"/>
      <c r="BG82" s="21"/>
      <c r="BH82" s="22"/>
      <c r="BI82" s="22"/>
      <c r="BJ82" s="22"/>
      <c r="BK82" s="22"/>
      <c r="BL82" s="22"/>
      <c r="BM82" s="22"/>
      <c r="BN82" s="22"/>
      <c r="BO82" s="22"/>
      <c r="BP82" s="22"/>
      <c r="BQ82" s="22"/>
      <c r="BR82" s="22"/>
      <c r="BS82" s="22"/>
      <c r="BT82" s="22"/>
      <c r="BU82" s="22"/>
      <c r="BV82" s="22"/>
      <c r="BW82" s="22"/>
      <c r="IQ82" s="22"/>
      <c r="IR82" s="22"/>
      <c r="IS82" s="22"/>
      <c r="IT82" s="22"/>
      <c r="IU82" s="22"/>
      <c r="IV82" s="22"/>
      <c r="IW82" s="22"/>
    </row>
    <row r="83" spans="1:257" s="23" customFormat="1" ht="51">
      <c r="A83" s="1"/>
      <c r="B83" s="139">
        <v>82</v>
      </c>
      <c r="C83" s="3">
        <v>564195</v>
      </c>
      <c r="D83" s="4">
        <v>45509</v>
      </c>
      <c r="E83" s="5" t="s">
        <v>48</v>
      </c>
      <c r="F83" s="48">
        <v>63162</v>
      </c>
      <c r="G83" s="48">
        <v>170602</v>
      </c>
      <c r="H83" s="48">
        <v>21560</v>
      </c>
      <c r="I83" s="49">
        <v>91</v>
      </c>
      <c r="J83" s="49"/>
      <c r="K83" s="7">
        <v>572</v>
      </c>
      <c r="L83" s="49">
        <v>16</v>
      </c>
      <c r="M83" s="7" t="s">
        <v>173</v>
      </c>
      <c r="N83" s="49" t="s">
        <v>471</v>
      </c>
      <c r="O83" s="8" t="s">
        <v>472</v>
      </c>
      <c r="P83" s="49"/>
      <c r="Q83" s="49" t="s">
        <v>473</v>
      </c>
      <c r="R83" s="49" t="s">
        <v>473</v>
      </c>
      <c r="S83" s="49" t="s">
        <v>473</v>
      </c>
      <c r="T83" s="49" t="s">
        <v>53</v>
      </c>
      <c r="U83" s="49"/>
      <c r="V83" s="51">
        <v>1</v>
      </c>
      <c r="W83" s="49"/>
      <c r="X83" s="49"/>
      <c r="Y83" s="7" t="s">
        <v>54</v>
      </c>
      <c r="Z83" s="52"/>
      <c r="AA83" s="53">
        <v>3</v>
      </c>
      <c r="AB83" s="54"/>
      <c r="AC83" s="53">
        <f>+AA83+1</f>
        <v>4</v>
      </c>
      <c r="AD83" s="54"/>
      <c r="AE83" s="53">
        <f>+AA83*2</f>
        <v>6</v>
      </c>
      <c r="AF83" s="49"/>
      <c r="AG83" s="49"/>
      <c r="AH83" s="49"/>
      <c r="AI83" s="49"/>
      <c r="AJ83" s="51">
        <f>111.55+5.5/2</f>
        <v>114.3</v>
      </c>
      <c r="AK83" s="55"/>
      <c r="AL83" s="56">
        <v>346.64</v>
      </c>
      <c r="AM83" s="56">
        <f>+(111.55+5.5)/AL83</f>
        <v>0.33767020540041542</v>
      </c>
      <c r="AN83" s="56">
        <f>+AJ83/AL83</f>
        <v>0.3297369028386799</v>
      </c>
      <c r="AO83" s="56">
        <f>+(2+9+20)/(1+3+5)</f>
        <v>3.4444444444444446</v>
      </c>
      <c r="AP83" s="56">
        <f>+(204929*5+163397*7+6*122940+81972*3)/21*AJ83</f>
        <v>17155776.857142854</v>
      </c>
      <c r="AQ83" s="94">
        <v>61446.16</v>
      </c>
      <c r="AR83" s="56" t="s">
        <v>341</v>
      </c>
      <c r="AS83" s="58" t="s">
        <v>474</v>
      </c>
      <c r="AT83" s="59">
        <v>45517</v>
      </c>
      <c r="AU83" s="60"/>
      <c r="AV83" s="140" t="s">
        <v>475</v>
      </c>
      <c r="AW83" s="21"/>
      <c r="AX83" s="21"/>
      <c r="AY83" s="21"/>
      <c r="AZ83" s="21"/>
      <c r="BA83" s="21"/>
      <c r="BB83" s="21"/>
      <c r="BC83" s="21"/>
      <c r="BD83" s="21"/>
      <c r="BE83" s="21"/>
      <c r="BF83" s="21"/>
      <c r="BG83" s="21"/>
      <c r="BH83" s="22"/>
      <c r="BI83" s="22"/>
      <c r="BJ83" s="22"/>
      <c r="BK83" s="22"/>
      <c r="BL83" s="22"/>
      <c r="BM83" s="22"/>
      <c r="BN83" s="22"/>
      <c r="BO83" s="22"/>
      <c r="BP83" s="22"/>
      <c r="BQ83" s="22"/>
      <c r="BR83" s="22"/>
      <c r="BS83" s="22"/>
      <c r="BT83" s="22"/>
      <c r="BU83" s="22"/>
      <c r="BV83" s="22"/>
      <c r="BW83" s="22"/>
      <c r="IQ83" s="22"/>
      <c r="IR83" s="22"/>
      <c r="IS83" s="22"/>
      <c r="IT83" s="22"/>
      <c r="IU83" s="22"/>
      <c r="IV83" s="22"/>
      <c r="IW83" s="22"/>
    </row>
    <row r="84" spans="1:257" s="40" customFormat="1" ht="38.25">
      <c r="A84" s="1"/>
      <c r="B84" s="138">
        <v>83</v>
      </c>
      <c r="C84" s="41">
        <v>563823</v>
      </c>
      <c r="D84" s="42">
        <v>45490</v>
      </c>
      <c r="E84" s="43" t="s">
        <v>275</v>
      </c>
      <c r="F84" s="27">
        <v>46115</v>
      </c>
      <c r="G84" s="27">
        <v>149161</v>
      </c>
      <c r="H84" s="27">
        <v>32281</v>
      </c>
      <c r="I84" s="28">
        <v>354</v>
      </c>
      <c r="J84" s="28"/>
      <c r="K84" s="10"/>
      <c r="L84" s="28">
        <v>63</v>
      </c>
      <c r="M84" s="10" t="s">
        <v>33</v>
      </c>
      <c r="N84" s="28" t="s">
        <v>476</v>
      </c>
      <c r="O84" s="10" t="s">
        <v>131</v>
      </c>
      <c r="P84" s="28" t="s">
        <v>477</v>
      </c>
      <c r="Q84" s="28" t="s">
        <v>132</v>
      </c>
      <c r="R84" s="28"/>
      <c r="S84" s="28"/>
      <c r="T84" s="28"/>
      <c r="U84" s="28">
        <v>1</v>
      </c>
      <c r="V84" s="29"/>
      <c r="W84" s="28"/>
      <c r="X84" s="28"/>
      <c r="Y84" s="10" t="s">
        <v>478</v>
      </c>
      <c r="Z84" s="30"/>
      <c r="AA84" s="31"/>
      <c r="AB84" s="30"/>
      <c r="AC84" s="31"/>
      <c r="AD84" s="30"/>
      <c r="AE84" s="31"/>
      <c r="AF84" s="28"/>
      <c r="AG84" s="28">
        <f>828.17+22.14/2</f>
        <v>839.24</v>
      </c>
      <c r="AH84" s="28"/>
      <c r="AI84" s="28">
        <v>720.06</v>
      </c>
      <c r="AJ84" s="110"/>
      <c r="AK84" s="111"/>
      <c r="AL84" s="32">
        <v>2000</v>
      </c>
      <c r="AM84" s="32"/>
      <c r="AN84" s="32">
        <f>+AG84/AL84</f>
        <v>0.41961999999999999</v>
      </c>
      <c r="AO84" s="32"/>
      <c r="AP84" s="32">
        <f>+AI84*163397</f>
        <v>117655643.81999999</v>
      </c>
      <c r="AQ84" s="92">
        <v>17265</v>
      </c>
      <c r="AR84" s="32" t="s">
        <v>55</v>
      </c>
      <c r="AS84" s="34" t="s">
        <v>479</v>
      </c>
      <c r="AT84" s="35">
        <v>45517</v>
      </c>
      <c r="AU84" s="36"/>
      <c r="AV84" s="37">
        <v>45495</v>
      </c>
      <c r="AW84" s="38"/>
      <c r="AX84" s="38"/>
      <c r="AY84" s="38"/>
      <c r="AZ84" s="38"/>
      <c r="BA84" s="38"/>
      <c r="BB84" s="38"/>
      <c r="BC84" s="38"/>
      <c r="BD84" s="38"/>
      <c r="BE84" s="38"/>
      <c r="BF84" s="38"/>
      <c r="BG84" s="38"/>
      <c r="BH84" s="39"/>
      <c r="BI84" s="39"/>
      <c r="BJ84" s="39"/>
      <c r="BK84" s="39"/>
      <c r="BL84" s="39"/>
      <c r="BM84" s="39"/>
      <c r="BN84" s="39"/>
      <c r="BO84" s="39"/>
      <c r="BP84" s="39"/>
      <c r="BQ84" s="39"/>
      <c r="BR84" s="39"/>
      <c r="BS84" s="39"/>
      <c r="BT84" s="39"/>
      <c r="BU84" s="39"/>
      <c r="BV84" s="39"/>
      <c r="BW84" s="39"/>
      <c r="IQ84" s="39"/>
      <c r="IR84" s="39"/>
      <c r="IS84" s="39"/>
      <c r="IT84" s="39"/>
      <c r="IU84" s="39"/>
      <c r="IV84" s="39"/>
      <c r="IW84" s="39"/>
    </row>
    <row r="85" spans="1:257" s="40" customFormat="1" ht="51">
      <c r="A85" s="1"/>
      <c r="B85" s="141">
        <v>84</v>
      </c>
      <c r="C85" s="24" t="s">
        <v>480</v>
      </c>
      <c r="D85" s="25">
        <v>45350</v>
      </c>
      <c r="E85" s="26" t="s">
        <v>48</v>
      </c>
      <c r="F85" s="48">
        <v>3335</v>
      </c>
      <c r="G85" s="40">
        <v>20</v>
      </c>
      <c r="H85" s="48">
        <v>652</v>
      </c>
      <c r="I85" s="49"/>
      <c r="J85" s="28"/>
      <c r="K85" s="28">
        <v>227</v>
      </c>
      <c r="L85" s="28">
        <v>2</v>
      </c>
      <c r="M85" s="28" t="s">
        <v>79</v>
      </c>
      <c r="N85" s="28" t="s">
        <v>481</v>
      </c>
      <c r="O85" s="28" t="s">
        <v>482</v>
      </c>
      <c r="P85" s="28"/>
      <c r="Q85" s="28" t="s">
        <v>335</v>
      </c>
      <c r="R85" s="28" t="s">
        <v>335</v>
      </c>
      <c r="S85" s="28" t="s">
        <v>335</v>
      </c>
      <c r="T85" s="28" t="s">
        <v>483</v>
      </c>
      <c r="U85" s="28">
        <v>1</v>
      </c>
      <c r="V85" s="29">
        <v>3</v>
      </c>
      <c r="W85" s="28"/>
      <c r="X85" s="28"/>
      <c r="Y85" s="28" t="s">
        <v>38</v>
      </c>
      <c r="Z85" s="30">
        <v>3</v>
      </c>
      <c r="AA85" s="31">
        <f>1+1+1</f>
        <v>3</v>
      </c>
      <c r="AB85" s="30">
        <f>+Z85+1</f>
        <v>4</v>
      </c>
      <c r="AC85" s="31">
        <f>+AA85</f>
        <v>3</v>
      </c>
      <c r="AD85" s="30">
        <f>+Z85*2</f>
        <v>6</v>
      </c>
      <c r="AE85" s="31">
        <f>+AA85*2</f>
        <v>6</v>
      </c>
      <c r="AF85" s="28">
        <f>86.54+6.92/2</f>
        <v>90</v>
      </c>
      <c r="AG85" s="28"/>
      <c r="AH85" s="28"/>
      <c r="AI85" s="28"/>
      <c r="AJ85" s="110">
        <f>51.12*2+17.71+7.86/2</f>
        <v>123.88</v>
      </c>
      <c r="AK85" s="111"/>
      <c r="AL85" s="32">
        <v>500.3</v>
      </c>
      <c r="AM85" s="32">
        <f>+(51.12+86.54+6.92)/AL85</f>
        <v>0.28898660803517884</v>
      </c>
      <c r="AN85" s="32">
        <f>+(AF85+AJ85)/AL85</f>
        <v>0.42750349790125924</v>
      </c>
      <c r="AO85" s="32"/>
      <c r="AP85" s="32">
        <f>+(5*204929+163397*9+122940*5+2*81972)/21*AJ85+1000000</f>
        <v>20312667.836190473</v>
      </c>
      <c r="AQ85" s="92">
        <v>358348.25</v>
      </c>
      <c r="AR85" s="32" t="s">
        <v>39</v>
      </c>
      <c r="AS85" s="34" t="s">
        <v>484</v>
      </c>
      <c r="AT85" s="35">
        <v>45518</v>
      </c>
      <c r="AU85" s="36"/>
      <c r="AV85" s="37" t="s">
        <v>485</v>
      </c>
      <c r="AW85" s="38"/>
      <c r="AX85" s="38"/>
      <c r="AY85" s="38"/>
      <c r="AZ85" s="38"/>
      <c r="BA85" s="38"/>
      <c r="BB85" s="38"/>
      <c r="BC85" s="38"/>
      <c r="BD85" s="38"/>
      <c r="BE85" s="38"/>
      <c r="BF85" s="38"/>
      <c r="BG85" s="38"/>
      <c r="BH85" s="39"/>
      <c r="BI85" s="39"/>
      <c r="BJ85" s="39"/>
      <c r="BK85" s="39"/>
      <c r="BL85" s="39"/>
      <c r="BM85" s="39"/>
      <c r="BN85" s="39"/>
      <c r="BO85" s="39"/>
      <c r="BP85" s="39"/>
      <c r="BQ85" s="39"/>
      <c r="BR85" s="39"/>
      <c r="BS85" s="39"/>
      <c r="BT85" s="39"/>
      <c r="BU85" s="39"/>
      <c r="BV85" s="39"/>
      <c r="BW85" s="39"/>
      <c r="IQ85" s="39"/>
      <c r="IR85" s="39"/>
      <c r="IS85" s="39"/>
      <c r="IT85" s="39"/>
      <c r="IU85" s="39"/>
      <c r="IV85" s="39"/>
      <c r="IW85" s="39"/>
    </row>
    <row r="86" spans="1:257" s="40" customFormat="1" ht="63.75">
      <c r="A86" s="1"/>
      <c r="B86" s="141">
        <v>85</v>
      </c>
      <c r="C86" s="24">
        <v>563272</v>
      </c>
      <c r="D86" s="87">
        <v>45462</v>
      </c>
      <c r="E86" s="88" t="s">
        <v>48</v>
      </c>
      <c r="F86" s="27">
        <v>36221</v>
      </c>
      <c r="G86" s="27"/>
      <c r="H86" s="27">
        <v>754</v>
      </c>
      <c r="I86" s="28"/>
      <c r="J86" s="28"/>
      <c r="K86" s="28">
        <v>65</v>
      </c>
      <c r="L86" s="28">
        <v>22</v>
      </c>
      <c r="M86" s="28" t="s">
        <v>79</v>
      </c>
      <c r="N86" s="28" t="s">
        <v>486</v>
      </c>
      <c r="O86" s="28"/>
      <c r="P86" s="28" t="s">
        <v>487</v>
      </c>
      <c r="Q86" s="28" t="s">
        <v>488</v>
      </c>
      <c r="R86" s="28" t="s">
        <v>489</v>
      </c>
      <c r="S86" s="28" t="s">
        <v>488</v>
      </c>
      <c r="T86" s="28" t="s">
        <v>490</v>
      </c>
      <c r="U86" s="28"/>
      <c r="V86" s="28">
        <v>1</v>
      </c>
      <c r="W86" s="28"/>
      <c r="X86" s="28"/>
      <c r="Y86" s="28" t="s">
        <v>491</v>
      </c>
      <c r="Z86" s="30"/>
      <c r="AA86" s="30"/>
      <c r="AB86" s="30"/>
      <c r="AC86" s="30"/>
      <c r="AD86" s="30"/>
      <c r="AE86" s="30"/>
      <c r="AF86" s="28"/>
      <c r="AG86" s="28"/>
      <c r="AH86" s="28"/>
      <c r="AI86" s="28"/>
      <c r="AJ86" s="28"/>
      <c r="AK86" s="32"/>
      <c r="AL86" s="32"/>
      <c r="AM86" s="32"/>
      <c r="AN86" s="32"/>
      <c r="AO86" s="32"/>
      <c r="AP86" s="32"/>
      <c r="AQ86" s="92">
        <v>30336.5</v>
      </c>
      <c r="AR86" s="32" t="s">
        <v>39</v>
      </c>
      <c r="AS86" s="34" t="s">
        <v>492</v>
      </c>
      <c r="AT86" s="35">
        <v>45519</v>
      </c>
      <c r="AU86" s="35"/>
      <c r="AV86" s="89" t="s">
        <v>493</v>
      </c>
      <c r="AW86" s="38"/>
      <c r="AX86" s="38"/>
      <c r="AY86" s="38"/>
      <c r="AZ86" s="38"/>
      <c r="BA86" s="38"/>
      <c r="BB86" s="38"/>
      <c r="BC86" s="38"/>
      <c r="BD86" s="38"/>
      <c r="BE86" s="38"/>
      <c r="BF86" s="38"/>
      <c r="BG86" s="38"/>
      <c r="BH86" s="39"/>
      <c r="BI86" s="39"/>
      <c r="BJ86" s="39"/>
      <c r="BK86" s="39"/>
      <c r="BL86" s="39"/>
      <c r="BM86" s="39"/>
      <c r="BN86" s="39"/>
      <c r="BO86" s="39"/>
      <c r="BP86" s="39"/>
      <c r="BQ86" s="39"/>
      <c r="BR86" s="39"/>
      <c r="BS86" s="39"/>
      <c r="BT86" s="39"/>
      <c r="BU86" s="39"/>
      <c r="BV86" s="39"/>
      <c r="BW86" s="39"/>
      <c r="IQ86" s="39"/>
      <c r="IR86" s="39"/>
      <c r="IS86" s="39"/>
      <c r="IT86" s="39"/>
      <c r="IU86" s="39"/>
      <c r="IV86" s="39"/>
      <c r="IW86" s="39"/>
    </row>
    <row r="87" spans="1:257" s="40" customFormat="1" ht="76.5" customHeight="1">
      <c r="A87" s="1"/>
      <c r="B87" s="204">
        <v>86</v>
      </c>
      <c r="C87" s="75" t="s">
        <v>503</v>
      </c>
      <c r="D87" s="198">
        <v>45394</v>
      </c>
      <c r="E87" s="193" t="s">
        <v>48</v>
      </c>
      <c r="F87" s="27">
        <v>54701</v>
      </c>
      <c r="G87" s="27">
        <v>140386</v>
      </c>
      <c r="H87" s="27">
        <v>8670</v>
      </c>
      <c r="I87" s="28"/>
      <c r="J87" s="28"/>
      <c r="K87" s="79">
        <v>374</v>
      </c>
      <c r="L87" s="28">
        <v>2</v>
      </c>
      <c r="M87" s="79" t="s">
        <v>43</v>
      </c>
      <c r="N87" s="28" t="s">
        <v>504</v>
      </c>
      <c r="O87" s="79" t="s">
        <v>505</v>
      </c>
      <c r="P87" s="79"/>
      <c r="Q87" s="79" t="s">
        <v>182</v>
      </c>
      <c r="R87" s="79" t="s">
        <v>182</v>
      </c>
      <c r="S87" s="79" t="s">
        <v>182</v>
      </c>
      <c r="T87" s="79" t="s">
        <v>456</v>
      </c>
      <c r="U87" s="28"/>
      <c r="V87" s="29">
        <v>1</v>
      </c>
      <c r="W87" s="28"/>
      <c r="X87" s="28"/>
      <c r="Y87" s="79" t="s">
        <v>277</v>
      </c>
      <c r="Z87" s="30"/>
      <c r="AA87" s="31">
        <f>1+1</f>
        <v>2</v>
      </c>
      <c r="AB87" s="30"/>
      <c r="AC87" s="31">
        <f>+AA87+1+1</f>
        <v>4</v>
      </c>
      <c r="AD87" s="30"/>
      <c r="AE87" s="31">
        <f>+AA87*2</f>
        <v>4</v>
      </c>
      <c r="AF87" s="28"/>
      <c r="AG87" s="28"/>
      <c r="AH87" s="28"/>
      <c r="AI87" s="28"/>
      <c r="AJ87" s="110">
        <v>127.65</v>
      </c>
      <c r="AK87" s="111">
        <f>112.62+15.03/2</f>
        <v>120.13500000000001</v>
      </c>
      <c r="AL87" s="32">
        <v>450</v>
      </c>
      <c r="AM87" s="32">
        <f>+(127.65)/AL87</f>
        <v>0.28366666666666668</v>
      </c>
      <c r="AN87" s="32">
        <f>+(AJ87+AK87)/AL87</f>
        <v>0.55063333333333342</v>
      </c>
      <c r="AO87" s="32"/>
      <c r="AP87" s="81">
        <f>+((2*204929+6*163397+4*122940+9*81972)/21*AJ87)+(AK87*163397)</f>
        <v>35554023.937857144</v>
      </c>
      <c r="AQ87" s="211">
        <v>177904.2</v>
      </c>
      <c r="AR87" s="81" t="s">
        <v>39</v>
      </c>
      <c r="AS87" s="34" t="s">
        <v>506</v>
      </c>
      <c r="AT87" s="35">
        <v>45519</v>
      </c>
      <c r="AU87" s="36"/>
      <c r="AV87" s="86" t="s">
        <v>407</v>
      </c>
      <c r="AW87" s="38"/>
      <c r="AX87" s="38"/>
      <c r="AY87" s="38"/>
      <c r="AZ87" s="38"/>
      <c r="BA87" s="38"/>
      <c r="BB87" s="38"/>
      <c r="BC87" s="38"/>
      <c r="BD87" s="38"/>
      <c r="BE87" s="38"/>
      <c r="BF87" s="38"/>
      <c r="BG87" s="38"/>
      <c r="BH87" s="39"/>
      <c r="BI87" s="39"/>
      <c r="BJ87" s="39"/>
      <c r="BK87" s="39"/>
      <c r="BL87" s="39"/>
      <c r="BM87" s="39"/>
      <c r="BN87" s="39"/>
      <c r="BO87" s="39"/>
      <c r="BP87" s="39"/>
      <c r="BQ87" s="39"/>
      <c r="BR87" s="39"/>
      <c r="BS87" s="39"/>
      <c r="BT87" s="39"/>
      <c r="BU87" s="39"/>
      <c r="BV87" s="39"/>
      <c r="BW87" s="39"/>
      <c r="IQ87" s="39"/>
      <c r="IR87" s="39"/>
      <c r="IS87" s="39"/>
      <c r="IT87" s="39"/>
      <c r="IU87" s="39"/>
      <c r="IV87" s="39"/>
      <c r="IW87" s="39"/>
    </row>
    <row r="88" spans="1:257" s="40" customFormat="1" ht="76.5">
      <c r="A88" s="1"/>
      <c r="B88" s="138">
        <v>87</v>
      </c>
      <c r="C88" s="24">
        <v>563357</v>
      </c>
      <c r="D88" s="143">
        <v>45468</v>
      </c>
      <c r="E88" s="26" t="s">
        <v>48</v>
      </c>
      <c r="F88" s="27">
        <v>60912</v>
      </c>
      <c r="G88" s="27">
        <v>138407</v>
      </c>
      <c r="H88" s="27">
        <v>31612</v>
      </c>
      <c r="I88" s="28">
        <v>3</v>
      </c>
      <c r="J88" s="28"/>
      <c r="K88" s="28">
        <v>3</v>
      </c>
      <c r="L88" s="28">
        <v>8</v>
      </c>
      <c r="M88" s="28" t="s">
        <v>43</v>
      </c>
      <c r="N88" s="28" t="s">
        <v>498</v>
      </c>
      <c r="O88" s="28" t="s">
        <v>499</v>
      </c>
      <c r="P88" s="28"/>
      <c r="Q88" s="28" t="s">
        <v>500</v>
      </c>
      <c r="R88" s="28" t="s">
        <v>500</v>
      </c>
      <c r="S88" s="28" t="s">
        <v>500</v>
      </c>
      <c r="T88" s="28" t="s">
        <v>348</v>
      </c>
      <c r="U88" s="28"/>
      <c r="V88" s="29">
        <v>1</v>
      </c>
      <c r="W88" s="28"/>
      <c r="X88" s="28"/>
      <c r="Y88" s="28" t="s">
        <v>54</v>
      </c>
      <c r="Z88" s="30"/>
      <c r="AA88" s="31">
        <v>3</v>
      </c>
      <c r="AB88" s="30"/>
      <c r="AC88" s="31">
        <f>+AA88+1+1</f>
        <v>5</v>
      </c>
      <c r="AD88" s="30"/>
      <c r="AE88" s="31">
        <f>+AA88*2</f>
        <v>6</v>
      </c>
      <c r="AF88" s="28"/>
      <c r="AG88" s="28"/>
      <c r="AH88" s="28"/>
      <c r="AI88" s="28"/>
      <c r="AJ88" s="110">
        <f>17.52+110.2+78.76/2+108.91</f>
        <v>276.01</v>
      </c>
      <c r="AK88" s="111"/>
      <c r="AL88" s="32">
        <v>801.49</v>
      </c>
      <c r="AM88" s="32">
        <f>+(110.2+78.78)/AL88</f>
        <v>0.23578584885650478</v>
      </c>
      <c r="AN88" s="32">
        <f>+(110.2+78.78/2+108.91)/AL88</f>
        <v>0.32252429849405484</v>
      </c>
      <c r="AO88" s="32"/>
      <c r="AP88" s="32">
        <f>+(10*204929+163397*5+5*122940)/20*AJ88</f>
        <v>48039195.487499997</v>
      </c>
      <c r="AQ88" s="92">
        <v>194375.35</v>
      </c>
      <c r="AR88" s="32" t="s">
        <v>39</v>
      </c>
      <c r="AS88" s="34" t="s">
        <v>501</v>
      </c>
      <c r="AT88" s="35">
        <v>45520</v>
      </c>
      <c r="AU88" s="36"/>
      <c r="AV88" s="37" t="s">
        <v>502</v>
      </c>
      <c r="AW88" s="38"/>
      <c r="AX88" s="38"/>
      <c r="AY88" s="38"/>
      <c r="AZ88" s="38"/>
      <c r="BA88" s="38"/>
      <c r="BB88" s="38"/>
      <c r="BC88" s="38"/>
      <c r="BD88" s="38"/>
      <c r="BE88" s="38"/>
      <c r="BF88" s="38"/>
      <c r="BG88" s="38"/>
      <c r="BH88" s="39"/>
      <c r="BI88" s="39"/>
      <c r="BJ88" s="39"/>
      <c r="BK88" s="39"/>
      <c r="BL88" s="39"/>
      <c r="BM88" s="39"/>
      <c r="BN88" s="39"/>
      <c r="BO88" s="39"/>
      <c r="BP88" s="39"/>
      <c r="BQ88" s="39"/>
      <c r="BR88" s="39"/>
      <c r="BS88" s="39"/>
      <c r="BT88" s="39"/>
      <c r="BU88" s="39"/>
      <c r="BV88" s="39"/>
      <c r="BW88" s="39"/>
      <c r="IQ88" s="39"/>
      <c r="IR88" s="39"/>
      <c r="IS88" s="39"/>
      <c r="IT88" s="39"/>
      <c r="IU88" s="39"/>
      <c r="IV88" s="39"/>
      <c r="IW88" s="39"/>
    </row>
    <row r="89" spans="1:257" s="40" customFormat="1" ht="51">
      <c r="A89" s="1"/>
      <c r="B89" s="138">
        <v>88</v>
      </c>
      <c r="C89" s="24" t="s">
        <v>507</v>
      </c>
      <c r="D89" s="143">
        <v>45280</v>
      </c>
      <c r="E89" s="26" t="s">
        <v>158</v>
      </c>
      <c r="F89" s="27">
        <v>34386</v>
      </c>
      <c r="G89" s="27">
        <v>508</v>
      </c>
      <c r="H89" s="27">
        <v>757</v>
      </c>
      <c r="I89" s="28"/>
      <c r="J89" s="28"/>
      <c r="K89" s="28">
        <v>158</v>
      </c>
      <c r="L89" s="28">
        <v>4</v>
      </c>
      <c r="M89" s="28" t="s">
        <v>79</v>
      </c>
      <c r="N89" s="28" t="s">
        <v>508</v>
      </c>
      <c r="O89" s="28" t="s">
        <v>509</v>
      </c>
      <c r="P89" s="28"/>
      <c r="Q89" s="28" t="s">
        <v>510</v>
      </c>
      <c r="R89" s="28"/>
      <c r="S89" s="28"/>
      <c r="T89" s="28"/>
      <c r="U89" s="28"/>
      <c r="V89" s="29"/>
      <c r="W89" s="28">
        <v>1</v>
      </c>
      <c r="X89" s="28"/>
      <c r="Y89" s="28" t="s">
        <v>511</v>
      </c>
      <c r="Z89" s="30"/>
      <c r="AA89" s="31">
        <v>17</v>
      </c>
      <c r="AB89" s="30"/>
      <c r="AC89" s="31">
        <f>+AA89+1</f>
        <v>18</v>
      </c>
      <c r="AD89" s="30"/>
      <c r="AE89" s="31">
        <f>+AA89*2</f>
        <v>34</v>
      </c>
      <c r="AF89" s="28"/>
      <c r="AG89" s="28"/>
      <c r="AH89" s="28"/>
      <c r="AI89" s="28"/>
      <c r="AJ89" s="110">
        <f>186.32+179.73</f>
        <v>366.04999999999995</v>
      </c>
      <c r="AK89" s="111">
        <f>274.45+15.73/2</f>
        <v>282.315</v>
      </c>
      <c r="AL89" s="32">
        <v>342.94</v>
      </c>
      <c r="AM89" s="32">
        <f>+(274.45+15.73)/AL89</f>
        <v>0.84615384615384615</v>
      </c>
      <c r="AN89" s="32">
        <f>+(AJ89+AK89)/AL89</f>
        <v>1.8906076864757684</v>
      </c>
      <c r="AO89" s="32"/>
      <c r="AP89" s="32">
        <v>75470155.079999998</v>
      </c>
      <c r="AQ89" s="92">
        <v>1266826.8500000001</v>
      </c>
      <c r="AR89" s="32" t="s">
        <v>39</v>
      </c>
      <c r="AS89" s="34" t="s">
        <v>512</v>
      </c>
      <c r="AT89" s="35">
        <v>45530</v>
      </c>
      <c r="AU89" s="36"/>
      <c r="AV89" s="37" t="s">
        <v>513</v>
      </c>
      <c r="AW89" s="38"/>
      <c r="AX89" s="38"/>
      <c r="AY89" s="38"/>
      <c r="AZ89" s="38"/>
      <c r="BA89" s="38"/>
      <c r="BB89" s="38"/>
      <c r="BC89" s="38"/>
      <c r="BD89" s="38"/>
      <c r="BE89" s="38"/>
      <c r="BF89" s="38"/>
      <c r="BG89" s="38"/>
      <c r="BH89" s="39"/>
      <c r="BI89" s="39"/>
      <c r="BJ89" s="39"/>
      <c r="BK89" s="39"/>
      <c r="BL89" s="39"/>
      <c r="BM89" s="39"/>
      <c r="BN89" s="39"/>
      <c r="BO89" s="39"/>
      <c r="BP89" s="39"/>
      <c r="BQ89" s="39"/>
      <c r="BR89" s="39"/>
      <c r="BS89" s="39"/>
      <c r="BT89" s="39"/>
      <c r="BU89" s="39"/>
      <c r="BV89" s="39"/>
      <c r="BW89" s="39"/>
      <c r="IQ89" s="39"/>
      <c r="IR89" s="39"/>
      <c r="IS89" s="39"/>
      <c r="IT89" s="39"/>
      <c r="IU89" s="39"/>
      <c r="IV89" s="39"/>
      <c r="IW89" s="39"/>
    </row>
    <row r="90" spans="1:257" s="40" customFormat="1" ht="63.75">
      <c r="A90" s="1"/>
      <c r="B90" s="144">
        <v>89</v>
      </c>
      <c r="C90" s="145" t="s">
        <v>514</v>
      </c>
      <c r="D90" s="146">
        <v>45469</v>
      </c>
      <c r="E90" s="26" t="s">
        <v>42</v>
      </c>
      <c r="F90" s="27">
        <v>39213</v>
      </c>
      <c r="G90" s="27">
        <v>138032</v>
      </c>
      <c r="H90" s="27">
        <v>8170</v>
      </c>
      <c r="I90" s="28"/>
      <c r="J90" s="28"/>
      <c r="K90" s="28">
        <v>486</v>
      </c>
      <c r="L90" s="28">
        <v>5</v>
      </c>
      <c r="M90" s="28" t="s">
        <v>126</v>
      </c>
      <c r="N90" s="28" t="s">
        <v>515</v>
      </c>
      <c r="O90" s="28" t="s">
        <v>516</v>
      </c>
      <c r="P90" s="28"/>
      <c r="Q90" s="28" t="s">
        <v>517</v>
      </c>
      <c r="R90" s="28"/>
      <c r="S90" s="28"/>
      <c r="T90" s="28"/>
      <c r="U90" s="28">
        <v>4</v>
      </c>
      <c r="V90" s="29"/>
      <c r="W90" s="28"/>
      <c r="X90" s="28"/>
      <c r="Y90" s="28" t="s">
        <v>38</v>
      </c>
      <c r="Z90" s="30">
        <f>1+1+1+1</f>
        <v>4</v>
      </c>
      <c r="AA90" s="31"/>
      <c r="AB90" s="30">
        <f>+Z90+1+1+1+1</f>
        <v>8</v>
      </c>
      <c r="AC90" s="31"/>
      <c r="AD90" s="30">
        <f>+Z90*2</f>
        <v>8</v>
      </c>
      <c r="AE90" s="31"/>
      <c r="AF90" s="28"/>
      <c r="AG90" s="28"/>
      <c r="AH90" s="28">
        <f>169.63+12.21/2</f>
        <v>175.73499999999999</v>
      </c>
      <c r="AI90" s="28"/>
      <c r="AJ90" s="110"/>
      <c r="AK90" s="111"/>
      <c r="AL90" s="32">
        <v>334.8</v>
      </c>
      <c r="AM90" s="32">
        <f>+(169.63+12.21)/AL90</f>
        <v>0.54313022700119473</v>
      </c>
      <c r="AN90" s="32">
        <f>+AH90/AL90</f>
        <v>0.52489545997610509</v>
      </c>
      <c r="AO90" s="32"/>
      <c r="AP90" s="32"/>
      <c r="AQ90" s="92">
        <v>391727.81</v>
      </c>
      <c r="AR90" s="32" t="s">
        <v>39</v>
      </c>
      <c r="AS90" s="34" t="s">
        <v>518</v>
      </c>
      <c r="AT90" s="35">
        <v>45531</v>
      </c>
      <c r="AU90" s="36"/>
      <c r="AV90" s="37">
        <v>45527</v>
      </c>
      <c r="AW90" s="38"/>
      <c r="AX90" s="38"/>
      <c r="AY90" s="38"/>
      <c r="AZ90" s="38"/>
      <c r="BA90" s="38"/>
      <c r="BB90" s="38"/>
      <c r="BC90" s="38"/>
      <c r="BD90" s="38"/>
      <c r="BE90" s="38"/>
      <c r="BF90" s="38"/>
      <c r="BG90" s="38"/>
      <c r="BH90" s="39"/>
      <c r="BI90" s="39"/>
      <c r="BJ90" s="39"/>
      <c r="BK90" s="39"/>
      <c r="BL90" s="39"/>
      <c r="BM90" s="39"/>
      <c r="BN90" s="39"/>
      <c r="BO90" s="39"/>
      <c r="BP90" s="39"/>
      <c r="BQ90" s="39"/>
      <c r="BR90" s="39"/>
      <c r="BS90" s="39"/>
      <c r="BT90" s="39"/>
      <c r="BU90" s="39"/>
      <c r="BV90" s="39"/>
      <c r="BW90" s="39"/>
      <c r="IQ90" s="39"/>
      <c r="IR90" s="39"/>
      <c r="IS90" s="39"/>
      <c r="IT90" s="39"/>
      <c r="IU90" s="39"/>
      <c r="IV90" s="39"/>
      <c r="IW90" s="39"/>
    </row>
    <row r="91" spans="1:257" s="40" customFormat="1" ht="51">
      <c r="A91" s="1"/>
      <c r="B91" s="144">
        <v>90</v>
      </c>
      <c r="C91" s="147">
        <v>560085</v>
      </c>
      <c r="D91" s="143">
        <v>45330</v>
      </c>
      <c r="E91" s="26" t="s">
        <v>42</v>
      </c>
      <c r="F91" s="27">
        <v>55643</v>
      </c>
      <c r="G91" s="27"/>
      <c r="H91" s="27">
        <v>32649</v>
      </c>
      <c r="I91" s="28">
        <v>324</v>
      </c>
      <c r="J91" s="28"/>
      <c r="K91" s="28"/>
      <c r="L91" s="28">
        <v>2</v>
      </c>
      <c r="M91" s="28" t="s">
        <v>33</v>
      </c>
      <c r="N91" s="28" t="s">
        <v>438</v>
      </c>
      <c r="O91" s="28" t="s">
        <v>519</v>
      </c>
      <c r="P91" s="28"/>
      <c r="Q91" s="28" t="s">
        <v>520</v>
      </c>
      <c r="R91" s="28"/>
      <c r="S91" s="28"/>
      <c r="T91" s="28"/>
      <c r="U91" s="28">
        <v>1</v>
      </c>
      <c r="V91" s="29"/>
      <c r="W91" s="28"/>
      <c r="X91" s="28"/>
      <c r="Y91" s="28" t="s">
        <v>521</v>
      </c>
      <c r="Z91" s="30">
        <v>2</v>
      </c>
      <c r="AA91" s="31"/>
      <c r="AB91" s="30">
        <f>+Z91+1</f>
        <v>3</v>
      </c>
      <c r="AC91" s="31"/>
      <c r="AD91" s="30">
        <f>+Z91*2</f>
        <v>4</v>
      </c>
      <c r="AE91" s="31"/>
      <c r="AF91" s="28"/>
      <c r="AG91" s="28"/>
      <c r="AH91" s="28">
        <f>36.19+2.15/2</f>
        <v>37.265000000000001</v>
      </c>
      <c r="AI91" s="28"/>
      <c r="AJ91" s="110"/>
      <c r="AK91" s="111"/>
      <c r="AL91" s="32">
        <v>2666.41</v>
      </c>
      <c r="AM91" s="32">
        <f>+(36.19+2.15)/AL91</f>
        <v>1.4378883967581879E-2</v>
      </c>
      <c r="AN91" s="32">
        <f>+AH91/AL91</f>
        <v>1.3975720163065697E-2</v>
      </c>
      <c r="AO91" s="32"/>
      <c r="AP91" s="32">
        <f>+(2*204929+3*163397+122940*4+11*81972)/20*AH91</f>
        <v>4273365.7382500004</v>
      </c>
      <c r="AQ91" s="92">
        <v>70242.33</v>
      </c>
      <c r="AR91" s="32" t="s">
        <v>39</v>
      </c>
      <c r="AS91" s="34" t="s">
        <v>522</v>
      </c>
      <c r="AT91" s="35">
        <v>45532</v>
      </c>
      <c r="AU91" s="36"/>
      <c r="AV91" s="37">
        <v>45336</v>
      </c>
      <c r="AW91" s="38"/>
      <c r="AX91" s="38"/>
      <c r="AY91" s="38"/>
      <c r="AZ91" s="38"/>
      <c r="BA91" s="38"/>
      <c r="BB91" s="38"/>
      <c r="BC91" s="38"/>
      <c r="BD91" s="38"/>
      <c r="BE91" s="38"/>
      <c r="BF91" s="38"/>
      <c r="BG91" s="38"/>
      <c r="BH91" s="39"/>
      <c r="BI91" s="39"/>
      <c r="BJ91" s="39"/>
      <c r="BK91" s="39"/>
      <c r="BL91" s="39"/>
      <c r="BM91" s="39"/>
      <c r="BN91" s="39"/>
      <c r="BO91" s="39"/>
      <c r="BP91" s="39"/>
      <c r="BQ91" s="39"/>
      <c r="BR91" s="39"/>
      <c r="BS91" s="39"/>
      <c r="BT91" s="39"/>
      <c r="BU91" s="39"/>
      <c r="BV91" s="39"/>
      <c r="BW91" s="39"/>
      <c r="IQ91" s="39"/>
      <c r="IR91" s="39"/>
      <c r="IS91" s="39"/>
      <c r="IT91" s="39"/>
      <c r="IU91" s="39"/>
      <c r="IV91" s="39"/>
      <c r="IW91" s="39"/>
    </row>
    <row r="92" spans="1:257" s="40" customFormat="1" ht="51">
      <c r="A92" s="1"/>
      <c r="B92" s="144">
        <v>91</v>
      </c>
      <c r="C92" s="147" t="s">
        <v>232</v>
      </c>
      <c r="D92" s="143">
        <v>45266</v>
      </c>
      <c r="E92" s="26" t="s">
        <v>42</v>
      </c>
      <c r="F92" s="27"/>
      <c r="G92" s="27"/>
      <c r="H92" s="27">
        <v>31971</v>
      </c>
      <c r="I92" s="28">
        <v>355</v>
      </c>
      <c r="J92" s="28"/>
      <c r="K92" s="28">
        <v>3</v>
      </c>
      <c r="L92" s="28">
        <v>10</v>
      </c>
      <c r="M92" s="28" t="s">
        <v>33</v>
      </c>
      <c r="N92" s="28" t="s">
        <v>203</v>
      </c>
      <c r="O92" s="28" t="s">
        <v>523</v>
      </c>
      <c r="P92" s="28"/>
      <c r="Q92" s="28" t="s">
        <v>524</v>
      </c>
      <c r="R92" s="28"/>
      <c r="S92" s="28"/>
      <c r="T92" s="28"/>
      <c r="U92" s="28">
        <v>6</v>
      </c>
      <c r="V92" s="29"/>
      <c r="W92" s="28"/>
      <c r="X92" s="28"/>
      <c r="Y92" s="28" t="s">
        <v>38</v>
      </c>
      <c r="Z92" s="30">
        <v>6</v>
      </c>
      <c r="AA92" s="31"/>
      <c r="AB92" s="30"/>
      <c r="AC92" s="31"/>
      <c r="AD92" s="30">
        <f>+Z92*2</f>
        <v>12</v>
      </c>
      <c r="AE92" s="31"/>
      <c r="AF92" s="28">
        <f>47.9+3.02/2+47.9</f>
        <v>97.31</v>
      </c>
      <c r="AG92" s="28"/>
      <c r="AH92" s="28">
        <f>81.93+19.3/2+68.93+5.8/2</f>
        <v>163.41000000000003</v>
      </c>
      <c r="AI92" s="28"/>
      <c r="AJ92" s="110"/>
      <c r="AK92" s="111"/>
      <c r="AL92" s="32">
        <v>447</v>
      </c>
      <c r="AM92" s="32">
        <f>+(47.9+3.02+47.9+81.93+19.3)/AL92</f>
        <v>0.4475391498881432</v>
      </c>
      <c r="AN92" s="32">
        <f>+(AF92+AH92)/AL92</f>
        <v>0.58326621923937372</v>
      </c>
      <c r="AO92" s="32"/>
      <c r="AP92" s="32">
        <f>+(2*204929+3*163397+122940*7+8*81972)/20*AH92</f>
        <v>19743237.052500002</v>
      </c>
      <c r="AQ92" s="92">
        <v>310799.28000000003</v>
      </c>
      <c r="AR92" s="32" t="s">
        <v>55</v>
      </c>
      <c r="AS92" s="34" t="s">
        <v>525</v>
      </c>
      <c r="AT92" s="35">
        <v>45532</v>
      </c>
      <c r="AU92" s="36"/>
      <c r="AV92" s="37">
        <v>45530</v>
      </c>
      <c r="AW92" s="38"/>
      <c r="AX92" s="38"/>
      <c r="AY92" s="38"/>
      <c r="AZ92" s="38"/>
      <c r="BA92" s="38"/>
      <c r="BB92" s="38"/>
      <c r="BC92" s="38"/>
      <c r="BD92" s="38"/>
      <c r="BE92" s="38"/>
      <c r="BF92" s="38"/>
      <c r="BG92" s="38"/>
      <c r="BH92" s="39"/>
      <c r="BI92" s="39"/>
      <c r="BJ92" s="39"/>
      <c r="BK92" s="39"/>
      <c r="BL92" s="39"/>
      <c r="BM92" s="39"/>
      <c r="BN92" s="39"/>
      <c r="BO92" s="39"/>
      <c r="BP92" s="39"/>
      <c r="BQ92" s="39"/>
      <c r="BR92" s="39"/>
      <c r="BS92" s="39"/>
      <c r="BT92" s="39"/>
      <c r="BU92" s="39"/>
      <c r="BV92" s="39"/>
      <c r="BW92" s="39"/>
      <c r="IQ92" s="39"/>
      <c r="IR92" s="39"/>
      <c r="IS92" s="39"/>
      <c r="IT92" s="39"/>
      <c r="IU92" s="39"/>
      <c r="IV92" s="39"/>
      <c r="IW92" s="39"/>
    </row>
    <row r="93" spans="1:257" s="40" customFormat="1" ht="89.25">
      <c r="A93" s="1"/>
      <c r="B93" s="144">
        <v>92</v>
      </c>
      <c r="C93" s="147">
        <v>563337</v>
      </c>
      <c r="D93" s="143">
        <v>45468</v>
      </c>
      <c r="E93" s="26" t="s">
        <v>48</v>
      </c>
      <c r="F93" s="27">
        <v>52714</v>
      </c>
      <c r="G93" s="27">
        <v>162238</v>
      </c>
      <c r="H93" s="27">
        <v>9763</v>
      </c>
      <c r="I93" s="28"/>
      <c r="J93" s="28"/>
      <c r="K93" s="28">
        <v>798</v>
      </c>
      <c r="L93" s="28">
        <v>5</v>
      </c>
      <c r="M93" s="28" t="s">
        <v>43</v>
      </c>
      <c r="N93" s="28" t="s">
        <v>526</v>
      </c>
      <c r="O93" s="28" t="s">
        <v>527</v>
      </c>
      <c r="P93" s="28"/>
      <c r="Q93" s="28" t="s">
        <v>188</v>
      </c>
      <c r="R93" s="28" t="s">
        <v>188</v>
      </c>
      <c r="S93" s="28" t="s">
        <v>188</v>
      </c>
      <c r="T93" s="28" t="s">
        <v>189</v>
      </c>
      <c r="U93" s="28"/>
      <c r="V93" s="29">
        <f>1+1+1</f>
        <v>3</v>
      </c>
      <c r="W93" s="28"/>
      <c r="X93" s="28"/>
      <c r="Y93" s="28" t="s">
        <v>277</v>
      </c>
      <c r="Z93" s="30"/>
      <c r="AA93" s="31">
        <f>1+3</f>
        <v>4</v>
      </c>
      <c r="AB93" s="30"/>
      <c r="AC93" s="31">
        <f>+AA93+1+1</f>
        <v>6</v>
      </c>
      <c r="AD93" s="30"/>
      <c r="AE93" s="31">
        <f>+AA93*2</f>
        <v>8</v>
      </c>
      <c r="AF93" s="28"/>
      <c r="AG93" s="28"/>
      <c r="AH93" s="28"/>
      <c r="AI93" s="28"/>
      <c r="AJ93" s="110">
        <f>60.34+5.28/2+15.74/2+139.85+41/2</f>
        <v>231.2</v>
      </c>
      <c r="AK93" s="111">
        <f>68.73+4.6+6.89/2</f>
        <v>76.774999999999991</v>
      </c>
      <c r="AL93" s="32">
        <v>640</v>
      </c>
      <c r="AM93" s="32">
        <f>+(15.74+139.85+41+68.73+4.6+6.89)/AL93</f>
        <v>0.43251562500000001</v>
      </c>
      <c r="AN93" s="32">
        <f>+(AJ93+AK93)/AL93</f>
        <v>0.48121093749999994</v>
      </c>
      <c r="AO93" s="32"/>
      <c r="AP93" s="32">
        <f>+((9*204929+11*163397+122940*3+1*81972)/23*AJ93)+AK93*1</f>
        <v>41138799.557608694</v>
      </c>
      <c r="AQ93" s="92">
        <v>208666.28</v>
      </c>
      <c r="AR93" s="32" t="s">
        <v>39</v>
      </c>
      <c r="AS93" s="34" t="s">
        <v>528</v>
      </c>
      <c r="AT93" s="35">
        <v>45532</v>
      </c>
      <c r="AU93" s="36"/>
      <c r="AV93" s="37" t="s">
        <v>529</v>
      </c>
      <c r="AW93" s="38"/>
      <c r="AX93" s="38"/>
      <c r="AY93" s="38"/>
      <c r="AZ93" s="38"/>
      <c r="BA93" s="38"/>
      <c r="BB93" s="38"/>
      <c r="BC93" s="38"/>
      <c r="BD93" s="38"/>
      <c r="BE93" s="38"/>
      <c r="BF93" s="38"/>
      <c r="BG93" s="38"/>
      <c r="BH93" s="39"/>
      <c r="BI93" s="39"/>
      <c r="BJ93" s="39"/>
      <c r="BK93" s="39"/>
      <c r="BL93" s="39"/>
      <c r="BM93" s="39"/>
      <c r="BN93" s="39"/>
      <c r="BO93" s="39"/>
      <c r="BP93" s="39"/>
      <c r="BQ93" s="39"/>
      <c r="BR93" s="39"/>
      <c r="BS93" s="39"/>
      <c r="BT93" s="39"/>
      <c r="BU93" s="39"/>
      <c r="BV93" s="39"/>
      <c r="BW93" s="39"/>
      <c r="IQ93" s="39"/>
      <c r="IR93" s="39"/>
      <c r="IS93" s="39"/>
      <c r="IT93" s="39"/>
      <c r="IU93" s="39"/>
      <c r="IV93" s="39"/>
      <c r="IW93" s="39"/>
    </row>
    <row r="94" spans="1:257" s="40" customFormat="1" ht="38.25">
      <c r="A94" s="1"/>
      <c r="B94" s="151">
        <v>93</v>
      </c>
      <c r="C94" s="147" t="s">
        <v>401</v>
      </c>
      <c r="D94" s="25">
        <v>45282</v>
      </c>
      <c r="E94" s="26" t="s">
        <v>48</v>
      </c>
      <c r="F94" s="27">
        <v>-46839</v>
      </c>
      <c r="G94" s="27">
        <v>159550</v>
      </c>
      <c r="H94" s="27">
        <v>30561</v>
      </c>
      <c r="I94" s="28">
        <v>327</v>
      </c>
      <c r="J94" s="28"/>
      <c r="K94" s="28">
        <v>5</v>
      </c>
      <c r="L94" s="28">
        <v>1</v>
      </c>
      <c r="M94" s="28" t="s">
        <v>43</v>
      </c>
      <c r="N94" s="28" t="s">
        <v>402</v>
      </c>
      <c r="O94" s="28" t="s">
        <v>403</v>
      </c>
      <c r="P94" s="28"/>
      <c r="Q94" s="28" t="s">
        <v>404</v>
      </c>
      <c r="R94" s="28" t="s">
        <v>405</v>
      </c>
      <c r="S94" s="28" t="s">
        <v>404</v>
      </c>
      <c r="T94" s="28" t="s">
        <v>406</v>
      </c>
      <c r="U94" s="28"/>
      <c r="V94" s="29">
        <v>1</v>
      </c>
      <c r="W94" s="28"/>
      <c r="X94" s="28"/>
      <c r="Y94" s="28" t="s">
        <v>54</v>
      </c>
      <c r="Z94" s="30"/>
      <c r="AA94" s="31">
        <v>2</v>
      </c>
      <c r="AB94" s="30"/>
      <c r="AC94" s="31">
        <f>+AA94+1</f>
        <v>3</v>
      </c>
      <c r="AD94" s="30"/>
      <c r="AE94" s="31">
        <f>+AA94*2</f>
        <v>4</v>
      </c>
      <c r="AF94" s="28"/>
      <c r="AG94" s="28"/>
      <c r="AH94" s="28"/>
      <c r="AI94" s="28"/>
      <c r="AJ94" s="110">
        <f>60+21/2</f>
        <v>70.5</v>
      </c>
      <c r="AK94" s="111"/>
      <c r="AL94" s="32">
        <v>320.98</v>
      </c>
      <c r="AM94" s="32">
        <f>+(60+21)/AL94</f>
        <v>0.25235217147485822</v>
      </c>
      <c r="AN94" s="32">
        <f>+AJ94/AL94</f>
        <v>0.21963985295033958</v>
      </c>
      <c r="AO94" s="32"/>
      <c r="AP94" s="32">
        <f>+(1*1+5*2+10*3+4*4)/20*AJ94</f>
        <v>200.92500000000001</v>
      </c>
      <c r="AQ94" s="116">
        <v>75059.73</v>
      </c>
      <c r="AR94" s="32" t="s">
        <v>39</v>
      </c>
      <c r="AS94" s="34" t="s">
        <v>178</v>
      </c>
      <c r="AT94" s="35">
        <v>45470</v>
      </c>
      <c r="AU94" s="36"/>
      <c r="AV94" s="37" t="s">
        <v>407</v>
      </c>
      <c r="AW94" s="38"/>
      <c r="AX94" s="38"/>
      <c r="AY94" s="38"/>
      <c r="AZ94" s="38"/>
      <c r="BA94" s="38"/>
      <c r="BB94" s="38"/>
      <c r="BC94" s="38"/>
      <c r="BD94" s="38"/>
      <c r="BE94" s="38"/>
      <c r="BF94" s="38"/>
      <c r="BG94" s="38"/>
      <c r="BH94" s="39"/>
      <c r="BI94" s="39"/>
      <c r="BJ94" s="39"/>
      <c r="BK94" s="39"/>
      <c r="BL94" s="39"/>
      <c r="BM94" s="39"/>
      <c r="BN94" s="39"/>
      <c r="BO94" s="39"/>
      <c r="BP94" s="39"/>
      <c r="BQ94" s="39"/>
      <c r="BR94" s="39"/>
      <c r="BS94" s="39"/>
      <c r="BT94" s="39"/>
      <c r="BU94" s="39"/>
      <c r="BV94" s="39"/>
      <c r="BW94" s="39"/>
      <c r="IQ94" s="39"/>
      <c r="IR94" s="39"/>
      <c r="IS94" s="39"/>
      <c r="IT94" s="39"/>
      <c r="IU94" s="39"/>
      <c r="IV94" s="39"/>
      <c r="IW94" s="39"/>
    </row>
    <row r="95" spans="1:257" s="40" customFormat="1" ht="89.25">
      <c r="A95" s="1" t="s">
        <v>530</v>
      </c>
      <c r="B95" s="148">
        <v>94</v>
      </c>
      <c r="C95" s="147">
        <v>561812</v>
      </c>
      <c r="D95" s="143">
        <v>45394</v>
      </c>
      <c r="E95" s="26" t="s">
        <v>48</v>
      </c>
      <c r="F95" s="27">
        <v>26584</v>
      </c>
      <c r="G95" s="27">
        <v>1364</v>
      </c>
      <c r="H95" s="27">
        <v>4665</v>
      </c>
      <c r="I95" s="28"/>
      <c r="J95" s="28"/>
      <c r="K95" s="28">
        <v>18</v>
      </c>
      <c r="L95" s="28">
        <v>3</v>
      </c>
      <c r="M95" s="28" t="s">
        <v>43</v>
      </c>
      <c r="N95" s="28" t="s">
        <v>531</v>
      </c>
      <c r="O95" s="28" t="s">
        <v>532</v>
      </c>
      <c r="P95" s="28"/>
      <c r="Q95" s="28" t="s">
        <v>312</v>
      </c>
      <c r="R95" s="28" t="s">
        <v>312</v>
      </c>
      <c r="S95" s="28" t="s">
        <v>312</v>
      </c>
      <c r="T95" s="28" t="s">
        <v>533</v>
      </c>
      <c r="U95" s="28"/>
      <c r="V95" s="29">
        <f>1+1+1+1</f>
        <v>4</v>
      </c>
      <c r="W95" s="28"/>
      <c r="X95" s="28"/>
      <c r="Y95" s="28" t="s">
        <v>38</v>
      </c>
      <c r="Z95" s="30"/>
      <c r="AA95" s="31">
        <f>1+1+2+2</f>
        <v>6</v>
      </c>
      <c r="AB95" s="30"/>
      <c r="AC95" s="31">
        <f>1+1+1+1</f>
        <v>4</v>
      </c>
      <c r="AD95" s="30"/>
      <c r="AE95" s="31">
        <f>+AA95*2</f>
        <v>12</v>
      </c>
      <c r="AF95" s="28"/>
      <c r="AG95" s="28"/>
      <c r="AH95" s="28"/>
      <c r="AI95" s="28"/>
      <c r="AJ95" s="110">
        <f>+(73.77+73.77+47.45+47.45+47.45+47.45)</f>
        <v>337.34</v>
      </c>
      <c r="AK95" s="111"/>
      <c r="AL95" s="32">
        <v>401.87</v>
      </c>
      <c r="AM95" s="32">
        <f>+(73.77+47.45+47.45)/AL95</f>
        <v>0.41971284246149254</v>
      </c>
      <c r="AN95" s="32">
        <f>+AJ95/AL95</f>
        <v>0.83942568492298497</v>
      </c>
      <c r="AO95" s="32">
        <f>+(18+12)/(6+3)</f>
        <v>3.3333333333333335</v>
      </c>
      <c r="AP95" s="32">
        <f>+(253374+14*202642+101350*7+101350)/23*AJ95</f>
        <v>57218173.438260868</v>
      </c>
      <c r="AQ95" s="108">
        <v>235063.15</v>
      </c>
      <c r="AR95" s="32" t="s">
        <v>55</v>
      </c>
      <c r="AS95" s="34" t="s">
        <v>534</v>
      </c>
      <c r="AT95" s="35">
        <v>45538</v>
      </c>
      <c r="AU95" s="36"/>
      <c r="AV95" s="37" t="s">
        <v>535</v>
      </c>
      <c r="AW95" s="38"/>
      <c r="AX95" s="38"/>
      <c r="AY95" s="38"/>
      <c r="AZ95" s="38"/>
      <c r="BA95" s="38"/>
      <c r="BB95" s="38"/>
      <c r="BC95" s="38"/>
      <c r="BD95" s="38"/>
      <c r="BE95" s="38"/>
      <c r="BF95" s="38"/>
      <c r="BG95" s="38"/>
      <c r="BH95" s="39"/>
      <c r="BI95" s="39"/>
      <c r="BJ95" s="39"/>
      <c r="BK95" s="39"/>
      <c r="BL95" s="39"/>
      <c r="BM95" s="39"/>
      <c r="BN95" s="39"/>
      <c r="BO95" s="39"/>
      <c r="BP95" s="39"/>
      <c r="BQ95" s="39"/>
      <c r="BR95" s="39"/>
      <c r="BS95" s="39"/>
      <c r="BT95" s="39"/>
      <c r="BU95" s="39"/>
      <c r="BV95" s="39"/>
      <c r="BW95" s="39"/>
      <c r="IQ95" s="39"/>
      <c r="IR95" s="39"/>
      <c r="IS95" s="39"/>
      <c r="IT95" s="39"/>
      <c r="IU95" s="39"/>
      <c r="IV95" s="39"/>
      <c r="IW95" s="39"/>
    </row>
    <row r="96" spans="1:257" s="40" customFormat="1" ht="51">
      <c r="A96" s="149"/>
      <c r="B96" s="148">
        <v>95</v>
      </c>
      <c r="C96" s="147">
        <v>564311</v>
      </c>
      <c r="D96" s="143">
        <v>45516</v>
      </c>
      <c r="E96" s="26" t="s">
        <v>42</v>
      </c>
      <c r="F96" s="27">
        <v>52565</v>
      </c>
      <c r="G96" s="27">
        <v>162209</v>
      </c>
      <c r="H96" s="27">
        <v>33115</v>
      </c>
      <c r="I96" s="28">
        <v>289</v>
      </c>
      <c r="J96" s="28"/>
      <c r="K96" s="28"/>
      <c r="L96" s="28">
        <v>15</v>
      </c>
      <c r="M96" s="28" t="s">
        <v>536</v>
      </c>
      <c r="N96" s="28" t="s">
        <v>537</v>
      </c>
      <c r="O96" s="28" t="s">
        <v>538</v>
      </c>
      <c r="P96" s="28"/>
      <c r="Q96" s="28" t="s">
        <v>285</v>
      </c>
      <c r="R96" s="28"/>
      <c r="S96" s="28"/>
      <c r="T96" s="28"/>
      <c r="U96" s="28">
        <v>1</v>
      </c>
      <c r="V96" s="29"/>
      <c r="W96" s="28"/>
      <c r="X96" s="28"/>
      <c r="Y96" s="28" t="s">
        <v>83</v>
      </c>
      <c r="Z96" s="30"/>
      <c r="AA96" s="31"/>
      <c r="AB96" s="30"/>
      <c r="AC96" s="31"/>
      <c r="AD96" s="30"/>
      <c r="AE96" s="31"/>
      <c r="AF96" s="28"/>
      <c r="AG96" s="28"/>
      <c r="AH96" s="28">
        <f>235.79+45.65/2+109.91</f>
        <v>368.52499999999998</v>
      </c>
      <c r="AI96" s="28"/>
      <c r="AJ96" s="110"/>
      <c r="AK96" s="111"/>
      <c r="AL96" s="32">
        <v>800</v>
      </c>
      <c r="AM96" s="32">
        <f>+(40.5+32.61+84.02+7.11+101.37+5.93)/AL96</f>
        <v>0.33942500000000003</v>
      </c>
      <c r="AN96" s="32">
        <f>+AH96/AL96</f>
        <v>0.46065624999999999</v>
      </c>
      <c r="AO96" s="32"/>
      <c r="AP96" s="32">
        <f>+(2*253374+202642*5+4*152003+101350*12)/23*AH96</f>
        <v>53583054.315217391</v>
      </c>
      <c r="AQ96" s="108">
        <v>666225.23</v>
      </c>
      <c r="AR96" s="32" t="s">
        <v>39</v>
      </c>
      <c r="AS96" s="34"/>
      <c r="AT96" s="35">
        <v>45540</v>
      </c>
      <c r="AU96" s="36"/>
      <c r="AV96" s="37">
        <v>45519</v>
      </c>
      <c r="AW96" s="38"/>
      <c r="AX96" s="38"/>
      <c r="AY96" s="38"/>
      <c r="AZ96" s="38"/>
      <c r="BA96" s="38"/>
      <c r="BB96" s="38"/>
      <c r="BC96" s="38"/>
      <c r="BD96" s="38"/>
      <c r="BE96" s="38"/>
      <c r="BF96" s="38"/>
      <c r="BG96" s="38"/>
      <c r="BH96" s="39"/>
      <c r="BI96" s="39"/>
      <c r="BJ96" s="39"/>
      <c r="BK96" s="39"/>
      <c r="BL96" s="39"/>
      <c r="BM96" s="39"/>
      <c r="BN96" s="39"/>
      <c r="BO96" s="39"/>
      <c r="BP96" s="39"/>
      <c r="BQ96" s="39"/>
      <c r="BR96" s="39"/>
      <c r="BS96" s="39"/>
      <c r="BT96" s="39"/>
      <c r="BU96" s="39"/>
      <c r="BV96" s="39"/>
      <c r="BW96" s="39"/>
      <c r="IQ96" s="39"/>
      <c r="IR96" s="39"/>
      <c r="IS96" s="39"/>
      <c r="IT96" s="39"/>
      <c r="IU96" s="39"/>
      <c r="IV96" s="39"/>
      <c r="IW96" s="39"/>
    </row>
    <row r="97" spans="1:257" s="40" customFormat="1" ht="38.25">
      <c r="A97" s="149"/>
      <c r="B97" s="148">
        <v>96</v>
      </c>
      <c r="C97" s="147" t="s">
        <v>539</v>
      </c>
      <c r="D97" s="143">
        <v>45407</v>
      </c>
      <c r="E97" s="26" t="s">
        <v>275</v>
      </c>
      <c r="F97" s="27">
        <v>50697</v>
      </c>
      <c r="G97" s="27">
        <v>160662</v>
      </c>
      <c r="H97" s="27">
        <v>21171</v>
      </c>
      <c r="I97" s="28">
        <v>48</v>
      </c>
      <c r="J97" s="28"/>
      <c r="K97" s="28">
        <v>380</v>
      </c>
      <c r="L97" s="28">
        <v>6</v>
      </c>
      <c r="M97" s="28" t="s">
        <v>43</v>
      </c>
      <c r="N97" s="28" t="s">
        <v>540</v>
      </c>
      <c r="O97" s="28" t="s">
        <v>541</v>
      </c>
      <c r="P97" s="28"/>
      <c r="Q97" s="28" t="s">
        <v>542</v>
      </c>
      <c r="R97" s="28"/>
      <c r="S97" s="28"/>
      <c r="T97" s="28"/>
      <c r="U97" s="28">
        <v>1</v>
      </c>
      <c r="V97" s="29"/>
      <c r="W97" s="28"/>
      <c r="X97" s="28"/>
      <c r="Y97" s="28" t="s">
        <v>225</v>
      </c>
      <c r="Z97" s="30"/>
      <c r="AA97" s="31"/>
      <c r="AB97" s="30"/>
      <c r="AC97" s="31"/>
      <c r="AD97" s="30"/>
      <c r="AE97" s="31"/>
      <c r="AF97" s="28">
        <f>183.7+12.2/2+138.2</f>
        <v>328</v>
      </c>
      <c r="AG97" s="28"/>
      <c r="AH97" s="28"/>
      <c r="AI97" s="28"/>
      <c r="AJ97" s="110"/>
      <c r="AK97" s="111"/>
      <c r="AL97" s="32">
        <v>375</v>
      </c>
      <c r="AM97" s="32">
        <f>+(183.7+12.2)/AL97</f>
        <v>0.52239999999999998</v>
      </c>
      <c r="AN97" s="32">
        <f>+AF97/AL97</f>
        <v>0.8746666666666667</v>
      </c>
      <c r="AO97" s="32"/>
      <c r="AP97" s="32">
        <f>+AF97*202642</f>
        <v>66466576</v>
      </c>
      <c r="AQ97" s="108">
        <v>15262</v>
      </c>
      <c r="AR97" s="32" t="s">
        <v>39</v>
      </c>
      <c r="AS97" s="34" t="s">
        <v>543</v>
      </c>
      <c r="AT97" s="35" t="s">
        <v>544</v>
      </c>
      <c r="AU97" s="36"/>
      <c r="AV97" s="37">
        <v>45414</v>
      </c>
      <c r="AW97" s="38"/>
      <c r="AX97" s="38"/>
      <c r="AY97" s="38"/>
      <c r="AZ97" s="38"/>
      <c r="BA97" s="38"/>
      <c r="BB97" s="38"/>
      <c r="BC97" s="38"/>
      <c r="BD97" s="38"/>
      <c r="BE97" s="38"/>
      <c r="BF97" s="38"/>
      <c r="BG97" s="38"/>
      <c r="BH97" s="39"/>
      <c r="BI97" s="39"/>
      <c r="BJ97" s="39"/>
      <c r="BK97" s="39"/>
      <c r="BL97" s="39"/>
      <c r="BM97" s="39"/>
      <c r="BN97" s="39"/>
      <c r="BO97" s="39"/>
      <c r="BP97" s="39"/>
      <c r="BQ97" s="39"/>
      <c r="BR97" s="39"/>
      <c r="BS97" s="39"/>
      <c r="BT97" s="39"/>
      <c r="BU97" s="39"/>
      <c r="BV97" s="39"/>
      <c r="BW97" s="39"/>
      <c r="IQ97" s="39"/>
      <c r="IR97" s="39"/>
      <c r="IS97" s="39"/>
      <c r="IT97" s="39"/>
      <c r="IU97" s="39"/>
      <c r="IV97" s="39"/>
      <c r="IW97" s="39"/>
    </row>
    <row r="98" spans="1:257" s="40" customFormat="1" ht="63.75">
      <c r="A98" s="149"/>
      <c r="B98" s="148">
        <v>97</v>
      </c>
      <c r="C98" s="147">
        <v>564644</v>
      </c>
      <c r="D98" s="143">
        <v>45533</v>
      </c>
      <c r="E98" s="26" t="s">
        <v>48</v>
      </c>
      <c r="F98" s="27">
        <v>62136</v>
      </c>
      <c r="G98" s="27">
        <v>169823</v>
      </c>
      <c r="H98" s="27">
        <v>34128</v>
      </c>
      <c r="I98" s="28">
        <v>341</v>
      </c>
      <c r="J98" s="28"/>
      <c r="K98" s="28">
        <v>6</v>
      </c>
      <c r="L98" s="28">
        <v>3</v>
      </c>
      <c r="M98" s="28" t="s">
        <v>536</v>
      </c>
      <c r="N98" s="28" t="s">
        <v>438</v>
      </c>
      <c r="O98" s="28" t="s">
        <v>545</v>
      </c>
      <c r="P98" s="28"/>
      <c r="Q98" s="28" t="s">
        <v>546</v>
      </c>
      <c r="R98" s="28" t="s">
        <v>546</v>
      </c>
      <c r="S98" s="28" t="s">
        <v>546</v>
      </c>
      <c r="T98" s="28" t="s">
        <v>53</v>
      </c>
      <c r="U98" s="28"/>
      <c r="V98" s="29">
        <v>1</v>
      </c>
      <c r="W98" s="28"/>
      <c r="X98" s="28"/>
      <c r="Y98" s="28" t="s">
        <v>54</v>
      </c>
      <c r="Z98" s="30"/>
      <c r="AA98" s="31">
        <v>1</v>
      </c>
      <c r="AB98" s="30"/>
      <c r="AC98" s="31"/>
      <c r="AD98" s="30"/>
      <c r="AE98" s="31">
        <f>+AA98*2</f>
        <v>2</v>
      </c>
      <c r="AF98" s="66"/>
      <c r="AG98" s="28"/>
      <c r="AH98" s="28"/>
      <c r="AI98" s="28"/>
      <c r="AJ98" s="110">
        <v>30.62</v>
      </c>
      <c r="AK98" s="111"/>
      <c r="AL98" s="32">
        <v>799.78</v>
      </c>
      <c r="AM98" s="32">
        <f>+AJ98/AL98</f>
        <v>3.8285528520343094E-2</v>
      </c>
      <c r="AN98" s="32">
        <f>+AJ98/AL98</f>
        <v>3.8285528520343094E-2</v>
      </c>
      <c r="AO98" s="32"/>
      <c r="AP98" s="32">
        <f>+(6*253374+202642*4+152003*5+101350*4)/19*AJ98</f>
        <v>5634445.8284210525</v>
      </c>
      <c r="AQ98" s="108">
        <v>25028.04</v>
      </c>
      <c r="AR98" s="32" t="s">
        <v>39</v>
      </c>
      <c r="AS98" s="58" t="s">
        <v>547</v>
      </c>
      <c r="AT98" s="35">
        <v>45544</v>
      </c>
      <c r="AU98" s="36"/>
      <c r="AV98" s="37" t="s">
        <v>548</v>
      </c>
      <c r="AW98" s="38"/>
      <c r="AX98" s="38"/>
      <c r="AY98" s="38"/>
      <c r="AZ98" s="38"/>
      <c r="BA98" s="38"/>
      <c r="BB98" s="38"/>
      <c r="BC98" s="38"/>
      <c r="BD98" s="38"/>
      <c r="BE98" s="38"/>
      <c r="BF98" s="38"/>
      <c r="BG98" s="38"/>
      <c r="BH98" s="39"/>
      <c r="BI98" s="39"/>
      <c r="BJ98" s="39"/>
      <c r="BK98" s="39"/>
      <c r="BL98" s="39"/>
      <c r="BM98" s="39"/>
      <c r="BN98" s="39"/>
      <c r="BO98" s="39"/>
      <c r="BP98" s="39"/>
      <c r="BQ98" s="39"/>
      <c r="BR98" s="39"/>
      <c r="BS98" s="39"/>
      <c r="BT98" s="39"/>
      <c r="BU98" s="39"/>
      <c r="BV98" s="39"/>
      <c r="BW98" s="39"/>
      <c r="IQ98" s="39"/>
      <c r="IR98" s="39"/>
      <c r="IS98" s="39"/>
      <c r="IT98" s="39"/>
      <c r="IU98" s="39"/>
      <c r="IV98" s="39"/>
      <c r="IW98" s="39"/>
    </row>
    <row r="99" spans="1:257" s="40" customFormat="1" ht="38.25">
      <c r="A99" s="149"/>
      <c r="B99" s="148">
        <v>98</v>
      </c>
      <c r="C99" s="147">
        <v>558154</v>
      </c>
      <c r="D99" s="143">
        <v>45264</v>
      </c>
      <c r="E99" s="26" t="s">
        <v>48</v>
      </c>
      <c r="F99" s="27">
        <v>42478</v>
      </c>
      <c r="G99" s="27">
        <v>138738</v>
      </c>
      <c r="H99" s="27">
        <v>8494</v>
      </c>
      <c r="I99" s="28"/>
      <c r="J99" s="28"/>
      <c r="K99" s="28">
        <v>488</v>
      </c>
      <c r="L99" s="28">
        <v>22</v>
      </c>
      <c r="M99" s="28" t="s">
        <v>43</v>
      </c>
      <c r="N99" s="28" t="s">
        <v>549</v>
      </c>
      <c r="O99" s="28" t="s">
        <v>550</v>
      </c>
      <c r="P99" s="28"/>
      <c r="Q99" s="28" t="s">
        <v>551</v>
      </c>
      <c r="R99" s="28" t="s">
        <v>551</v>
      </c>
      <c r="S99" s="28" t="s">
        <v>551</v>
      </c>
      <c r="T99" s="28" t="s">
        <v>361</v>
      </c>
      <c r="U99" s="28"/>
      <c r="V99" s="28">
        <v>1</v>
      </c>
      <c r="W99" s="28"/>
      <c r="X99" s="28"/>
      <c r="Y99" s="28" t="s">
        <v>54</v>
      </c>
      <c r="Z99" s="30"/>
      <c r="AA99" s="30">
        <v>1</v>
      </c>
      <c r="AB99" s="30"/>
      <c r="AC99" s="30">
        <f>+AA99+1</f>
        <v>2</v>
      </c>
      <c r="AD99" s="30"/>
      <c r="AE99" s="30">
        <f>+AA99*2</f>
        <v>2</v>
      </c>
      <c r="AF99" s="28"/>
      <c r="AG99" s="28"/>
      <c r="AH99" s="28"/>
      <c r="AI99" s="28"/>
      <c r="AJ99" s="110">
        <f>91.98+1.72/2</f>
        <v>92.84</v>
      </c>
      <c r="AK99" s="111"/>
      <c r="AL99" s="32">
        <v>248.64</v>
      </c>
      <c r="AM99" s="32">
        <f>+(91.98+1.72)/AL99</f>
        <v>0.37685006435006441</v>
      </c>
      <c r="AN99" s="32">
        <f>+AJ99/AL99</f>
        <v>0.37339124839124843</v>
      </c>
      <c r="AO99" s="32"/>
      <c r="AP99" s="32">
        <f>+(2*253374+202642*3+152003*13+3*101350)/21*AJ99</f>
        <v>15008085.567619048</v>
      </c>
      <c r="AQ99" s="108">
        <v>66904.289999999994</v>
      </c>
      <c r="AR99" s="32" t="s">
        <v>552</v>
      </c>
      <c r="AS99" s="34" t="s">
        <v>553</v>
      </c>
      <c r="AT99" s="35">
        <v>45544</v>
      </c>
      <c r="AU99" s="36"/>
      <c r="AV99" s="37" t="s">
        <v>554</v>
      </c>
      <c r="AW99" s="38"/>
      <c r="AX99" s="38"/>
      <c r="AY99" s="38"/>
      <c r="AZ99" s="38"/>
      <c r="BA99" s="38"/>
      <c r="BB99" s="38"/>
      <c r="BC99" s="38"/>
      <c r="BD99" s="38"/>
      <c r="BE99" s="38"/>
      <c r="BF99" s="38"/>
      <c r="BG99" s="38"/>
      <c r="BH99" s="39"/>
      <c r="BI99" s="39"/>
      <c r="BJ99" s="39"/>
      <c r="BK99" s="39"/>
      <c r="BL99" s="39"/>
      <c r="BM99" s="39"/>
      <c r="BN99" s="39"/>
      <c r="BO99" s="39"/>
      <c r="BP99" s="39"/>
      <c r="BQ99" s="39"/>
      <c r="BR99" s="39"/>
      <c r="BS99" s="39"/>
      <c r="BT99" s="39"/>
      <c r="BU99" s="39"/>
      <c r="BV99" s="39"/>
      <c r="BW99" s="39"/>
      <c r="IQ99" s="39"/>
      <c r="IR99" s="39"/>
      <c r="IS99" s="39"/>
      <c r="IT99" s="39"/>
      <c r="IU99" s="39"/>
      <c r="IV99" s="39"/>
      <c r="IW99" s="39"/>
    </row>
    <row r="100" spans="1:257" s="40" customFormat="1" ht="63.75">
      <c r="A100" s="149"/>
      <c r="B100" s="148">
        <v>99</v>
      </c>
      <c r="C100" s="147">
        <v>564831</v>
      </c>
      <c r="D100" s="143">
        <v>45541</v>
      </c>
      <c r="E100" s="26" t="s">
        <v>48</v>
      </c>
      <c r="F100" s="27">
        <v>62794</v>
      </c>
      <c r="G100" s="27">
        <v>170330</v>
      </c>
      <c r="H100" s="27">
        <v>21536</v>
      </c>
      <c r="I100" s="28">
        <v>63</v>
      </c>
      <c r="J100" s="28"/>
      <c r="K100" s="28">
        <v>437</v>
      </c>
      <c r="L100" s="28">
        <v>3</v>
      </c>
      <c r="M100" s="28" t="s">
        <v>43</v>
      </c>
      <c r="N100" s="28" t="s">
        <v>555</v>
      </c>
      <c r="O100" s="28"/>
      <c r="P100" s="28" t="s">
        <v>242</v>
      </c>
      <c r="Q100" s="28" t="s">
        <v>243</v>
      </c>
      <c r="R100" s="28" t="s">
        <v>243</v>
      </c>
      <c r="S100" s="28" t="s">
        <v>243</v>
      </c>
      <c r="T100" s="28" t="s">
        <v>242</v>
      </c>
      <c r="U100" s="28">
        <v>3</v>
      </c>
      <c r="V100" s="29"/>
      <c r="W100" s="28"/>
      <c r="X100" s="28"/>
      <c r="Y100" s="28" t="s">
        <v>38</v>
      </c>
      <c r="Z100" s="30">
        <f>2*3</f>
        <v>6</v>
      </c>
      <c r="AA100" s="31"/>
      <c r="AB100" s="30">
        <f>+Z100+3</f>
        <v>9</v>
      </c>
      <c r="AC100" s="31"/>
      <c r="AD100" s="30">
        <f>+Z100*2</f>
        <v>12</v>
      </c>
      <c r="AE100" s="31"/>
      <c r="AF100" s="66">
        <f>116.75+11.41/2+106.45+9.49/2</f>
        <v>233.65</v>
      </c>
      <c r="AG100" s="28"/>
      <c r="AH100" s="28">
        <f>116.76+58.72/2+106.44+9.48/2-AF100</f>
        <v>23.650000000000006</v>
      </c>
      <c r="AI100" s="28"/>
      <c r="AJ100" s="110"/>
      <c r="AK100" s="111"/>
      <c r="AL100" s="32">
        <v>360</v>
      </c>
      <c r="AM100" s="32">
        <f>+(116.76+58.72)/AL100</f>
        <v>0.48744444444444451</v>
      </c>
      <c r="AN100" s="32">
        <f>+(AF100+AH100)/AL100</f>
        <v>0.71472222222222226</v>
      </c>
      <c r="AO100" s="32"/>
      <c r="AP100" s="32"/>
      <c r="AQ100" s="108"/>
      <c r="AR100" s="32" t="s">
        <v>55</v>
      </c>
      <c r="AS100" s="58" t="s">
        <v>556</v>
      </c>
      <c r="AT100" s="35"/>
      <c r="AU100" s="36"/>
      <c r="AV100" s="37" t="s">
        <v>557</v>
      </c>
      <c r="AW100" s="38"/>
      <c r="AX100" s="38"/>
      <c r="AY100" s="38"/>
      <c r="AZ100" s="38"/>
      <c r="BA100" s="38"/>
      <c r="BB100" s="38"/>
      <c r="BC100" s="38"/>
      <c r="BD100" s="38"/>
      <c r="BE100" s="38"/>
      <c r="BF100" s="38"/>
      <c r="BG100" s="38"/>
      <c r="BH100" s="39"/>
      <c r="BI100" s="39"/>
      <c r="BJ100" s="39"/>
      <c r="BK100" s="39"/>
      <c r="BL100" s="39"/>
      <c r="BM100" s="39"/>
      <c r="BN100" s="39"/>
      <c r="BO100" s="39"/>
      <c r="BP100" s="39"/>
      <c r="BQ100" s="39"/>
      <c r="BR100" s="39"/>
      <c r="BS100" s="39"/>
      <c r="BT100" s="39"/>
      <c r="BU100" s="39"/>
      <c r="BV100" s="39"/>
      <c r="BW100" s="39"/>
      <c r="IQ100" s="39"/>
      <c r="IR100" s="39"/>
      <c r="IS100" s="39"/>
      <c r="IT100" s="39"/>
      <c r="IU100" s="39"/>
      <c r="IV100" s="39"/>
      <c r="IW100" s="39"/>
    </row>
    <row r="101" spans="1:257" s="40" customFormat="1" ht="38.25">
      <c r="A101" s="149"/>
      <c r="B101" s="148">
        <v>100</v>
      </c>
      <c r="C101" s="145">
        <v>564201</v>
      </c>
      <c r="D101" s="146">
        <v>45509</v>
      </c>
      <c r="E101" s="43" t="s">
        <v>48</v>
      </c>
      <c r="F101" s="27"/>
      <c r="G101" s="27"/>
      <c r="H101" s="27" t="s">
        <v>558</v>
      </c>
      <c r="I101" s="28"/>
      <c r="J101" s="28"/>
      <c r="K101" s="10"/>
      <c r="L101" s="28">
        <v>108</v>
      </c>
      <c r="M101" s="10" t="s">
        <v>43</v>
      </c>
      <c r="N101" s="28" t="s">
        <v>559</v>
      </c>
      <c r="O101" s="10" t="s">
        <v>560</v>
      </c>
      <c r="P101" s="28"/>
      <c r="Q101" s="28" t="s">
        <v>561</v>
      </c>
      <c r="R101" s="28" t="s">
        <v>561</v>
      </c>
      <c r="S101" s="28" t="s">
        <v>561</v>
      </c>
      <c r="T101" s="28" t="s">
        <v>562</v>
      </c>
      <c r="U101" s="28"/>
      <c r="V101" s="29">
        <v>1</v>
      </c>
      <c r="W101" s="28"/>
      <c r="X101" s="28"/>
      <c r="Y101" s="10" t="s">
        <v>563</v>
      </c>
      <c r="Z101" s="30"/>
      <c r="AA101" s="31"/>
      <c r="AB101" s="30"/>
      <c r="AC101" s="31"/>
      <c r="AD101" s="30"/>
      <c r="AE101" s="31"/>
      <c r="AF101" s="28"/>
      <c r="AG101" s="28"/>
      <c r="AH101" s="28"/>
      <c r="AI101" s="28"/>
      <c r="AJ101" s="110"/>
      <c r="AK101" s="111">
        <f>7.95+1.05/2</f>
        <v>8.4749999999999996</v>
      </c>
      <c r="AL101" s="32">
        <v>9</v>
      </c>
      <c r="AM101" s="32"/>
      <c r="AN101" s="32"/>
      <c r="AO101" s="32"/>
      <c r="AP101" s="32">
        <v>5236647</v>
      </c>
      <c r="AQ101" s="108">
        <v>369401.35</v>
      </c>
      <c r="AR101" s="32" t="s">
        <v>55</v>
      </c>
      <c r="AS101" s="34" t="s">
        <v>564</v>
      </c>
      <c r="AT101" s="35">
        <v>45545</v>
      </c>
      <c r="AU101" s="36"/>
      <c r="AV101" s="37" t="s">
        <v>565</v>
      </c>
      <c r="AW101" s="38"/>
      <c r="AX101" s="38"/>
      <c r="AY101" s="38"/>
      <c r="AZ101" s="38"/>
      <c r="BA101" s="38"/>
      <c r="BB101" s="38"/>
      <c r="BC101" s="38"/>
      <c r="BD101" s="38"/>
      <c r="BE101" s="38"/>
      <c r="BF101" s="38"/>
      <c r="BG101" s="38"/>
      <c r="BH101" s="39"/>
      <c r="BI101" s="39"/>
      <c r="BJ101" s="39"/>
      <c r="BK101" s="39"/>
      <c r="BL101" s="39"/>
      <c r="BM101" s="39"/>
      <c r="BN101" s="39"/>
      <c r="BO101" s="39"/>
      <c r="BP101" s="39"/>
      <c r="BQ101" s="39"/>
      <c r="BR101" s="39"/>
      <c r="BS101" s="39"/>
      <c r="BT101" s="39"/>
      <c r="BU101" s="39"/>
      <c r="BV101" s="39"/>
      <c r="BW101" s="39"/>
      <c r="IQ101" s="39"/>
      <c r="IR101" s="39"/>
      <c r="IS101" s="39"/>
      <c r="IT101" s="39"/>
      <c r="IU101" s="39"/>
      <c r="IV101" s="39"/>
      <c r="IW101" s="39"/>
    </row>
    <row r="102" spans="1:257" s="40" customFormat="1" ht="76.5">
      <c r="A102" s="149"/>
      <c r="B102" s="148">
        <v>101</v>
      </c>
      <c r="C102" s="147">
        <v>561930</v>
      </c>
      <c r="D102" s="143">
        <v>45399</v>
      </c>
      <c r="E102" s="26" t="s">
        <v>42</v>
      </c>
      <c r="F102" s="27">
        <v>41375</v>
      </c>
      <c r="G102" s="27">
        <v>139751</v>
      </c>
      <c r="H102" s="27">
        <v>8617</v>
      </c>
      <c r="I102" s="28"/>
      <c r="J102" s="28"/>
      <c r="K102" s="28">
        <v>736</v>
      </c>
      <c r="L102" s="28">
        <v>21</v>
      </c>
      <c r="M102" s="28" t="s">
        <v>43</v>
      </c>
      <c r="N102" s="28" t="s">
        <v>566</v>
      </c>
      <c r="O102" s="28" t="s">
        <v>567</v>
      </c>
      <c r="P102" s="28"/>
      <c r="Q102" s="28" t="s">
        <v>568</v>
      </c>
      <c r="R102" s="28"/>
      <c r="S102" s="28"/>
      <c r="T102" s="28"/>
      <c r="U102" s="28">
        <v>2</v>
      </c>
      <c r="V102" s="29"/>
      <c r="W102" s="28"/>
      <c r="X102" s="28"/>
      <c r="Y102" s="28" t="s">
        <v>38</v>
      </c>
      <c r="Z102" s="30">
        <f>2+2</f>
        <v>4</v>
      </c>
      <c r="AA102" s="31"/>
      <c r="AB102" s="30">
        <f>+Z102+1+1</f>
        <v>6</v>
      </c>
      <c r="AC102" s="31"/>
      <c r="AD102" s="30">
        <f>+Z102*2</f>
        <v>8</v>
      </c>
      <c r="AE102" s="31"/>
      <c r="AF102" s="28"/>
      <c r="AG102" s="28"/>
      <c r="AH102" s="28">
        <f>+(109.3+32.72/2+54.26)</f>
        <v>179.92</v>
      </c>
      <c r="AI102" s="28"/>
      <c r="AJ102" s="110"/>
      <c r="AK102" s="111"/>
      <c r="AL102" s="32">
        <v>299.42</v>
      </c>
      <c r="AM102" s="32">
        <f>+(109.3+32.72+54.26)/AL102</f>
        <v>0.65553403246276121</v>
      </c>
      <c r="AN102" s="32">
        <f>+AH102/AL102</f>
        <v>0.60089506378999391</v>
      </c>
      <c r="AO102" s="32">
        <f>+(2+3+28)/(1+1+7)</f>
        <v>3.6666666666666665</v>
      </c>
      <c r="AP102" s="32">
        <f>+(1294500+((5*253374+202642*6+5*152003+101350*6)/22*AH102))</f>
        <v>32787345.138181813</v>
      </c>
      <c r="AQ102" s="108">
        <v>536508.68000000005</v>
      </c>
      <c r="AR102" s="32" t="s">
        <v>39</v>
      </c>
      <c r="AS102" s="34" t="s">
        <v>569</v>
      </c>
      <c r="AT102" s="35">
        <v>45553</v>
      </c>
      <c r="AU102" s="36"/>
      <c r="AV102" s="37">
        <v>45401</v>
      </c>
      <c r="AW102" s="38"/>
      <c r="AX102" s="38"/>
      <c r="AY102" s="38"/>
      <c r="AZ102" s="38"/>
      <c r="BA102" s="38"/>
      <c r="BB102" s="38"/>
      <c r="BC102" s="38"/>
      <c r="BD102" s="38"/>
      <c r="BE102" s="38"/>
      <c r="BF102" s="38"/>
      <c r="BG102" s="38"/>
      <c r="BH102" s="39"/>
      <c r="BI102" s="39"/>
      <c r="BJ102" s="39"/>
      <c r="BK102" s="39"/>
      <c r="BL102" s="39"/>
      <c r="BM102" s="39"/>
      <c r="BN102" s="39"/>
      <c r="BO102" s="39"/>
      <c r="BP102" s="39"/>
      <c r="BQ102" s="39"/>
      <c r="BR102" s="39"/>
      <c r="BS102" s="39"/>
      <c r="BT102" s="39"/>
      <c r="BU102" s="39"/>
      <c r="BV102" s="39"/>
      <c r="BW102" s="39"/>
      <c r="IQ102" s="39"/>
      <c r="IR102" s="39"/>
      <c r="IS102" s="39"/>
      <c r="IT102" s="39"/>
      <c r="IU102" s="39"/>
      <c r="IV102" s="39"/>
      <c r="IW102" s="39"/>
    </row>
    <row r="103" spans="1:257" s="40" customFormat="1" ht="51">
      <c r="A103" s="149"/>
      <c r="B103" s="148">
        <v>102</v>
      </c>
      <c r="C103" s="147" t="s">
        <v>570</v>
      </c>
      <c r="D103" s="143">
        <v>45510</v>
      </c>
      <c r="E103" s="26" t="s">
        <v>48</v>
      </c>
      <c r="F103" s="27">
        <v>62785</v>
      </c>
      <c r="G103" s="27">
        <v>170320</v>
      </c>
      <c r="H103" s="27">
        <v>34263</v>
      </c>
      <c r="I103" s="28">
        <v>327</v>
      </c>
      <c r="J103" s="28"/>
      <c r="K103" s="28">
        <v>4</v>
      </c>
      <c r="L103" s="28">
        <v>9</v>
      </c>
      <c r="M103" s="28" t="s">
        <v>43</v>
      </c>
      <c r="N103" s="28" t="s">
        <v>571</v>
      </c>
      <c r="O103" s="28" t="s">
        <v>572</v>
      </c>
      <c r="P103" s="28"/>
      <c r="Q103" s="28" t="s">
        <v>551</v>
      </c>
      <c r="R103" s="28" t="s">
        <v>551</v>
      </c>
      <c r="S103" s="28" t="s">
        <v>551</v>
      </c>
      <c r="T103" s="28" t="s">
        <v>53</v>
      </c>
      <c r="U103" s="28"/>
      <c r="V103" s="29"/>
      <c r="W103" s="28"/>
      <c r="X103" s="28"/>
      <c r="Y103" s="28" t="s">
        <v>83</v>
      </c>
      <c r="Z103" s="30"/>
      <c r="AA103" s="31">
        <v>2</v>
      </c>
      <c r="AB103" s="30"/>
      <c r="AC103" s="31">
        <f>+AA103+1</f>
        <v>3</v>
      </c>
      <c r="AD103" s="30"/>
      <c r="AE103" s="31">
        <f>+AA103*2</f>
        <v>4</v>
      </c>
      <c r="AF103" s="28"/>
      <c r="AG103" s="28"/>
      <c r="AH103" s="28"/>
      <c r="AI103" s="28"/>
      <c r="AJ103" s="110">
        <f>117.23+2.22/2</f>
        <v>118.34</v>
      </c>
      <c r="AK103" s="111">
        <f>152.69+7.84/2</f>
        <v>156.60999999999999</v>
      </c>
      <c r="AL103" s="32">
        <v>321</v>
      </c>
      <c r="AM103" s="32">
        <f>+(152.69+7.84)/AL103</f>
        <v>0.50009345794392523</v>
      </c>
      <c r="AN103" s="32">
        <f>+(AJ103+AK103)/AL103</f>
        <v>0.8565420560747663</v>
      </c>
      <c r="AO103" s="32"/>
      <c r="AP103" s="32">
        <f>+(AK103*202642)+((8*253374+5*202642+152003*10+2*101350)/25*AJ103)</f>
        <v>54281578.5352</v>
      </c>
      <c r="AQ103" s="108">
        <v>198630.05</v>
      </c>
      <c r="AR103" s="32" t="s">
        <v>198</v>
      </c>
      <c r="AS103" s="34" t="s">
        <v>573</v>
      </c>
      <c r="AT103" s="35">
        <v>45551</v>
      </c>
      <c r="AU103" s="36"/>
      <c r="AV103" s="37">
        <v>45547</v>
      </c>
      <c r="AW103" s="38"/>
      <c r="AX103" s="38"/>
      <c r="AY103" s="38"/>
      <c r="AZ103" s="38"/>
      <c r="BA103" s="38"/>
      <c r="BB103" s="38"/>
      <c r="BC103" s="38"/>
      <c r="BD103" s="38"/>
      <c r="BE103" s="38"/>
      <c r="BF103" s="38"/>
      <c r="BG103" s="38"/>
      <c r="BH103" s="39"/>
      <c r="BI103" s="39"/>
      <c r="BJ103" s="39"/>
      <c r="BK103" s="39"/>
      <c r="BL103" s="39"/>
      <c r="BM103" s="39"/>
      <c r="BN103" s="39"/>
      <c r="BO103" s="39"/>
      <c r="BP103" s="39"/>
      <c r="BQ103" s="39"/>
      <c r="BR103" s="39"/>
      <c r="BS103" s="39"/>
      <c r="BT103" s="39"/>
      <c r="BU103" s="39"/>
      <c r="BV103" s="39"/>
      <c r="BW103" s="39"/>
      <c r="IQ103" s="39"/>
      <c r="IR103" s="39"/>
      <c r="IS103" s="39"/>
      <c r="IT103" s="39"/>
      <c r="IU103" s="39"/>
      <c r="IV103" s="39"/>
      <c r="IW103" s="39"/>
    </row>
    <row r="104" spans="1:257" s="40" customFormat="1" ht="38.25">
      <c r="A104" s="149"/>
      <c r="B104" s="148">
        <v>103</v>
      </c>
      <c r="C104" s="145" t="s">
        <v>574</v>
      </c>
      <c r="D104" s="146">
        <v>45481</v>
      </c>
      <c r="E104" s="43" t="s">
        <v>332</v>
      </c>
      <c r="F104" s="27">
        <v>59487</v>
      </c>
      <c r="G104" s="27">
        <v>60569</v>
      </c>
      <c r="H104" s="27">
        <v>30170</v>
      </c>
      <c r="I104" s="28">
        <v>325</v>
      </c>
      <c r="J104" s="28"/>
      <c r="K104" s="10"/>
      <c r="L104" s="28">
        <v>5</v>
      </c>
      <c r="M104" s="10" t="s">
        <v>43</v>
      </c>
      <c r="N104" s="28" t="s">
        <v>575</v>
      </c>
      <c r="O104" s="10" t="s">
        <v>576</v>
      </c>
      <c r="P104" s="28" t="s">
        <v>577</v>
      </c>
      <c r="Q104" s="28"/>
      <c r="R104" s="28" t="s">
        <v>578</v>
      </c>
      <c r="S104" s="28"/>
      <c r="T104" s="28" t="s">
        <v>579</v>
      </c>
      <c r="U104" s="28"/>
      <c r="V104" s="29">
        <v>1</v>
      </c>
      <c r="W104" s="28"/>
      <c r="X104" s="28"/>
      <c r="Y104" s="10" t="s">
        <v>54</v>
      </c>
      <c r="Z104" s="30"/>
      <c r="AA104" s="31"/>
      <c r="AB104" s="30"/>
      <c r="AC104" s="31"/>
      <c r="AD104" s="30"/>
      <c r="AE104" s="31"/>
      <c r="AF104" s="28"/>
      <c r="AG104" s="28"/>
      <c r="AH104" s="28"/>
      <c r="AI104" s="28"/>
      <c r="AJ104" s="110"/>
      <c r="AK104" s="111"/>
      <c r="AL104" s="32">
        <v>3955</v>
      </c>
      <c r="AM104" s="32"/>
      <c r="AN104" s="32"/>
      <c r="AO104" s="32"/>
      <c r="AP104" s="32">
        <v>5635000</v>
      </c>
      <c r="AQ104" s="108">
        <v>314080</v>
      </c>
      <c r="AR104" s="32" t="s">
        <v>39</v>
      </c>
      <c r="AS104" s="34" t="s">
        <v>580</v>
      </c>
      <c r="AT104" s="35">
        <v>45553</v>
      </c>
      <c r="AU104" s="36"/>
      <c r="AV104" s="37"/>
      <c r="AW104" s="38"/>
      <c r="AX104" s="38"/>
      <c r="AY104" s="38"/>
      <c r="AZ104" s="38"/>
      <c r="BA104" s="38"/>
      <c r="BB104" s="38"/>
      <c r="BC104" s="38"/>
      <c r="BD104" s="38"/>
      <c r="BE104" s="38"/>
      <c r="BF104" s="38"/>
      <c r="BG104" s="38"/>
      <c r="BH104" s="39"/>
      <c r="BI104" s="39"/>
      <c r="BJ104" s="39"/>
      <c r="BK104" s="39"/>
      <c r="BL104" s="39"/>
      <c r="BM104" s="39"/>
      <c r="BN104" s="39"/>
      <c r="BO104" s="39"/>
      <c r="BP104" s="39"/>
      <c r="BQ104" s="39"/>
      <c r="BR104" s="39"/>
      <c r="BS104" s="39"/>
      <c r="BT104" s="39"/>
      <c r="BU104" s="39"/>
      <c r="BV104" s="39"/>
      <c r="BW104" s="39"/>
      <c r="IQ104" s="39"/>
      <c r="IR104" s="39"/>
      <c r="IS104" s="39"/>
      <c r="IT104" s="39"/>
      <c r="IU104" s="39"/>
      <c r="IV104" s="39"/>
      <c r="IW104" s="39"/>
    </row>
    <row r="105" spans="1:257" s="40" customFormat="1" ht="76.5">
      <c r="A105" s="149"/>
      <c r="B105" s="148">
        <v>104</v>
      </c>
      <c r="C105" s="147" t="s">
        <v>581</v>
      </c>
      <c r="D105" s="143">
        <v>45504</v>
      </c>
      <c r="E105" s="26" t="s">
        <v>42</v>
      </c>
      <c r="F105" s="27">
        <v>56171</v>
      </c>
      <c r="G105" s="27">
        <v>165124</v>
      </c>
      <c r="H105" s="27">
        <v>33555</v>
      </c>
      <c r="I105" s="28">
        <v>1</v>
      </c>
      <c r="J105" s="28"/>
      <c r="K105" s="28"/>
      <c r="L105" s="28">
        <v>59</v>
      </c>
      <c r="M105" s="28" t="s">
        <v>582</v>
      </c>
      <c r="N105" s="28" t="s">
        <v>583</v>
      </c>
      <c r="O105" s="28" t="s">
        <v>584</v>
      </c>
      <c r="P105" s="28"/>
      <c r="Q105" s="28" t="s">
        <v>578</v>
      </c>
      <c r="R105" s="28"/>
      <c r="S105" s="28"/>
      <c r="T105" s="28"/>
      <c r="U105" s="28">
        <v>1</v>
      </c>
      <c r="V105" s="29"/>
      <c r="W105" s="28"/>
      <c r="X105" s="28"/>
      <c r="Y105" s="28" t="s">
        <v>54</v>
      </c>
      <c r="Z105" s="30">
        <v>1</v>
      </c>
      <c r="AA105" s="31"/>
      <c r="AB105" s="30">
        <f>+Z105</f>
        <v>1</v>
      </c>
      <c r="AC105" s="31"/>
      <c r="AD105" s="30">
        <f>+Z105*2</f>
        <v>2</v>
      </c>
      <c r="AE105" s="31"/>
      <c r="AF105" s="28"/>
      <c r="AG105" s="28"/>
      <c r="AH105" s="28">
        <f>82.78+7.9/2</f>
        <v>86.73</v>
      </c>
      <c r="AI105" s="28"/>
      <c r="AJ105" s="110"/>
      <c r="AK105" s="111"/>
      <c r="AL105" s="32">
        <v>5000</v>
      </c>
      <c r="AM105" s="32">
        <f>+(82.78+7.9)/AL105</f>
        <v>1.8136000000000003E-2</v>
      </c>
      <c r="AN105" s="32">
        <f>+AH105/AL105</f>
        <v>1.7346E-2</v>
      </c>
      <c r="AO105" s="32"/>
      <c r="AP105" s="32">
        <f>2710000+((5*253374+202642*6+6*152003+101350*3)/20*AH105)</f>
        <v>18749802.835000001</v>
      </c>
      <c r="AQ105" s="108">
        <v>385151.18</v>
      </c>
      <c r="AR105" s="32" t="s">
        <v>39</v>
      </c>
      <c r="AS105" s="34" t="s">
        <v>585</v>
      </c>
      <c r="AT105" s="35">
        <v>45554</v>
      </c>
      <c r="AU105" s="36"/>
      <c r="AV105" s="37">
        <v>45552</v>
      </c>
      <c r="AW105" s="38"/>
      <c r="AX105" s="38"/>
      <c r="AY105" s="38"/>
      <c r="AZ105" s="38"/>
      <c r="BA105" s="38"/>
      <c r="BB105" s="38"/>
      <c r="BC105" s="38"/>
      <c r="BD105" s="38"/>
      <c r="BE105" s="38"/>
      <c r="BF105" s="38"/>
      <c r="BG105" s="38"/>
      <c r="BH105" s="39"/>
      <c r="BI105" s="39"/>
      <c r="BJ105" s="39"/>
      <c r="BK105" s="39"/>
      <c r="BL105" s="39"/>
      <c r="BM105" s="39"/>
      <c r="BN105" s="39"/>
      <c r="BO105" s="39"/>
      <c r="BP105" s="39"/>
      <c r="BQ105" s="39"/>
      <c r="BR105" s="39"/>
      <c r="BS105" s="39"/>
      <c r="BT105" s="39"/>
      <c r="BU105" s="39"/>
      <c r="BV105" s="39"/>
      <c r="BW105" s="39"/>
      <c r="IQ105" s="39"/>
      <c r="IR105" s="39"/>
      <c r="IS105" s="39"/>
      <c r="IT105" s="39"/>
      <c r="IU105" s="39"/>
      <c r="IV105" s="39"/>
      <c r="IW105" s="39"/>
    </row>
    <row r="106" spans="1:257" s="40" customFormat="1" ht="63.75">
      <c r="A106" s="149"/>
      <c r="B106" s="148">
        <v>105</v>
      </c>
      <c r="C106" s="147" t="s">
        <v>586</v>
      </c>
      <c r="D106" s="150">
        <v>45472</v>
      </c>
      <c r="E106" s="43" t="s">
        <v>42</v>
      </c>
      <c r="F106" s="27">
        <v>60009</v>
      </c>
      <c r="G106" s="27">
        <v>163933</v>
      </c>
      <c r="H106" s="27">
        <v>33445</v>
      </c>
      <c r="I106" s="28">
        <v>111</v>
      </c>
      <c r="J106" s="28"/>
      <c r="K106" s="10">
        <v>6</v>
      </c>
      <c r="L106" s="28">
        <v>4</v>
      </c>
      <c r="M106" s="10" t="s">
        <v>43</v>
      </c>
      <c r="N106" s="28" t="s">
        <v>587</v>
      </c>
      <c r="O106" s="28" t="s">
        <v>588</v>
      </c>
      <c r="P106" s="28"/>
      <c r="Q106" s="28" t="s">
        <v>589</v>
      </c>
      <c r="R106" s="28"/>
      <c r="S106" s="28"/>
      <c r="T106" s="28"/>
      <c r="U106" s="28">
        <v>2</v>
      </c>
      <c r="V106" s="29"/>
      <c r="W106" s="28"/>
      <c r="X106" s="28"/>
      <c r="Y106" s="10" t="s">
        <v>38</v>
      </c>
      <c r="Z106" s="30">
        <v>1</v>
      </c>
      <c r="AA106" s="31"/>
      <c r="AB106" s="30">
        <f>+Z106+1</f>
        <v>2</v>
      </c>
      <c r="AC106" s="31"/>
      <c r="AD106" s="30">
        <f>+Z106*2</f>
        <v>2</v>
      </c>
      <c r="AE106" s="31"/>
      <c r="AF106" s="28"/>
      <c r="AG106" s="28"/>
      <c r="AH106" s="28">
        <f>114.55+187.4+32.9/2</f>
        <v>318.39999999999998</v>
      </c>
      <c r="AI106" s="28"/>
      <c r="AJ106" s="110"/>
      <c r="AK106" s="111"/>
      <c r="AL106" s="32">
        <v>2160</v>
      </c>
      <c r="AM106" s="32">
        <f>+(114.55+187.4+32.9)/AL106</f>
        <v>0.15502314814814813</v>
      </c>
      <c r="AN106" s="32">
        <f>+AH106/AL106</f>
        <v>0.1474074074074074</v>
      </c>
      <c r="AO106" s="32">
        <f>+(4+6+20)/(2+2+5)</f>
        <v>3.3333333333333335</v>
      </c>
      <c r="AP106" s="32">
        <f>+(5*253374+202642*8+7*15200+101350*1)/21*AH106</f>
        <v>46937557.63809523</v>
      </c>
      <c r="AQ106" s="108">
        <v>699088.65</v>
      </c>
      <c r="AR106" s="32" t="s">
        <v>39</v>
      </c>
      <c r="AS106" s="34" t="s">
        <v>590</v>
      </c>
      <c r="AT106" s="35">
        <v>45554</v>
      </c>
      <c r="AU106" s="36"/>
      <c r="AV106" s="37">
        <v>45553</v>
      </c>
      <c r="AW106" s="38"/>
      <c r="AX106" s="38"/>
      <c r="AY106" s="38"/>
      <c r="AZ106" s="38"/>
      <c r="BA106" s="38"/>
      <c r="BB106" s="38"/>
      <c r="BC106" s="38"/>
      <c r="BD106" s="38"/>
      <c r="BE106" s="38"/>
      <c r="BF106" s="38"/>
      <c r="BG106" s="38"/>
      <c r="BH106" s="39"/>
      <c r="BI106" s="39"/>
      <c r="BJ106" s="39"/>
      <c r="BK106" s="39"/>
      <c r="BL106" s="39"/>
      <c r="BM106" s="39"/>
      <c r="BN106" s="39"/>
      <c r="BO106" s="39"/>
      <c r="BP106" s="39"/>
      <c r="BQ106" s="39"/>
      <c r="BR106" s="39"/>
      <c r="BS106" s="39"/>
      <c r="BT106" s="39"/>
      <c r="BU106" s="39"/>
      <c r="BV106" s="39"/>
      <c r="BW106" s="39"/>
      <c r="IQ106" s="39"/>
      <c r="IR106" s="39"/>
      <c r="IS106" s="39"/>
      <c r="IT106" s="39"/>
      <c r="IU106" s="39"/>
      <c r="IV106" s="39"/>
      <c r="IW106" s="39"/>
    </row>
    <row r="107" spans="1:257" s="40" customFormat="1" ht="38.25">
      <c r="A107" s="149" t="s">
        <v>591</v>
      </c>
      <c r="B107" s="151">
        <v>106</v>
      </c>
      <c r="C107" s="147" t="s">
        <v>592</v>
      </c>
      <c r="D107" s="150">
        <v>45481</v>
      </c>
      <c r="E107" s="43" t="s">
        <v>48</v>
      </c>
      <c r="F107" s="27">
        <v>53176</v>
      </c>
      <c r="G107" s="27">
        <v>162700</v>
      </c>
      <c r="H107" s="27">
        <v>33255</v>
      </c>
      <c r="I107" s="28">
        <v>327</v>
      </c>
      <c r="J107" s="28"/>
      <c r="K107" s="10">
        <v>11</v>
      </c>
      <c r="L107" s="28">
        <v>16</v>
      </c>
      <c r="M107" s="10" t="s">
        <v>43</v>
      </c>
      <c r="N107" s="28" t="s">
        <v>593</v>
      </c>
      <c r="O107" s="28" t="s">
        <v>594</v>
      </c>
      <c r="P107" s="28"/>
      <c r="Q107" s="28" t="s">
        <v>264</v>
      </c>
      <c r="R107" s="28" t="s">
        <v>264</v>
      </c>
      <c r="S107" s="28" t="s">
        <v>264</v>
      </c>
      <c r="T107" s="28" t="s">
        <v>595</v>
      </c>
      <c r="U107" s="28"/>
      <c r="V107" s="29">
        <v>1</v>
      </c>
      <c r="W107" s="28"/>
      <c r="X107" s="28"/>
      <c r="Y107" s="10" t="s">
        <v>54</v>
      </c>
      <c r="Z107" s="30"/>
      <c r="AA107" s="31">
        <v>2</v>
      </c>
      <c r="AB107" s="30"/>
      <c r="AC107" s="31">
        <f>+AA107+1</f>
        <v>3</v>
      </c>
      <c r="AD107" s="30"/>
      <c r="AE107" s="31">
        <f>+AA107*2</f>
        <v>4</v>
      </c>
      <c r="AF107" s="28"/>
      <c r="AG107" s="28"/>
      <c r="AH107" s="28"/>
      <c r="AI107" s="28"/>
      <c r="AJ107" s="110">
        <f>87.69+23.35/2</f>
        <v>99.364999999999995</v>
      </c>
      <c r="AK107" s="111"/>
      <c r="AL107" s="32">
        <v>400</v>
      </c>
      <c r="AM107" s="32">
        <f>+(87.69+23.35)/AL107</f>
        <v>0.27759999999999996</v>
      </c>
      <c r="AN107" s="32">
        <f>+AJ107/AL107</f>
        <v>0.24841249999999998</v>
      </c>
      <c r="AO107" s="32"/>
      <c r="AP107" s="32">
        <f>+(6*253374+202642*5+152003*6+4*101350)/22*AJ107</f>
        <v>17392813.467272725</v>
      </c>
      <c r="AQ107" s="152">
        <v>79474.070000000007</v>
      </c>
      <c r="AR107" s="32" t="s">
        <v>265</v>
      </c>
      <c r="AS107" s="34" t="s">
        <v>596</v>
      </c>
      <c r="AT107" s="35">
        <v>45569</v>
      </c>
      <c r="AU107" s="36"/>
      <c r="AV107" s="37" t="s">
        <v>597</v>
      </c>
      <c r="AW107" s="38"/>
      <c r="AX107" s="38"/>
      <c r="AY107" s="38"/>
      <c r="AZ107" s="38"/>
      <c r="BA107" s="38"/>
      <c r="BB107" s="38"/>
      <c r="BC107" s="38"/>
      <c r="BD107" s="38"/>
      <c r="BE107" s="38"/>
      <c r="BF107" s="38"/>
      <c r="BG107" s="38"/>
      <c r="BH107" s="39"/>
      <c r="BI107" s="39"/>
      <c r="BJ107" s="39"/>
      <c r="BK107" s="39"/>
      <c r="BL107" s="39"/>
      <c r="BM107" s="39"/>
      <c r="BN107" s="39"/>
      <c r="BO107" s="39"/>
      <c r="BP107" s="39"/>
      <c r="BQ107" s="39"/>
      <c r="BR107" s="39"/>
      <c r="BS107" s="39"/>
      <c r="BT107" s="39"/>
      <c r="BU107" s="39"/>
      <c r="BV107" s="39"/>
      <c r="BW107" s="39"/>
      <c r="IQ107" s="39"/>
      <c r="IR107" s="39"/>
      <c r="IS107" s="39"/>
      <c r="IT107" s="39"/>
      <c r="IU107" s="39"/>
      <c r="IV107" s="39"/>
      <c r="IW107" s="39"/>
    </row>
    <row r="108" spans="1:257" s="40" customFormat="1" ht="76.5">
      <c r="A108" s="149"/>
      <c r="B108" s="93">
        <v>107</v>
      </c>
      <c r="C108" s="147">
        <v>564782</v>
      </c>
      <c r="D108" s="150">
        <v>45540</v>
      </c>
      <c r="E108" s="193" t="s">
        <v>332</v>
      </c>
      <c r="F108" s="27">
        <v>57682</v>
      </c>
      <c r="G108" s="27">
        <v>1034</v>
      </c>
      <c r="H108" s="27">
        <v>4449</v>
      </c>
      <c r="I108" s="28"/>
      <c r="J108" s="28"/>
      <c r="K108" s="28">
        <v>215</v>
      </c>
      <c r="L108" s="28">
        <v>9</v>
      </c>
      <c r="M108" s="28" t="s">
        <v>79</v>
      </c>
      <c r="N108" s="28" t="s">
        <v>598</v>
      </c>
      <c r="O108" s="28" t="s">
        <v>599</v>
      </c>
      <c r="P108" s="28"/>
      <c r="Q108" s="28" t="s">
        <v>517</v>
      </c>
      <c r="R108" s="28" t="s">
        <v>517</v>
      </c>
      <c r="S108" s="28" t="s">
        <v>517</v>
      </c>
      <c r="T108" s="28" t="s">
        <v>600</v>
      </c>
      <c r="U108" s="28"/>
      <c r="V108" s="29">
        <v>1</v>
      </c>
      <c r="W108" s="28"/>
      <c r="X108" s="28"/>
      <c r="Y108" s="28" t="s">
        <v>54</v>
      </c>
      <c r="Z108" s="30"/>
      <c r="AA108" s="31"/>
      <c r="AB108" s="30"/>
      <c r="AC108" s="31"/>
      <c r="AD108" s="30"/>
      <c r="AE108" s="31"/>
      <c r="AF108" s="28"/>
      <c r="AG108" s="28"/>
      <c r="AH108" s="28"/>
      <c r="AI108" s="28"/>
      <c r="AJ108" s="110">
        <v>51.73</v>
      </c>
      <c r="AK108" s="111"/>
      <c r="AL108" s="32">
        <v>291.14999999999998</v>
      </c>
      <c r="AM108" s="32"/>
      <c r="AN108" s="32"/>
      <c r="AO108" s="32">
        <v>610250.19999999995</v>
      </c>
      <c r="AP108" s="32">
        <f>+AJ108*50000</f>
        <v>2586500</v>
      </c>
      <c r="AQ108" s="152">
        <v>48284.51</v>
      </c>
      <c r="AR108" s="32" t="s">
        <v>39</v>
      </c>
      <c r="AS108" s="34" t="s">
        <v>601</v>
      </c>
      <c r="AT108" s="35">
        <v>45569</v>
      </c>
      <c r="AU108" s="36"/>
      <c r="AV108" s="37">
        <v>45541</v>
      </c>
      <c r="AW108" s="38"/>
      <c r="AX108" s="38"/>
      <c r="AY108" s="38"/>
      <c r="AZ108" s="38"/>
      <c r="BA108" s="38"/>
      <c r="BB108" s="38"/>
      <c r="BC108" s="38"/>
      <c r="BD108" s="38"/>
      <c r="BE108" s="38"/>
      <c r="BF108" s="38"/>
      <c r="BG108" s="38"/>
      <c r="BH108" s="39"/>
      <c r="BI108" s="39"/>
      <c r="BJ108" s="39"/>
      <c r="BK108" s="39"/>
      <c r="BL108" s="39"/>
      <c r="BM108" s="39"/>
      <c r="BN108" s="39"/>
      <c r="BO108" s="39"/>
      <c r="BP108" s="39"/>
      <c r="BQ108" s="39"/>
      <c r="BR108" s="39"/>
      <c r="BS108" s="39"/>
      <c r="BT108" s="39"/>
      <c r="BU108" s="39"/>
      <c r="BV108" s="39"/>
      <c r="BW108" s="39"/>
      <c r="IQ108" s="39"/>
      <c r="IR108" s="39"/>
      <c r="IS108" s="39"/>
      <c r="IT108" s="39"/>
      <c r="IU108" s="39"/>
      <c r="IV108" s="39"/>
      <c r="IW108" s="39"/>
    </row>
    <row r="109" spans="1:257" s="40" customFormat="1" ht="76.5">
      <c r="A109" s="149"/>
      <c r="B109" s="151">
        <v>108</v>
      </c>
      <c r="C109" s="147">
        <v>565077</v>
      </c>
      <c r="D109" s="150">
        <v>45552</v>
      </c>
      <c r="E109" s="26" t="s">
        <v>42</v>
      </c>
      <c r="F109" s="27">
        <v>36265</v>
      </c>
      <c r="G109" s="27">
        <v>135780</v>
      </c>
      <c r="H109" s="27">
        <v>7605</v>
      </c>
      <c r="I109" s="28"/>
      <c r="J109" s="28"/>
      <c r="K109" s="28">
        <v>406</v>
      </c>
      <c r="L109" s="28">
        <v>10</v>
      </c>
      <c r="M109" s="28" t="s">
        <v>43</v>
      </c>
      <c r="N109" s="28" t="s">
        <v>602</v>
      </c>
      <c r="O109" s="28" t="s">
        <v>603</v>
      </c>
      <c r="P109" s="28"/>
      <c r="Q109" s="28" t="s">
        <v>69</v>
      </c>
      <c r="R109" s="28"/>
      <c r="S109" s="28"/>
      <c r="T109" s="28"/>
      <c r="U109" s="28">
        <v>2</v>
      </c>
      <c r="V109" s="29"/>
      <c r="W109" s="28"/>
      <c r="X109" s="28"/>
      <c r="Y109" s="28" t="s">
        <v>604</v>
      </c>
      <c r="Z109" s="30">
        <f>2+1</f>
        <v>3</v>
      </c>
      <c r="AA109" s="31"/>
      <c r="AB109" s="30">
        <f>+Z109+1+1</f>
        <v>5</v>
      </c>
      <c r="AC109" s="31"/>
      <c r="AD109" s="30">
        <f>+Z109*2</f>
        <v>6</v>
      </c>
      <c r="AE109" s="31"/>
      <c r="AF109" s="28">
        <f>63.64+4.75/2</f>
        <v>66.015000000000001</v>
      </c>
      <c r="AG109" s="28"/>
      <c r="AH109" s="28">
        <f>88.93+32.83-AF109</f>
        <v>55.745000000000005</v>
      </c>
      <c r="AI109" s="28"/>
      <c r="AJ109" s="110"/>
      <c r="AK109" s="111"/>
      <c r="AL109" s="32">
        <v>185.13</v>
      </c>
      <c r="AM109" s="32">
        <f>+(88.93+32.83)/AL109</f>
        <v>0.65769999459839035</v>
      </c>
      <c r="AN109" s="32">
        <f>+(AF109+AH109)/AL109</f>
        <v>0.65769999459839035</v>
      </c>
      <c r="AO109" s="32">
        <f>+(4+6+20)/(2+2+5)</f>
        <v>3.3333333333333335</v>
      </c>
      <c r="AP109" s="32">
        <f>+(5*253374+202642*7+7*152003+101350*1)/20*AH109</f>
        <v>10732961.12875</v>
      </c>
      <c r="AQ109" s="152">
        <v>302266.49</v>
      </c>
      <c r="AR109" s="32" t="s">
        <v>39</v>
      </c>
      <c r="AS109" s="34" t="s">
        <v>605</v>
      </c>
      <c r="AT109" s="35">
        <v>45569</v>
      </c>
      <c r="AU109" s="36"/>
      <c r="AV109" s="37">
        <v>45553</v>
      </c>
      <c r="AW109" s="38"/>
      <c r="AX109" s="38"/>
      <c r="AY109" s="38"/>
      <c r="AZ109" s="38"/>
      <c r="BA109" s="38"/>
      <c r="BB109" s="38"/>
      <c r="BC109" s="38"/>
      <c r="BD109" s="38"/>
      <c r="BE109" s="38"/>
      <c r="BF109" s="38"/>
      <c r="BG109" s="38"/>
      <c r="BH109" s="39"/>
      <c r="BI109" s="39"/>
      <c r="BJ109" s="39"/>
      <c r="BK109" s="39"/>
      <c r="BL109" s="39"/>
      <c r="BM109" s="39"/>
      <c r="BN109" s="39"/>
      <c r="BO109" s="39"/>
      <c r="BP109" s="39"/>
      <c r="BQ109" s="39"/>
      <c r="BR109" s="39"/>
      <c r="BS109" s="39"/>
      <c r="BT109" s="39"/>
      <c r="BU109" s="39"/>
      <c r="BV109" s="39"/>
      <c r="BW109" s="39"/>
      <c r="IQ109" s="39"/>
      <c r="IR109" s="39"/>
      <c r="IS109" s="39"/>
      <c r="IT109" s="39"/>
      <c r="IU109" s="39"/>
      <c r="IV109" s="39"/>
      <c r="IW109" s="39"/>
    </row>
    <row r="110" spans="1:257" s="40" customFormat="1" ht="63.75">
      <c r="A110" s="149"/>
      <c r="B110" s="151">
        <v>109</v>
      </c>
      <c r="C110" s="147">
        <v>565941</v>
      </c>
      <c r="D110" s="150">
        <v>45560</v>
      </c>
      <c r="E110" s="26" t="s">
        <v>42</v>
      </c>
      <c r="F110" s="27">
        <v>27654</v>
      </c>
      <c r="G110" s="27">
        <v>140</v>
      </c>
      <c r="H110" s="27">
        <v>1278</v>
      </c>
      <c r="I110" s="28"/>
      <c r="J110" s="28"/>
      <c r="K110" s="28">
        <v>117</v>
      </c>
      <c r="L110" s="28">
        <v>21</v>
      </c>
      <c r="M110" s="28" t="s">
        <v>79</v>
      </c>
      <c r="N110" s="28" t="s">
        <v>606</v>
      </c>
      <c r="O110" s="28" t="s">
        <v>607</v>
      </c>
      <c r="P110" s="28"/>
      <c r="Q110" s="28" t="s">
        <v>69</v>
      </c>
      <c r="R110" s="28"/>
      <c r="S110" s="28"/>
      <c r="T110" s="28"/>
      <c r="U110" s="28">
        <v>1</v>
      </c>
      <c r="V110" s="29"/>
      <c r="W110" s="28"/>
      <c r="X110" s="28"/>
      <c r="Y110" s="28" t="s">
        <v>54</v>
      </c>
      <c r="Z110" s="30">
        <v>1</v>
      </c>
      <c r="AA110" s="31"/>
      <c r="AB110" s="30">
        <f>+Z110+1</f>
        <v>2</v>
      </c>
      <c r="AC110" s="31"/>
      <c r="AD110" s="30">
        <f>+Z110*2</f>
        <v>2</v>
      </c>
      <c r="AE110" s="31"/>
      <c r="AF110" s="28"/>
      <c r="AG110" s="28"/>
      <c r="AH110" s="28">
        <v>46.76</v>
      </c>
      <c r="AI110" s="28"/>
      <c r="AJ110" s="110"/>
      <c r="AK110" s="111"/>
      <c r="AL110" s="32">
        <v>276.74</v>
      </c>
      <c r="AM110" s="32">
        <f>+AH110/AL110</f>
        <v>0.1689672616896726</v>
      </c>
      <c r="AN110" s="32">
        <f>+AH110/AL110</f>
        <v>0.1689672616896726</v>
      </c>
      <c r="AO110" s="32">
        <f>+(2+24+10)/(1+6+2)</f>
        <v>4</v>
      </c>
      <c r="AP110" s="32">
        <f>+(2*202642+152003*11+7*101350)/20*AH110</f>
        <v>6515461.2460000003</v>
      </c>
      <c r="AQ110" s="152">
        <v>96304.68</v>
      </c>
      <c r="AR110" s="32" t="s">
        <v>39</v>
      </c>
      <c r="AS110" s="34" t="s">
        <v>608</v>
      </c>
      <c r="AT110" s="35">
        <v>45569</v>
      </c>
      <c r="AU110" s="36"/>
      <c r="AV110" s="37">
        <v>45562</v>
      </c>
      <c r="AW110" s="38"/>
      <c r="AX110" s="38"/>
      <c r="AY110" s="38"/>
      <c r="AZ110" s="38"/>
      <c r="BA110" s="38"/>
      <c r="BB110" s="38"/>
      <c r="BC110" s="38"/>
      <c r="BD110" s="38"/>
      <c r="BE110" s="38"/>
      <c r="BF110" s="38"/>
      <c r="BG110" s="38"/>
      <c r="BH110" s="39"/>
      <c r="BI110" s="39"/>
      <c r="BJ110" s="39"/>
      <c r="BK110" s="39"/>
      <c r="BL110" s="39"/>
      <c r="BM110" s="39"/>
      <c r="BN110" s="39"/>
      <c r="BO110" s="39"/>
      <c r="BP110" s="39"/>
      <c r="BQ110" s="39"/>
      <c r="BR110" s="39"/>
      <c r="BS110" s="39"/>
      <c r="BT110" s="39"/>
      <c r="BU110" s="39"/>
      <c r="BV110" s="39"/>
      <c r="BW110" s="39"/>
      <c r="IQ110" s="39"/>
      <c r="IR110" s="39"/>
      <c r="IS110" s="39"/>
      <c r="IT110" s="39"/>
      <c r="IU110" s="39"/>
      <c r="IV110" s="39"/>
      <c r="IW110" s="39"/>
    </row>
    <row r="111" spans="1:257" s="40" customFormat="1" ht="63.75">
      <c r="A111" s="149"/>
      <c r="B111" s="151">
        <v>110</v>
      </c>
      <c r="C111" s="147">
        <v>564312</v>
      </c>
      <c r="D111" s="150">
        <v>45516</v>
      </c>
      <c r="E111" s="26" t="s">
        <v>48</v>
      </c>
      <c r="F111" s="27">
        <v>58193</v>
      </c>
      <c r="G111" s="27">
        <v>166606</v>
      </c>
      <c r="H111" s="27">
        <v>33804</v>
      </c>
      <c r="I111" s="28">
        <v>310</v>
      </c>
      <c r="J111" s="28"/>
      <c r="K111" s="28">
        <v>4</v>
      </c>
      <c r="L111" s="28">
        <v>22</v>
      </c>
      <c r="M111" s="28" t="s">
        <v>33</v>
      </c>
      <c r="N111" s="28" t="s">
        <v>609</v>
      </c>
      <c r="O111" s="28" t="s">
        <v>610</v>
      </c>
      <c r="P111" s="28"/>
      <c r="Q111" s="28" t="s">
        <v>285</v>
      </c>
      <c r="R111" s="28" t="s">
        <v>285</v>
      </c>
      <c r="S111" s="28" t="s">
        <v>285</v>
      </c>
      <c r="T111" s="28" t="s">
        <v>53</v>
      </c>
      <c r="U111" s="28"/>
      <c r="V111" s="29">
        <v>1</v>
      </c>
      <c r="W111" s="28"/>
      <c r="X111" s="28"/>
      <c r="Y111" s="28" t="s">
        <v>54</v>
      </c>
      <c r="Z111" s="30"/>
      <c r="AA111" s="31">
        <v>2</v>
      </c>
      <c r="AB111" s="30"/>
      <c r="AC111" s="31">
        <f>+AA111+1</f>
        <v>3</v>
      </c>
      <c r="AD111" s="30"/>
      <c r="AE111" s="31">
        <f>+AA111*2</f>
        <v>4</v>
      </c>
      <c r="AF111" s="28"/>
      <c r="AG111" s="28"/>
      <c r="AH111" s="28"/>
      <c r="AI111" s="28"/>
      <c r="AJ111" s="110">
        <f>106.58+44.58/2</f>
        <v>128.87</v>
      </c>
      <c r="AK111" s="111"/>
      <c r="AL111" s="32">
        <v>400</v>
      </c>
      <c r="AM111" s="32">
        <f>+(106.58+44.58)/AL111</f>
        <v>0.37790000000000001</v>
      </c>
      <c r="AN111" s="32">
        <f>+AJ111/AL111</f>
        <v>0.32217499999999999</v>
      </c>
      <c r="AO111" s="32">
        <f>+(8+15)/(4+5)</f>
        <v>2.5555555555555554</v>
      </c>
      <c r="AP111" s="32">
        <f>+(253374+202642*10+2*152003+101350*9)/22*AJ111</f>
        <v>20478321.65909091</v>
      </c>
      <c r="AQ111" s="152">
        <v>104804.45</v>
      </c>
      <c r="AR111" s="32" t="s">
        <v>39</v>
      </c>
      <c r="AS111" s="34" t="s">
        <v>611</v>
      </c>
      <c r="AT111" s="35">
        <v>45572</v>
      </c>
      <c r="AU111" s="36"/>
      <c r="AV111" s="37" t="s">
        <v>612</v>
      </c>
      <c r="AW111" s="38"/>
      <c r="AX111" s="38"/>
      <c r="AY111" s="38"/>
      <c r="AZ111" s="38"/>
      <c r="BA111" s="38"/>
      <c r="BB111" s="38"/>
      <c r="BC111" s="38"/>
      <c r="BD111" s="38"/>
      <c r="BE111" s="38"/>
      <c r="BF111" s="38"/>
      <c r="BG111" s="38"/>
      <c r="BH111" s="39"/>
      <c r="BI111" s="39"/>
      <c r="BJ111" s="39"/>
      <c r="BK111" s="39"/>
      <c r="BL111" s="39"/>
      <c r="BM111" s="39"/>
      <c r="BN111" s="39"/>
      <c r="BO111" s="39"/>
      <c r="BP111" s="39"/>
      <c r="BQ111" s="39"/>
      <c r="BR111" s="39"/>
      <c r="BS111" s="39"/>
      <c r="BT111" s="39"/>
      <c r="BU111" s="39"/>
      <c r="BV111" s="39"/>
      <c r="BW111" s="39"/>
      <c r="IQ111" s="39"/>
      <c r="IR111" s="39"/>
      <c r="IS111" s="39"/>
      <c r="IT111" s="39"/>
      <c r="IU111" s="39"/>
      <c r="IV111" s="39"/>
      <c r="IW111" s="39"/>
    </row>
    <row r="112" spans="1:257" s="40" customFormat="1" ht="63.75">
      <c r="A112" s="149"/>
      <c r="B112" s="141">
        <v>111</v>
      </c>
      <c r="C112" s="147">
        <v>563981</v>
      </c>
      <c r="D112" s="150">
        <v>45498</v>
      </c>
      <c r="E112" s="43" t="s">
        <v>42</v>
      </c>
      <c r="F112" s="27">
        <v>59603</v>
      </c>
      <c r="G112" s="27">
        <v>167871</v>
      </c>
      <c r="H112" s="27">
        <v>21412</v>
      </c>
      <c r="I112" s="28">
        <v>40</v>
      </c>
      <c r="J112" s="28"/>
      <c r="K112" s="10">
        <v>363</v>
      </c>
      <c r="L112" s="28">
        <v>13</v>
      </c>
      <c r="M112" s="10" t="s">
        <v>43</v>
      </c>
      <c r="N112" s="28" t="s">
        <v>613</v>
      </c>
      <c r="O112" s="10" t="s">
        <v>614</v>
      </c>
      <c r="P112" s="28"/>
      <c r="Q112" s="28" t="s">
        <v>249</v>
      </c>
      <c r="R112" s="28"/>
      <c r="S112" s="28"/>
      <c r="T112" s="28"/>
      <c r="U112" s="28">
        <v>1</v>
      </c>
      <c r="V112" s="29"/>
      <c r="W112" s="28"/>
      <c r="X112" s="28"/>
      <c r="Y112" s="10" t="s">
        <v>54</v>
      </c>
      <c r="Z112" s="30">
        <v>3</v>
      </c>
      <c r="AA112" s="31"/>
      <c r="AB112" s="30">
        <f>+Z112+1</f>
        <v>4</v>
      </c>
      <c r="AC112" s="31"/>
      <c r="AD112" s="30">
        <f>+Z112*2</f>
        <v>6</v>
      </c>
      <c r="AE112" s="31"/>
      <c r="AF112" s="28"/>
      <c r="AG112" s="28"/>
      <c r="AH112" s="28">
        <f>112.8+58/2</f>
        <v>141.80000000000001</v>
      </c>
      <c r="AI112" s="28"/>
      <c r="AJ112" s="110"/>
      <c r="AK112" s="111"/>
      <c r="AL112" s="32">
        <v>377</v>
      </c>
      <c r="AM112" s="32">
        <f>+(112.8+58)/AL112</f>
        <v>0.45305039787798412</v>
      </c>
      <c r="AN112" s="32">
        <f>+AH112/AL112</f>
        <v>0.3761273209549072</v>
      </c>
      <c r="AO112" s="32"/>
      <c r="AP112" s="32">
        <f>+(8*253374+202642*1+8*152003+101350*3)/20*AH112</f>
        <v>26585429.720000003</v>
      </c>
      <c r="AQ112" s="152">
        <v>388730.09</v>
      </c>
      <c r="AR112" s="32" t="s">
        <v>265</v>
      </c>
      <c r="AS112" s="34" t="s">
        <v>615</v>
      </c>
      <c r="AT112" s="35">
        <v>45572</v>
      </c>
      <c r="AU112" s="36"/>
      <c r="AV112" s="37">
        <v>45499</v>
      </c>
      <c r="AW112" s="38"/>
      <c r="AX112" s="38"/>
      <c r="AY112" s="38"/>
      <c r="AZ112" s="38"/>
      <c r="BA112" s="38"/>
      <c r="BB112" s="38"/>
      <c r="BC112" s="38"/>
      <c r="BD112" s="38"/>
      <c r="BE112" s="38"/>
      <c r="BF112" s="38"/>
      <c r="BG112" s="38"/>
      <c r="BH112" s="39"/>
      <c r="BI112" s="39"/>
      <c r="BJ112" s="39"/>
      <c r="BK112" s="39"/>
      <c r="BL112" s="39"/>
      <c r="BM112" s="39"/>
      <c r="BN112" s="39"/>
      <c r="BO112" s="39"/>
      <c r="BP112" s="39"/>
      <c r="BQ112" s="39"/>
      <c r="BR112" s="39"/>
      <c r="BS112" s="39"/>
      <c r="BT112" s="39"/>
      <c r="BU112" s="39"/>
      <c r="BV112" s="39"/>
      <c r="BW112" s="39"/>
      <c r="IQ112" s="39"/>
      <c r="IR112" s="39"/>
      <c r="IS112" s="39"/>
      <c r="IT112" s="39"/>
      <c r="IU112" s="39"/>
      <c r="IV112" s="39"/>
      <c r="IW112" s="39"/>
    </row>
    <row r="113" spans="1:257" s="40" customFormat="1" ht="89.25">
      <c r="A113" s="149"/>
      <c r="B113" s="151">
        <v>112</v>
      </c>
      <c r="C113" s="147" t="s">
        <v>616</v>
      </c>
      <c r="D113" s="150">
        <v>45509</v>
      </c>
      <c r="E113" s="26" t="s">
        <v>617</v>
      </c>
      <c r="F113" s="27">
        <v>45696</v>
      </c>
      <c r="G113" s="27">
        <v>148923</v>
      </c>
      <c r="H113" s="27">
        <v>9087</v>
      </c>
      <c r="I113" s="28"/>
      <c r="J113" s="28"/>
      <c r="K113" s="28">
        <v>282</v>
      </c>
      <c r="L113" s="28">
        <v>10</v>
      </c>
      <c r="M113" s="28" t="s">
        <v>43</v>
      </c>
      <c r="N113" s="28" t="s">
        <v>618</v>
      </c>
      <c r="O113" s="28" t="s">
        <v>619</v>
      </c>
      <c r="P113" s="28"/>
      <c r="Q113" s="28" t="s">
        <v>578</v>
      </c>
      <c r="R113" s="28"/>
      <c r="S113" s="28"/>
      <c r="T113" s="28"/>
      <c r="U113" s="28"/>
      <c r="V113" s="29"/>
      <c r="W113" s="28">
        <v>1</v>
      </c>
      <c r="X113" s="28"/>
      <c r="Y113" s="28" t="s">
        <v>54</v>
      </c>
      <c r="Z113" s="30">
        <v>3</v>
      </c>
      <c r="AA113" s="31"/>
      <c r="AB113" s="30">
        <f>+Z113+1</f>
        <v>4</v>
      </c>
      <c r="AC113" s="31">
        <v>1</v>
      </c>
      <c r="AD113" s="30">
        <f>+Z113*2</f>
        <v>6</v>
      </c>
      <c r="AE113" s="31"/>
      <c r="AF113" s="28">
        <f>114.96+23.16/2+103.09</f>
        <v>229.63</v>
      </c>
      <c r="AG113" s="28"/>
      <c r="AH113" s="28">
        <f>5.53+2.92</f>
        <v>8.4499999999999993</v>
      </c>
      <c r="AI113" s="28"/>
      <c r="AJ113" s="110">
        <f>31.6/2</f>
        <v>15.8</v>
      </c>
      <c r="AK113" s="111"/>
      <c r="AL113" s="32">
        <v>288.27999999999997</v>
      </c>
      <c r="AM113" s="32">
        <f>+(114.96+23.16+5.53+31.6)/AL113</f>
        <v>0.60791591508255871</v>
      </c>
      <c r="AN113" s="32">
        <f>+(AF113+AH113+AJ113)/AL113</f>
        <v>0.8806715693076177</v>
      </c>
      <c r="AO113" s="32"/>
      <c r="AP113" s="32">
        <f>2395000+7403000</f>
        <v>9798000</v>
      </c>
      <c r="AQ113" s="152">
        <v>163959.9</v>
      </c>
      <c r="AR113" s="32" t="s">
        <v>39</v>
      </c>
      <c r="AS113" s="34" t="s">
        <v>620</v>
      </c>
      <c r="AT113" s="35">
        <v>45572</v>
      </c>
      <c r="AU113" s="36"/>
      <c r="AV113" s="37" t="s">
        <v>621</v>
      </c>
      <c r="AW113" s="38"/>
      <c r="AX113" s="38"/>
      <c r="AY113" s="38"/>
      <c r="AZ113" s="38"/>
      <c r="BA113" s="38"/>
      <c r="BB113" s="38"/>
      <c r="BC113" s="38"/>
      <c r="BD113" s="38"/>
      <c r="BE113" s="38"/>
      <c r="BF113" s="38"/>
      <c r="BG113" s="38"/>
      <c r="BH113" s="39"/>
      <c r="BI113" s="39"/>
      <c r="BJ113" s="39"/>
      <c r="BK113" s="39"/>
      <c r="BL113" s="39"/>
      <c r="BM113" s="39"/>
      <c r="BN113" s="39"/>
      <c r="BO113" s="39"/>
      <c r="BP113" s="39"/>
      <c r="BQ113" s="39"/>
      <c r="BR113" s="39"/>
      <c r="BS113" s="39"/>
      <c r="BT113" s="39"/>
      <c r="BU113" s="39"/>
      <c r="BV113" s="39"/>
      <c r="BW113" s="39"/>
      <c r="IQ113" s="39"/>
      <c r="IR113" s="39"/>
      <c r="IS113" s="39"/>
      <c r="IT113" s="39"/>
      <c r="IU113" s="39"/>
      <c r="IV113" s="39"/>
      <c r="IW113" s="39"/>
    </row>
    <row r="114" spans="1:257" s="40" customFormat="1" ht="76.5">
      <c r="A114" s="149"/>
      <c r="B114" s="151">
        <v>113</v>
      </c>
      <c r="C114" s="147" t="s">
        <v>622</v>
      </c>
      <c r="D114" s="150">
        <v>45524</v>
      </c>
      <c r="E114" s="26" t="s">
        <v>42</v>
      </c>
      <c r="F114" s="27">
        <v>29499</v>
      </c>
      <c r="G114" s="27">
        <v>127965</v>
      </c>
      <c r="H114" s="27">
        <v>6383</v>
      </c>
      <c r="I114" s="28"/>
      <c r="J114" s="28"/>
      <c r="K114" s="28">
        <v>709</v>
      </c>
      <c r="L114" s="28">
        <v>12</v>
      </c>
      <c r="M114" s="28" t="s">
        <v>43</v>
      </c>
      <c r="N114" s="28" t="s">
        <v>623</v>
      </c>
      <c r="O114" s="28" t="s">
        <v>624</v>
      </c>
      <c r="P114" s="28"/>
      <c r="Q114" s="28" t="s">
        <v>578</v>
      </c>
      <c r="R114" s="28"/>
      <c r="S114" s="28"/>
      <c r="T114" s="28"/>
      <c r="U114" s="28">
        <f>1+1</f>
        <v>2</v>
      </c>
      <c r="V114" s="29"/>
      <c r="W114" s="28"/>
      <c r="X114" s="28"/>
      <c r="Y114" s="28" t="s">
        <v>38</v>
      </c>
      <c r="Z114" s="30">
        <f>2+1</f>
        <v>3</v>
      </c>
      <c r="AA114" s="31"/>
      <c r="AB114" s="30">
        <f>+Z114+1+1+1</f>
        <v>6</v>
      </c>
      <c r="AC114" s="31"/>
      <c r="AD114" s="30">
        <f>+Z114*2</f>
        <v>6</v>
      </c>
      <c r="AE114" s="31"/>
      <c r="AF114" s="28">
        <v>104.75</v>
      </c>
      <c r="AG114" s="28"/>
      <c r="AH114" s="28">
        <f>24.2+3.25/2</f>
        <v>25.824999999999999</v>
      </c>
      <c r="AI114" s="28"/>
      <c r="AJ114" s="110"/>
      <c r="AK114" s="111"/>
      <c r="AL114" s="32">
        <v>197</v>
      </c>
      <c r="AM114" s="32">
        <f>+(104.75+24.2+3.25)/AL114</f>
        <v>0.6710659898477157</v>
      </c>
      <c r="AN114" s="32">
        <f>+(AF114+AH114)/AL114</f>
        <v>0.66281725888324872</v>
      </c>
      <c r="AO114" s="32"/>
      <c r="AP114" s="32">
        <f>+(6*202642+152003*6+7*101350)/19*AH114</f>
        <v>3856515.2105263155</v>
      </c>
      <c r="AQ114" s="152">
        <v>74938.84</v>
      </c>
      <c r="AR114" s="32" t="s">
        <v>39</v>
      </c>
      <c r="AS114" s="34" t="s">
        <v>625</v>
      </c>
      <c r="AT114" s="35">
        <v>45572</v>
      </c>
      <c r="AU114" s="36"/>
      <c r="AV114" s="37">
        <v>45562</v>
      </c>
      <c r="AW114" s="38"/>
      <c r="AX114" s="38"/>
      <c r="AY114" s="38"/>
      <c r="AZ114" s="38"/>
      <c r="BA114" s="38"/>
      <c r="BB114" s="38"/>
      <c r="BC114" s="38"/>
      <c r="BD114" s="38"/>
      <c r="BE114" s="38"/>
      <c r="BF114" s="38"/>
      <c r="BG114" s="38"/>
      <c r="BH114" s="39"/>
      <c r="BI114" s="39"/>
      <c r="BJ114" s="39"/>
      <c r="BK114" s="39"/>
      <c r="BL114" s="39"/>
      <c r="BM114" s="39"/>
      <c r="BN114" s="39"/>
      <c r="BO114" s="39"/>
      <c r="BP114" s="39"/>
      <c r="BQ114" s="39"/>
      <c r="BR114" s="39"/>
      <c r="BS114" s="39"/>
      <c r="BT114" s="39"/>
      <c r="BU114" s="39"/>
      <c r="BV114" s="39"/>
      <c r="BW114" s="39"/>
      <c r="IQ114" s="39"/>
      <c r="IR114" s="39"/>
      <c r="IS114" s="39"/>
      <c r="IT114" s="39"/>
      <c r="IU114" s="39"/>
      <c r="IV114" s="39"/>
      <c r="IW114" s="39"/>
    </row>
    <row r="115" spans="1:257" s="40" customFormat="1" ht="38.25">
      <c r="A115" s="149"/>
      <c r="B115" s="151">
        <v>114</v>
      </c>
      <c r="C115" s="147">
        <v>564779</v>
      </c>
      <c r="D115" s="150">
        <v>45540</v>
      </c>
      <c r="E115" s="26" t="s">
        <v>48</v>
      </c>
      <c r="F115" s="27">
        <v>42149</v>
      </c>
      <c r="G115" s="27">
        <v>140319</v>
      </c>
      <c r="H115" s="27">
        <v>31806</v>
      </c>
      <c r="I115" s="28">
        <v>355</v>
      </c>
      <c r="J115" s="28"/>
      <c r="K115" s="28">
        <v>9</v>
      </c>
      <c r="L115" s="28">
        <v>10</v>
      </c>
      <c r="M115" s="28" t="s">
        <v>33</v>
      </c>
      <c r="N115" s="28" t="s">
        <v>626</v>
      </c>
      <c r="O115" s="28" t="s">
        <v>627</v>
      </c>
      <c r="P115" s="28"/>
      <c r="Q115" s="28" t="s">
        <v>628</v>
      </c>
      <c r="R115" s="28" t="s">
        <v>628</v>
      </c>
      <c r="S115" s="28" t="s">
        <v>628</v>
      </c>
      <c r="T115" s="28" t="s">
        <v>242</v>
      </c>
      <c r="U115" s="28"/>
      <c r="V115" s="29">
        <v>1</v>
      </c>
      <c r="W115" s="28"/>
      <c r="X115" s="28"/>
      <c r="Y115" s="28" t="s">
        <v>54</v>
      </c>
      <c r="Z115" s="30"/>
      <c r="AA115" s="31">
        <v>3</v>
      </c>
      <c r="AB115" s="30"/>
      <c r="AC115" s="31">
        <f>+AA115+1</f>
        <v>4</v>
      </c>
      <c r="AD115" s="30"/>
      <c r="AE115" s="31">
        <f>+AA115*2</f>
        <v>6</v>
      </c>
      <c r="AF115" s="28"/>
      <c r="AG115" s="28"/>
      <c r="AH115" s="28"/>
      <c r="AI115" s="28"/>
      <c r="AJ115" s="110">
        <f>106.7+25.65/2</f>
        <v>119.52500000000001</v>
      </c>
      <c r="AK115" s="111"/>
      <c r="AL115" s="32">
        <v>450</v>
      </c>
      <c r="AM115" s="32">
        <f>+(106.7+25.65)/AL115</f>
        <v>0.2941111111111111</v>
      </c>
      <c r="AN115" s="32">
        <f>+AJ115/AL115</f>
        <v>0.26561111111111113</v>
      </c>
      <c r="AO115" s="32">
        <f>+(2+24)/(1+8)</f>
        <v>2.8888888888888888</v>
      </c>
      <c r="AP115" s="32">
        <f>+(7*253374+202642*5+6*152003+101350*2)/20*AJ116</f>
        <v>0</v>
      </c>
      <c r="AQ115" s="152">
        <v>85737.06</v>
      </c>
      <c r="AR115" s="32" t="s">
        <v>55</v>
      </c>
      <c r="AS115" s="34" t="s">
        <v>629</v>
      </c>
      <c r="AT115" s="35">
        <v>45573</v>
      </c>
      <c r="AU115" s="36"/>
      <c r="AV115" s="37" t="s">
        <v>630</v>
      </c>
      <c r="AW115" s="38"/>
      <c r="AX115" s="38"/>
      <c r="AY115" s="38"/>
      <c r="AZ115" s="38"/>
      <c r="BA115" s="38"/>
      <c r="BB115" s="38"/>
      <c r="BC115" s="38"/>
      <c r="BD115" s="38"/>
      <c r="BE115" s="38"/>
      <c r="BF115" s="38"/>
      <c r="BG115" s="38"/>
      <c r="BH115" s="39"/>
      <c r="BI115" s="39"/>
      <c r="BJ115" s="39"/>
      <c r="BK115" s="39"/>
      <c r="BL115" s="39"/>
      <c r="BM115" s="39"/>
      <c r="BN115" s="39"/>
      <c r="BO115" s="39"/>
      <c r="BP115" s="39"/>
      <c r="BQ115" s="39"/>
      <c r="BR115" s="39"/>
      <c r="BS115" s="39"/>
      <c r="BT115" s="39"/>
      <c r="BU115" s="39"/>
      <c r="BV115" s="39"/>
      <c r="BW115" s="39"/>
      <c r="IQ115" s="39"/>
      <c r="IR115" s="39"/>
      <c r="IS115" s="39"/>
      <c r="IT115" s="39"/>
      <c r="IU115" s="39"/>
      <c r="IV115" s="39"/>
      <c r="IW115" s="39"/>
    </row>
    <row r="116" spans="1:257" s="40" customFormat="1" ht="127.5">
      <c r="A116" s="149"/>
      <c r="B116" s="151">
        <v>115</v>
      </c>
      <c r="C116" s="147" t="s">
        <v>631</v>
      </c>
      <c r="D116" s="150">
        <v>45418</v>
      </c>
      <c r="E116" s="26" t="s">
        <v>42</v>
      </c>
      <c r="F116" s="27">
        <v>12268</v>
      </c>
      <c r="G116" s="27">
        <v>103601</v>
      </c>
      <c r="H116" s="27">
        <v>333</v>
      </c>
      <c r="I116" s="28"/>
      <c r="J116" s="28"/>
      <c r="K116" s="28">
        <v>143</v>
      </c>
      <c r="L116" s="28">
        <v>3</v>
      </c>
      <c r="M116" s="28" t="s">
        <v>79</v>
      </c>
      <c r="N116" s="28" t="s">
        <v>632</v>
      </c>
      <c r="O116" s="28" t="s">
        <v>633</v>
      </c>
      <c r="P116" s="28"/>
      <c r="Q116" s="28" t="s">
        <v>517</v>
      </c>
      <c r="R116" s="28"/>
      <c r="S116" s="28"/>
      <c r="T116" s="28"/>
      <c r="U116" s="28">
        <f>1+1</f>
        <v>2</v>
      </c>
      <c r="V116" s="29"/>
      <c r="W116" s="28"/>
      <c r="X116" s="28"/>
      <c r="Y116" s="28" t="s">
        <v>634</v>
      </c>
      <c r="Z116" s="30">
        <f>2+2</f>
        <v>4</v>
      </c>
      <c r="AA116" s="31"/>
      <c r="AB116" s="30">
        <f>+Z116+1</f>
        <v>5</v>
      </c>
      <c r="AC116" s="31"/>
      <c r="AD116" s="30">
        <f>+Z116*2</f>
        <v>8</v>
      </c>
      <c r="AE116" s="31"/>
      <c r="AF116" s="28">
        <f>704.86+11.44/2-AG116</f>
        <v>338.93</v>
      </c>
      <c r="AG116" s="28">
        <f>186.39+183.59+3.34/2</f>
        <v>371.65000000000003</v>
      </c>
      <c r="AH116" s="28">
        <f>52.91+8.24/2-AI116</f>
        <v>53.184999999999995</v>
      </c>
      <c r="AI116" s="28">
        <f>7.69/2</f>
        <v>3.8450000000000002</v>
      </c>
      <c r="AJ116" s="110"/>
      <c r="AK116" s="111"/>
      <c r="AL116" s="32">
        <v>408.7</v>
      </c>
      <c r="AM116" s="32">
        <v>0.87</v>
      </c>
      <c r="AN116" s="32">
        <f>+(AF116+AG116+AH116+AI116)/AL116</f>
        <v>1.8781747002691462</v>
      </c>
      <c r="AO116" s="32"/>
      <c r="AP116" s="32">
        <v>721708.38</v>
      </c>
      <c r="AQ116" s="152">
        <v>31606.43</v>
      </c>
      <c r="AR116" s="32" t="s">
        <v>39</v>
      </c>
      <c r="AS116" s="34" t="s">
        <v>635</v>
      </c>
      <c r="AT116" s="35">
        <v>45573</v>
      </c>
      <c r="AU116" s="36"/>
      <c r="AV116" s="37">
        <v>45562</v>
      </c>
      <c r="AW116" s="38"/>
      <c r="AX116" s="38"/>
      <c r="AY116" s="38"/>
      <c r="AZ116" s="38"/>
      <c r="BA116" s="38"/>
      <c r="BB116" s="38"/>
      <c r="BC116" s="38"/>
      <c r="BD116" s="38"/>
      <c r="BE116" s="38"/>
      <c r="BF116" s="38"/>
      <c r="BG116" s="38"/>
      <c r="BH116" s="39"/>
      <c r="BI116" s="39"/>
      <c r="BJ116" s="39"/>
      <c r="BK116" s="39"/>
      <c r="BL116" s="39"/>
      <c r="BM116" s="39"/>
      <c r="BN116" s="39"/>
      <c r="BO116" s="39"/>
      <c r="BP116" s="39"/>
      <c r="BQ116" s="39"/>
      <c r="BR116" s="39"/>
      <c r="BS116" s="39"/>
      <c r="BT116" s="39"/>
      <c r="BU116" s="39"/>
      <c r="BV116" s="39"/>
      <c r="BW116" s="39"/>
      <c r="IQ116" s="39"/>
      <c r="IR116" s="39"/>
      <c r="IS116" s="39"/>
      <c r="IT116" s="39"/>
      <c r="IU116" s="39"/>
      <c r="IV116" s="39"/>
      <c r="IW116" s="39"/>
    </row>
    <row r="117" spans="1:257" s="40" customFormat="1" ht="51">
      <c r="A117" s="149"/>
      <c r="B117" s="151">
        <v>116</v>
      </c>
      <c r="C117" s="147" t="s">
        <v>636</v>
      </c>
      <c r="D117" s="150">
        <v>44817</v>
      </c>
      <c r="E117" s="26" t="s">
        <v>42</v>
      </c>
      <c r="F117" s="27">
        <v>60909</v>
      </c>
      <c r="G117" s="27">
        <v>139115</v>
      </c>
      <c r="H117" s="27">
        <v>31694</v>
      </c>
      <c r="I117" s="28">
        <v>327</v>
      </c>
      <c r="J117" s="28"/>
      <c r="K117" s="28">
        <v>1</v>
      </c>
      <c r="L117" s="28">
        <v>10</v>
      </c>
      <c r="M117" s="28" t="s">
        <v>43</v>
      </c>
      <c r="N117" s="28" t="s">
        <v>637</v>
      </c>
      <c r="O117" s="28" t="s">
        <v>638</v>
      </c>
      <c r="P117" s="28"/>
      <c r="Q117" s="28" t="s">
        <v>639</v>
      </c>
      <c r="R117" s="28"/>
      <c r="S117" s="28"/>
      <c r="T117" s="28"/>
      <c r="U117" s="28">
        <v>1</v>
      </c>
      <c r="V117" s="29"/>
      <c r="W117" s="28"/>
      <c r="X117" s="28"/>
      <c r="Y117" s="28" t="s">
        <v>640</v>
      </c>
      <c r="Z117" s="30">
        <v>2</v>
      </c>
      <c r="AA117" s="31"/>
      <c r="AB117" s="30">
        <f>+Z117+1</f>
        <v>3</v>
      </c>
      <c r="AC117" s="31"/>
      <c r="AD117" s="30">
        <f>+Z117*2</f>
        <v>4</v>
      </c>
      <c r="AE117" s="31"/>
      <c r="AF117" s="28"/>
      <c r="AG117" s="28"/>
      <c r="AH117" s="28">
        <f>45.89+52.2/2</f>
        <v>71.990000000000009</v>
      </c>
      <c r="AI117" s="28"/>
      <c r="AJ117" s="110"/>
      <c r="AK117" s="111"/>
      <c r="AL117" s="32">
        <v>321</v>
      </c>
      <c r="AM117" s="32">
        <f>+(45.89+52.2)/AL117</f>
        <v>0.30557632398753898</v>
      </c>
      <c r="AN117" s="32">
        <f>+AH117/AL117</f>
        <v>0.2242679127725857</v>
      </c>
      <c r="AO117" s="32"/>
      <c r="AP117" s="32">
        <f>+(4*202642+152003*7+8*101350)/19*AH117</f>
        <v>10174797.584736845</v>
      </c>
      <c r="AQ117" s="152">
        <v>154687.4</v>
      </c>
      <c r="AR117" s="32" t="s">
        <v>265</v>
      </c>
      <c r="AS117" s="34" t="s">
        <v>641</v>
      </c>
      <c r="AT117" s="35">
        <v>45573</v>
      </c>
      <c r="AU117" s="36"/>
      <c r="AV117" s="114">
        <v>45571</v>
      </c>
      <c r="AW117" s="38"/>
      <c r="AX117" s="38"/>
      <c r="AY117" s="38"/>
      <c r="AZ117" s="38"/>
      <c r="BA117" s="38"/>
      <c r="BB117" s="38"/>
      <c r="BC117" s="38"/>
      <c r="BD117" s="38"/>
      <c r="BE117" s="38"/>
      <c r="BF117" s="38"/>
      <c r="BG117" s="38"/>
      <c r="BH117" s="39"/>
      <c r="BI117" s="39"/>
      <c r="BJ117" s="39"/>
      <c r="BK117" s="39"/>
      <c r="BL117" s="39"/>
      <c r="BM117" s="39"/>
      <c r="BN117" s="39"/>
      <c r="BO117" s="39"/>
      <c r="BP117" s="39"/>
      <c r="BQ117" s="39"/>
      <c r="BR117" s="39"/>
      <c r="BS117" s="39"/>
      <c r="BT117" s="39"/>
      <c r="BU117" s="39"/>
      <c r="BV117" s="39"/>
      <c r="BW117" s="39"/>
      <c r="IQ117" s="39"/>
      <c r="IR117" s="39"/>
      <c r="IS117" s="39"/>
      <c r="IT117" s="39"/>
      <c r="IU117" s="39"/>
      <c r="IV117" s="39"/>
      <c r="IW117" s="39"/>
    </row>
    <row r="118" spans="1:257" s="40" customFormat="1" ht="76.5">
      <c r="A118" s="149"/>
      <c r="B118" s="151">
        <v>117</v>
      </c>
      <c r="C118" s="147">
        <v>558407</v>
      </c>
      <c r="D118" s="150">
        <v>45273</v>
      </c>
      <c r="E118" s="26" t="s">
        <v>48</v>
      </c>
      <c r="F118" s="27">
        <v>-47997</v>
      </c>
      <c r="G118" s="27">
        <v>158733</v>
      </c>
      <c r="H118" s="27">
        <v>32441</v>
      </c>
      <c r="I118" s="28">
        <v>111</v>
      </c>
      <c r="J118" s="28"/>
      <c r="K118" s="28">
        <v>18</v>
      </c>
      <c r="L118" s="28">
        <v>1</v>
      </c>
      <c r="M118" s="28" t="s">
        <v>33</v>
      </c>
      <c r="N118" s="28" t="s">
        <v>642</v>
      </c>
      <c r="O118" s="28" t="s">
        <v>643</v>
      </c>
      <c r="P118" s="28"/>
      <c r="Q118" s="28" t="s">
        <v>87</v>
      </c>
      <c r="R118" s="28" t="s">
        <v>87</v>
      </c>
      <c r="S118" s="28" t="s">
        <v>87</v>
      </c>
      <c r="T118" s="28" t="s">
        <v>53</v>
      </c>
      <c r="U118" s="28"/>
      <c r="V118" s="29">
        <v>1</v>
      </c>
      <c r="W118" s="28"/>
      <c r="X118" s="28"/>
      <c r="Y118" s="28" t="s">
        <v>54</v>
      </c>
      <c r="Z118" s="30"/>
      <c r="AA118" s="31">
        <v>3</v>
      </c>
      <c r="AB118" s="30"/>
      <c r="AC118" s="31">
        <f>+AA118+1</f>
        <v>4</v>
      </c>
      <c r="AD118" s="30"/>
      <c r="AE118" s="31">
        <f>+AA118*2</f>
        <v>6</v>
      </c>
      <c r="AF118" s="28"/>
      <c r="AG118" s="28"/>
      <c r="AH118" s="28"/>
      <c r="AI118" s="28"/>
      <c r="AJ118" s="110">
        <f>137.9+84.6/2</f>
        <v>180.2</v>
      </c>
      <c r="AK118" s="111"/>
      <c r="AL118" s="32">
        <f>4320/2</f>
        <v>2160</v>
      </c>
      <c r="AM118" s="32">
        <f>+(137.9+84.6)/AL118</f>
        <v>0.10300925925925926</v>
      </c>
      <c r="AN118" s="32">
        <f>+AJ118/AL118</f>
        <v>8.3425925925925917E-2</v>
      </c>
      <c r="AO118" s="32"/>
      <c r="AP118" s="32">
        <f>+(11*253374+7*202642+152003*4)/22*AJ118</f>
        <v>39427923.818181813</v>
      </c>
      <c r="AQ118" s="152">
        <v>142362.15</v>
      </c>
      <c r="AR118" s="32" t="s">
        <v>39</v>
      </c>
      <c r="AS118" s="34" t="s">
        <v>644</v>
      </c>
      <c r="AT118" s="35">
        <v>45573</v>
      </c>
      <c r="AU118" s="36"/>
      <c r="AV118" s="37" t="s">
        <v>191</v>
      </c>
      <c r="AW118" s="38"/>
      <c r="AX118" s="38"/>
      <c r="AY118" s="38"/>
      <c r="AZ118" s="38"/>
      <c r="BA118" s="38"/>
      <c r="BB118" s="38"/>
      <c r="BC118" s="38"/>
      <c r="BD118" s="38"/>
      <c r="BE118" s="38"/>
      <c r="BF118" s="38"/>
      <c r="BG118" s="38"/>
      <c r="BH118" s="39"/>
      <c r="BI118" s="39"/>
      <c r="BJ118" s="39"/>
      <c r="BK118" s="39"/>
      <c r="BL118" s="39"/>
      <c r="BM118" s="39"/>
      <c r="BN118" s="39"/>
      <c r="BO118" s="39"/>
      <c r="BP118" s="39"/>
      <c r="BQ118" s="39"/>
      <c r="BR118" s="39"/>
      <c r="BS118" s="39"/>
      <c r="BT118" s="39"/>
      <c r="BU118" s="39"/>
      <c r="BV118" s="39"/>
      <c r="BW118" s="39"/>
      <c r="IQ118" s="39"/>
      <c r="IR118" s="39"/>
      <c r="IS118" s="39"/>
      <c r="IT118" s="39"/>
      <c r="IU118" s="39"/>
      <c r="IV118" s="39"/>
      <c r="IW118" s="39"/>
    </row>
    <row r="119" spans="1:257" s="23" customFormat="1" ht="51">
      <c r="A119" s="149"/>
      <c r="B119" s="151">
        <v>118</v>
      </c>
      <c r="C119" s="153">
        <v>518367</v>
      </c>
      <c r="D119" s="47">
        <v>43846</v>
      </c>
      <c r="E119" s="47" t="s">
        <v>42</v>
      </c>
      <c r="F119" s="48">
        <v>53130</v>
      </c>
      <c r="G119" s="48">
        <v>162686</v>
      </c>
      <c r="H119" s="48">
        <v>33196</v>
      </c>
      <c r="I119" s="49">
        <v>1</v>
      </c>
      <c r="J119" s="49"/>
      <c r="K119" s="49">
        <v>2</v>
      </c>
      <c r="L119" s="49">
        <v>3</v>
      </c>
      <c r="M119" s="49" t="s">
        <v>437</v>
      </c>
      <c r="N119" s="49" t="s">
        <v>438</v>
      </c>
      <c r="O119" s="50" t="s">
        <v>645</v>
      </c>
      <c r="P119" s="49"/>
      <c r="Q119" s="49" t="s">
        <v>389</v>
      </c>
      <c r="R119" s="49"/>
      <c r="S119" s="49"/>
      <c r="T119" s="49"/>
      <c r="U119" s="49">
        <v>1</v>
      </c>
      <c r="V119" s="51"/>
      <c r="W119" s="49"/>
      <c r="X119" s="49"/>
      <c r="Y119" s="49" t="s">
        <v>54</v>
      </c>
      <c r="Z119" s="52">
        <v>1</v>
      </c>
      <c r="AA119" s="53"/>
      <c r="AB119" s="54">
        <f>+Z119</f>
        <v>1</v>
      </c>
      <c r="AC119" s="53"/>
      <c r="AD119" s="54">
        <f>+Z119*2</f>
        <v>2</v>
      </c>
      <c r="AE119" s="53"/>
      <c r="AF119" s="49"/>
      <c r="AG119" s="49"/>
      <c r="AH119" s="49">
        <f>36.72+19.42</f>
        <v>56.14</v>
      </c>
      <c r="AI119" s="49"/>
      <c r="AJ119" s="51"/>
      <c r="AK119" s="55"/>
      <c r="AL119" s="56">
        <v>1600</v>
      </c>
      <c r="AM119" s="56">
        <f>36.72/AL119</f>
        <v>2.2949999999999998E-2</v>
      </c>
      <c r="AN119" s="56">
        <f>+AH119/AL119</f>
        <v>3.5087500000000001E-2</v>
      </c>
      <c r="AO119" s="56"/>
      <c r="AP119" s="56">
        <f>+(800000+((1*253374+202642*10+6*152003+101350*5)/22*AH119))</f>
        <v>10238057.75818182</v>
      </c>
      <c r="AQ119" s="154">
        <v>146712.22</v>
      </c>
      <c r="AR119" s="56" t="s">
        <v>265</v>
      </c>
      <c r="AS119" s="155" t="s">
        <v>646</v>
      </c>
      <c r="AT119" s="59">
        <v>45575</v>
      </c>
      <c r="AU119" s="60"/>
      <c r="AV119" s="156">
        <v>45156</v>
      </c>
      <c r="AW119" s="21"/>
      <c r="AX119" s="21"/>
      <c r="AY119" s="21"/>
      <c r="AZ119" s="21"/>
      <c r="BA119" s="21"/>
      <c r="BB119" s="21"/>
      <c r="BC119" s="21"/>
      <c r="BD119" s="21"/>
      <c r="BE119" s="21"/>
      <c r="BF119" s="21"/>
      <c r="BG119" s="21"/>
      <c r="BH119" s="22"/>
      <c r="BI119" s="22"/>
      <c r="BJ119" s="22"/>
      <c r="BK119" s="22"/>
      <c r="BL119" s="22"/>
      <c r="BM119" s="22"/>
      <c r="BN119" s="22"/>
      <c r="BO119" s="22"/>
      <c r="BP119" s="22"/>
      <c r="BQ119" s="22"/>
      <c r="BR119" s="22"/>
      <c r="BS119" s="22"/>
      <c r="BT119" s="22"/>
      <c r="BU119" s="22"/>
      <c r="BV119" s="22"/>
      <c r="BW119" s="22"/>
      <c r="IQ119" s="22"/>
      <c r="IR119" s="22"/>
      <c r="IS119" s="22"/>
      <c r="IT119" s="22"/>
      <c r="IU119" s="22"/>
      <c r="IV119" s="22"/>
      <c r="IW119" s="22"/>
    </row>
    <row r="120" spans="1:257" s="40" customFormat="1" ht="89.25">
      <c r="A120" s="149"/>
      <c r="B120" s="151">
        <v>119</v>
      </c>
      <c r="C120" s="147" t="s">
        <v>647</v>
      </c>
      <c r="D120" s="143">
        <v>45503</v>
      </c>
      <c r="E120" s="26" t="s">
        <v>42</v>
      </c>
      <c r="F120" s="27">
        <v>33784</v>
      </c>
      <c r="G120" s="27">
        <v>133015</v>
      </c>
      <c r="H120" s="27">
        <v>7166</v>
      </c>
      <c r="I120" s="28"/>
      <c r="J120" s="28"/>
      <c r="K120" s="28">
        <v>483</v>
      </c>
      <c r="L120" s="28">
        <v>18</v>
      </c>
      <c r="M120" s="28" t="s">
        <v>43</v>
      </c>
      <c r="N120" s="28" t="s">
        <v>648</v>
      </c>
      <c r="O120" s="28" t="s">
        <v>649</v>
      </c>
      <c r="P120" s="28"/>
      <c r="Q120" s="28" t="s">
        <v>650</v>
      </c>
      <c r="R120" s="28"/>
      <c r="S120" s="28"/>
      <c r="T120" s="28"/>
      <c r="U120" s="28">
        <f>1+1+1+1</f>
        <v>4</v>
      </c>
      <c r="V120" s="29"/>
      <c r="W120" s="28"/>
      <c r="X120" s="28"/>
      <c r="Y120" s="28" t="s">
        <v>38</v>
      </c>
      <c r="Z120" s="30">
        <f>2+2+1+1</f>
        <v>6</v>
      </c>
      <c r="AA120" s="31"/>
      <c r="AB120" s="30">
        <f>+Z120+1+1+1+1</f>
        <v>10</v>
      </c>
      <c r="AC120" s="31"/>
      <c r="AD120" s="30">
        <f>+Z120*2</f>
        <v>12</v>
      </c>
      <c r="AE120" s="31"/>
      <c r="AF120" s="28">
        <f>84.29+25.67/2</f>
        <v>97.125</v>
      </c>
      <c r="AG120" s="28"/>
      <c r="AH120" s="28">
        <f>47.15+24.48/2+53.16</f>
        <v>112.55</v>
      </c>
      <c r="AI120" s="28"/>
      <c r="AJ120" s="110"/>
      <c r="AK120" s="111"/>
      <c r="AL120" s="32">
        <v>268.32</v>
      </c>
      <c r="AM120" s="32">
        <f>+(84.29+25.67+47.15+24.48)/AL120</f>
        <v>0.67676654740608233</v>
      </c>
      <c r="AN120" s="32">
        <f>+(AF120+AH120)/AL120</f>
        <v>0.78143634466308887</v>
      </c>
      <c r="AO120" s="32"/>
      <c r="AP120" s="32">
        <f>+(1*253374+202642*10+152003*6+4*101350)/20*AH120</f>
        <v>20243310.530000001</v>
      </c>
      <c r="AQ120" s="152">
        <v>292007.15999999997</v>
      </c>
      <c r="AR120" s="32" t="s">
        <v>39</v>
      </c>
      <c r="AS120" s="34" t="s">
        <v>651</v>
      </c>
      <c r="AT120" s="35">
        <v>45579</v>
      </c>
      <c r="AU120" s="36"/>
      <c r="AV120" s="37">
        <v>45573</v>
      </c>
      <c r="AW120" s="38"/>
      <c r="AX120" s="38"/>
      <c r="AY120" s="38"/>
      <c r="AZ120" s="38"/>
      <c r="BA120" s="38"/>
      <c r="BB120" s="38"/>
      <c r="BC120" s="38"/>
      <c r="BD120" s="38"/>
      <c r="BE120" s="38"/>
      <c r="BF120" s="38"/>
      <c r="BG120" s="38"/>
      <c r="BH120" s="39"/>
      <c r="BI120" s="39"/>
      <c r="BJ120" s="39"/>
      <c r="BK120" s="39"/>
      <c r="BL120" s="39"/>
      <c r="BM120" s="39"/>
      <c r="BN120" s="39"/>
      <c r="BO120" s="39"/>
      <c r="BP120" s="39"/>
      <c r="BQ120" s="39"/>
      <c r="BR120" s="39"/>
      <c r="BS120" s="39"/>
      <c r="BT120" s="39"/>
      <c r="BU120" s="39"/>
      <c r="BV120" s="39"/>
      <c r="BW120" s="39"/>
      <c r="IQ120" s="39"/>
      <c r="IR120" s="39"/>
      <c r="IS120" s="39"/>
      <c r="IT120" s="39"/>
      <c r="IU120" s="39"/>
      <c r="IV120" s="39"/>
      <c r="IW120" s="39"/>
    </row>
    <row r="121" spans="1:257" s="40" customFormat="1" ht="51">
      <c r="A121" s="149"/>
      <c r="B121" s="151">
        <v>120</v>
      </c>
      <c r="C121" s="147">
        <v>564352</v>
      </c>
      <c r="D121" s="143">
        <v>45518</v>
      </c>
      <c r="E121" s="26" t="s">
        <v>48</v>
      </c>
      <c r="F121" s="27">
        <v>59778</v>
      </c>
      <c r="G121" s="27">
        <v>167994</v>
      </c>
      <c r="H121" s="27">
        <v>33848</v>
      </c>
      <c r="I121" s="28">
        <v>327</v>
      </c>
      <c r="J121" s="28"/>
      <c r="K121" s="28">
        <v>8</v>
      </c>
      <c r="L121" s="28">
        <v>6</v>
      </c>
      <c r="M121" s="28" t="s">
        <v>43</v>
      </c>
      <c r="N121" s="28" t="s">
        <v>652</v>
      </c>
      <c r="O121" s="28" t="s">
        <v>653</v>
      </c>
      <c r="P121" s="28"/>
      <c r="Q121" s="28" t="s">
        <v>546</v>
      </c>
      <c r="R121" s="28" t="s">
        <v>546</v>
      </c>
      <c r="S121" s="28" t="s">
        <v>546</v>
      </c>
      <c r="T121" s="28" t="s">
        <v>53</v>
      </c>
      <c r="U121" s="28"/>
      <c r="V121" s="29">
        <v>1</v>
      </c>
      <c r="W121" s="28"/>
      <c r="X121" s="28"/>
      <c r="Y121" s="28" t="s">
        <v>54</v>
      </c>
      <c r="Z121" s="30"/>
      <c r="AA121" s="31">
        <v>1</v>
      </c>
      <c r="AB121" s="30"/>
      <c r="AC121" s="31"/>
      <c r="AD121" s="30"/>
      <c r="AE121" s="31">
        <f>+AA121*2</f>
        <v>2</v>
      </c>
      <c r="AF121" s="28"/>
      <c r="AG121" s="28"/>
      <c r="AH121" s="28"/>
      <c r="AI121" s="28"/>
      <c r="AJ121" s="110">
        <f>30+16</f>
        <v>46</v>
      </c>
      <c r="AK121" s="111"/>
      <c r="AL121" s="32">
        <v>327</v>
      </c>
      <c r="AM121" s="32">
        <f>+AJ121/AL121</f>
        <v>0.14067278287461774</v>
      </c>
      <c r="AN121" s="32">
        <f>+AJ121/AL121</f>
        <v>0.14067278287461774</v>
      </c>
      <c r="AO121" s="32"/>
      <c r="AP121" s="32">
        <f>2500000+((253374+5*202642+6*152003+8*101350)/20*AJ121)</f>
        <v>9375624.6000000015</v>
      </c>
      <c r="AQ121" s="152">
        <v>59481.78</v>
      </c>
      <c r="AR121" s="32" t="s">
        <v>39</v>
      </c>
      <c r="AS121" s="34" t="s">
        <v>654</v>
      </c>
      <c r="AT121" s="35">
        <v>45579</v>
      </c>
      <c r="AU121" s="36"/>
      <c r="AV121" s="37" t="s">
        <v>655</v>
      </c>
      <c r="AW121" s="38"/>
      <c r="AX121" s="38"/>
      <c r="AY121" s="38"/>
      <c r="AZ121" s="38"/>
      <c r="BA121" s="38"/>
      <c r="BB121" s="38"/>
      <c r="BC121" s="38"/>
      <c r="BD121" s="38"/>
      <c r="BE121" s="38"/>
      <c r="BF121" s="38"/>
      <c r="BG121" s="38"/>
      <c r="BH121" s="39"/>
      <c r="BI121" s="39"/>
      <c r="BJ121" s="39"/>
      <c r="BK121" s="39"/>
      <c r="BL121" s="39"/>
      <c r="BM121" s="39"/>
      <c r="BN121" s="39"/>
      <c r="BO121" s="39"/>
      <c r="BP121" s="39"/>
      <c r="BQ121" s="39"/>
      <c r="BR121" s="39"/>
      <c r="BS121" s="39"/>
      <c r="BT121" s="39"/>
      <c r="BU121" s="39"/>
      <c r="BV121" s="39"/>
      <c r="BW121" s="39"/>
      <c r="IQ121" s="39"/>
      <c r="IR121" s="39"/>
      <c r="IS121" s="39"/>
      <c r="IT121" s="39"/>
      <c r="IU121" s="39"/>
      <c r="IV121" s="39"/>
      <c r="IW121" s="39"/>
    </row>
    <row r="122" spans="1:257" s="40" customFormat="1" ht="89.25">
      <c r="A122" s="149"/>
      <c r="B122" s="91">
        <v>121</v>
      </c>
      <c r="C122" s="197">
        <v>563725</v>
      </c>
      <c r="D122" s="198">
        <v>45485</v>
      </c>
      <c r="E122" s="193" t="s">
        <v>48</v>
      </c>
      <c r="F122" s="27">
        <v>21080</v>
      </c>
      <c r="G122" s="27">
        <v>110414</v>
      </c>
      <c r="H122" s="27">
        <v>1771</v>
      </c>
      <c r="I122" s="28"/>
      <c r="J122" s="28"/>
      <c r="K122" s="79">
        <v>647</v>
      </c>
      <c r="L122" s="28">
        <v>16</v>
      </c>
      <c r="M122" s="79" t="s">
        <v>43</v>
      </c>
      <c r="N122" s="28" t="s">
        <v>656</v>
      </c>
      <c r="O122" s="85" t="s">
        <v>657</v>
      </c>
      <c r="P122" s="28"/>
      <c r="Q122" s="28" t="s">
        <v>182</v>
      </c>
      <c r="R122" s="28" t="s">
        <v>182</v>
      </c>
      <c r="S122" s="28" t="s">
        <v>182</v>
      </c>
      <c r="T122" s="28" t="s">
        <v>53</v>
      </c>
      <c r="U122" s="28"/>
      <c r="V122" s="29">
        <v>1</v>
      </c>
      <c r="W122" s="28"/>
      <c r="X122" s="28"/>
      <c r="Y122" s="79" t="s">
        <v>54</v>
      </c>
      <c r="Z122" s="30"/>
      <c r="AA122" s="31">
        <v>2</v>
      </c>
      <c r="AB122" s="30"/>
      <c r="AC122" s="31">
        <f>+AA122+1+1</f>
        <v>4</v>
      </c>
      <c r="AD122" s="30"/>
      <c r="AE122" s="31">
        <f>+AA122*2</f>
        <v>4</v>
      </c>
      <c r="AF122" s="28"/>
      <c r="AG122" s="28"/>
      <c r="AH122" s="28"/>
      <c r="AI122" s="28"/>
      <c r="AJ122" s="110">
        <f>0.9*(9.09+3.4+6.2)/2</f>
        <v>8.4105000000000008</v>
      </c>
      <c r="AK122" s="111"/>
      <c r="AL122" s="32">
        <v>502.84</v>
      </c>
      <c r="AM122" s="32">
        <f>+(0.9*(9.09+3.4+6.2))/AL122</f>
        <v>3.3451992681568697E-2</v>
      </c>
      <c r="AN122" s="32">
        <f>+AJ122/AL122</f>
        <v>1.6725996340784349E-2</v>
      </c>
      <c r="AO122" s="32"/>
      <c r="AP122" s="32">
        <f>6000000+((9*253374+10*202642+3*152003)/22*AJ122)</f>
        <v>7820794.8794318186</v>
      </c>
      <c r="AQ122" s="152">
        <v>576234.12</v>
      </c>
      <c r="AR122" s="32" t="s">
        <v>39</v>
      </c>
      <c r="AS122" s="34" t="s">
        <v>658</v>
      </c>
      <c r="AT122" s="35">
        <v>45581</v>
      </c>
      <c r="AU122" s="36"/>
      <c r="AV122" s="37">
        <v>45492</v>
      </c>
      <c r="AW122" s="38"/>
      <c r="AX122" s="38"/>
      <c r="AY122" s="38"/>
      <c r="AZ122" s="38"/>
      <c r="BA122" s="38"/>
      <c r="BB122" s="38"/>
      <c r="BC122" s="38"/>
      <c r="BD122" s="38"/>
      <c r="BE122" s="38"/>
      <c r="BF122" s="38"/>
      <c r="BG122" s="38"/>
      <c r="BH122" s="39"/>
      <c r="BI122" s="39"/>
      <c r="BJ122" s="39"/>
      <c r="BK122" s="39"/>
      <c r="BL122" s="39"/>
      <c r="BM122" s="39"/>
      <c r="BN122" s="39"/>
      <c r="BO122" s="39"/>
      <c r="BP122" s="39"/>
      <c r="BQ122" s="39"/>
      <c r="BR122" s="39"/>
      <c r="BS122" s="39"/>
      <c r="BT122" s="39"/>
      <c r="BU122" s="39"/>
      <c r="BV122" s="39"/>
      <c r="BW122" s="39"/>
      <c r="IQ122" s="39"/>
      <c r="IR122" s="39"/>
      <c r="IS122" s="39"/>
      <c r="IT122" s="39"/>
      <c r="IU122" s="39"/>
      <c r="IV122" s="39"/>
      <c r="IW122" s="39"/>
    </row>
    <row r="123" spans="1:257" s="40" customFormat="1" ht="63.75">
      <c r="A123" s="149"/>
      <c r="B123" s="93">
        <v>122</v>
      </c>
      <c r="C123" s="145">
        <v>564672</v>
      </c>
      <c r="D123" s="199">
        <v>45534</v>
      </c>
      <c r="E123" s="196" t="s">
        <v>48</v>
      </c>
      <c r="F123" s="27">
        <v>32669</v>
      </c>
      <c r="G123" s="27">
        <v>131438</v>
      </c>
      <c r="H123" s="27">
        <v>6908</v>
      </c>
      <c r="I123" s="28"/>
      <c r="J123" s="28"/>
      <c r="K123" s="10">
        <v>279</v>
      </c>
      <c r="L123" s="28">
        <v>18</v>
      </c>
      <c r="M123" s="10" t="s">
        <v>43</v>
      </c>
      <c r="N123" s="28" t="s">
        <v>660</v>
      </c>
      <c r="O123" s="10" t="s">
        <v>661</v>
      </c>
      <c r="P123" s="28"/>
      <c r="Q123" s="28" t="s">
        <v>662</v>
      </c>
      <c r="R123" s="28" t="s">
        <v>662</v>
      </c>
      <c r="S123" s="28" t="s">
        <v>662</v>
      </c>
      <c r="T123" s="28" t="s">
        <v>53</v>
      </c>
      <c r="U123" s="28"/>
      <c r="V123" s="29"/>
      <c r="W123" s="28">
        <v>1</v>
      </c>
      <c r="X123" s="28"/>
      <c r="Y123" s="10" t="s">
        <v>225</v>
      </c>
      <c r="Z123" s="30"/>
      <c r="AA123" s="31"/>
      <c r="AB123" s="30"/>
      <c r="AC123" s="31"/>
      <c r="AD123" s="30"/>
      <c r="AE123" s="31"/>
      <c r="AF123" s="28"/>
      <c r="AG123" s="28">
        <v>268.8</v>
      </c>
      <c r="AH123" s="28"/>
      <c r="AI123" s="28"/>
      <c r="AJ123" s="110"/>
      <c r="AK123" s="111">
        <v>47.34</v>
      </c>
      <c r="AL123" s="28">
        <f>160+90+113.6</f>
        <v>363.6</v>
      </c>
      <c r="AM123" s="32">
        <f>+(243.52+AK123)/AL123</f>
        <v>0.79994499449944989</v>
      </c>
      <c r="AN123" s="32">
        <f>+AM123</f>
        <v>0.79994499449944989</v>
      </c>
      <c r="AO123" s="32"/>
      <c r="AP123" s="32">
        <f>+(39983920.8)</f>
        <v>39983920.799999997</v>
      </c>
      <c r="AQ123" s="152">
        <v>155850.54</v>
      </c>
      <c r="AR123" s="32" t="s">
        <v>55</v>
      </c>
      <c r="AS123" s="34" t="s">
        <v>663</v>
      </c>
      <c r="AT123" s="35">
        <v>45583</v>
      </c>
      <c r="AU123" s="36"/>
      <c r="AV123" s="37" t="s">
        <v>664</v>
      </c>
      <c r="AW123" s="38"/>
      <c r="AX123" s="38"/>
      <c r="AY123" s="38"/>
      <c r="AZ123" s="38"/>
      <c r="BA123" s="38"/>
      <c r="BB123" s="38"/>
      <c r="BC123" s="38"/>
      <c r="BD123" s="38"/>
      <c r="BE123" s="38"/>
      <c r="BF123" s="38"/>
      <c r="BG123" s="38"/>
      <c r="BH123" s="39"/>
      <c r="BI123" s="39"/>
      <c r="BJ123" s="39"/>
      <c r="BK123" s="39"/>
      <c r="BL123" s="39"/>
      <c r="BM123" s="39"/>
      <c r="BN123" s="39"/>
      <c r="BO123" s="39"/>
      <c r="BP123" s="39"/>
      <c r="BQ123" s="39"/>
      <c r="BR123" s="39"/>
      <c r="BS123" s="39"/>
      <c r="BT123" s="39"/>
      <c r="BU123" s="39"/>
      <c r="BV123" s="39"/>
      <c r="BW123" s="39"/>
      <c r="IQ123" s="39"/>
      <c r="IR123" s="39"/>
      <c r="IS123" s="39"/>
      <c r="IT123" s="39"/>
      <c r="IU123" s="39"/>
      <c r="IV123" s="39"/>
      <c r="IW123" s="39"/>
    </row>
    <row r="124" spans="1:257" s="40" customFormat="1" ht="76.5">
      <c r="A124" s="149"/>
      <c r="B124" s="151">
        <v>123</v>
      </c>
      <c r="C124" s="147" t="s">
        <v>665</v>
      </c>
      <c r="D124" s="143">
        <v>45425</v>
      </c>
      <c r="E124" s="26" t="s">
        <v>42</v>
      </c>
      <c r="F124" s="27">
        <v>43799</v>
      </c>
      <c r="G124" s="27">
        <v>141540</v>
      </c>
      <c r="H124" s="27">
        <v>32079</v>
      </c>
      <c r="I124" s="28">
        <v>331</v>
      </c>
      <c r="J124" s="28"/>
      <c r="K124" s="28">
        <v>2</v>
      </c>
      <c r="L124" s="28">
        <v>8</v>
      </c>
      <c r="M124" s="28" t="s">
        <v>33</v>
      </c>
      <c r="N124" s="28" t="s">
        <v>666</v>
      </c>
      <c r="O124" s="28" t="s">
        <v>667</v>
      </c>
      <c r="P124" s="28"/>
      <c r="Q124" s="28" t="s">
        <v>517</v>
      </c>
      <c r="R124" s="28"/>
      <c r="S124" s="28"/>
      <c r="T124" s="28"/>
      <c r="U124" s="28">
        <f>1+2</f>
        <v>3</v>
      </c>
      <c r="V124" s="29"/>
      <c r="W124" s="28"/>
      <c r="X124" s="28"/>
      <c r="Y124" s="28" t="s">
        <v>38</v>
      </c>
      <c r="Z124" s="30"/>
      <c r="AA124" s="31"/>
      <c r="AB124" s="30"/>
      <c r="AC124" s="31"/>
      <c r="AD124" s="30"/>
      <c r="AE124" s="31"/>
      <c r="AF124" s="28">
        <f>138.17+15.44/2</f>
        <v>145.88999999999999</v>
      </c>
      <c r="AG124" s="28"/>
      <c r="AH124" s="28">
        <f>158.8+67.57/2</f>
        <v>192.58500000000001</v>
      </c>
      <c r="AI124" s="28"/>
      <c r="AJ124" s="110"/>
      <c r="AK124" s="111"/>
      <c r="AL124" s="32">
        <v>867.4</v>
      </c>
      <c r="AM124" s="32">
        <f>+(52.26+68.56+15.44+106.54+1.78+1.78+40.26)/AL124</f>
        <v>0.33043578510491123</v>
      </c>
      <c r="AN124" s="32">
        <f>+(AF124+AH124)/AL124</f>
        <v>0.39021789255245565</v>
      </c>
      <c r="AO124" s="32"/>
      <c r="AP124" s="32">
        <f>987562.31+((7*253374+2*202642+152003*8+3*101354)/20*AH124)</f>
        <v>36606042.509000003</v>
      </c>
      <c r="AQ124" s="152">
        <v>568554.42000000004</v>
      </c>
      <c r="AR124" s="32" t="s">
        <v>39</v>
      </c>
      <c r="AS124" s="34" t="s">
        <v>668</v>
      </c>
      <c r="AT124" s="35">
        <v>45583</v>
      </c>
      <c r="AU124" s="36"/>
      <c r="AV124" s="37">
        <v>45579</v>
      </c>
      <c r="AW124" s="38"/>
      <c r="AX124" s="38"/>
      <c r="AY124" s="38"/>
      <c r="AZ124" s="38"/>
      <c r="BA124" s="38"/>
      <c r="BB124" s="38"/>
      <c r="BC124" s="38"/>
      <c r="BD124" s="38"/>
      <c r="BE124" s="38"/>
      <c r="BF124" s="38"/>
      <c r="BG124" s="38"/>
      <c r="BH124" s="39"/>
      <c r="BI124" s="39"/>
      <c r="BJ124" s="39"/>
      <c r="BK124" s="39"/>
      <c r="BL124" s="39"/>
      <c r="BM124" s="39"/>
      <c r="BN124" s="39"/>
      <c r="BO124" s="39"/>
      <c r="BP124" s="39"/>
      <c r="BQ124" s="39"/>
      <c r="BR124" s="39"/>
      <c r="BS124" s="39"/>
      <c r="BT124" s="39"/>
      <c r="BU124" s="39"/>
      <c r="BV124" s="39"/>
      <c r="BW124" s="39"/>
      <c r="IQ124" s="39"/>
      <c r="IR124" s="39"/>
      <c r="IS124" s="39"/>
      <c r="IT124" s="39"/>
      <c r="IU124" s="39"/>
      <c r="IV124" s="39"/>
      <c r="IW124" s="39"/>
    </row>
    <row r="125" spans="1:257" s="40" customFormat="1" ht="63.75">
      <c r="A125" s="149"/>
      <c r="B125" s="208">
        <v>124</v>
      </c>
      <c r="C125" s="147">
        <v>564040</v>
      </c>
      <c r="D125" s="143">
        <v>45502</v>
      </c>
      <c r="E125" s="26" t="s">
        <v>48</v>
      </c>
      <c r="F125" s="27">
        <v>10612</v>
      </c>
      <c r="G125" s="27">
        <v>188</v>
      </c>
      <c r="H125" s="27">
        <v>4319</v>
      </c>
      <c r="I125" s="28"/>
      <c r="J125" s="28"/>
      <c r="K125" s="28">
        <v>168</v>
      </c>
      <c r="L125" s="28">
        <v>19</v>
      </c>
      <c r="M125" s="28" t="s">
        <v>79</v>
      </c>
      <c r="N125" s="28" t="s">
        <v>669</v>
      </c>
      <c r="O125" s="28" t="s">
        <v>670</v>
      </c>
      <c r="P125" s="28"/>
      <c r="Q125" s="28" t="s">
        <v>561</v>
      </c>
      <c r="R125" s="28" t="s">
        <v>561</v>
      </c>
      <c r="S125" s="28" t="s">
        <v>561</v>
      </c>
      <c r="T125" s="28" t="s">
        <v>671</v>
      </c>
      <c r="U125" s="28"/>
      <c r="V125" s="29">
        <v>1</v>
      </c>
      <c r="W125" s="28"/>
      <c r="X125" s="28"/>
      <c r="Y125" s="28" t="s">
        <v>54</v>
      </c>
      <c r="Z125" s="30"/>
      <c r="AA125" s="31">
        <v>3</v>
      </c>
      <c r="AB125" s="30"/>
      <c r="AC125" s="31">
        <f>+AA125+2</f>
        <v>5</v>
      </c>
      <c r="AD125" s="30"/>
      <c r="AE125" s="31">
        <f>+AA125*2</f>
        <v>6</v>
      </c>
      <c r="AF125" s="28"/>
      <c r="AG125" s="28"/>
      <c r="AH125" s="28"/>
      <c r="AI125" s="28"/>
      <c r="AJ125" s="110">
        <f>127.727+17.22/2</f>
        <v>136.33699999999999</v>
      </c>
      <c r="AK125" s="111"/>
      <c r="AL125" s="32">
        <v>304.44</v>
      </c>
      <c r="AM125" s="32">
        <f>+(127.727+17.22)/AL125</f>
        <v>0.47611023518591511</v>
      </c>
      <c r="AN125" s="32">
        <f>+AJ125/AL125</f>
        <v>0.44782880042044404</v>
      </c>
      <c r="AO125" s="32"/>
      <c r="AP125" s="32">
        <f>+(11*253374+7*202642+4*152003+101350*2)/24*AJ125</f>
        <v>28496250.826666664</v>
      </c>
      <c r="AQ125" s="152">
        <v>137595.70000000001</v>
      </c>
      <c r="AR125" s="32" t="s">
        <v>55</v>
      </c>
      <c r="AS125" s="34" t="s">
        <v>672</v>
      </c>
      <c r="AT125" s="35">
        <v>45589</v>
      </c>
      <c r="AU125" s="36"/>
      <c r="AV125" s="37" t="s">
        <v>673</v>
      </c>
      <c r="AW125" s="38"/>
      <c r="AX125" s="38"/>
      <c r="AY125" s="38"/>
      <c r="AZ125" s="38"/>
      <c r="BA125" s="38"/>
      <c r="BB125" s="38"/>
      <c r="BC125" s="38"/>
      <c r="BD125" s="38"/>
      <c r="BE125" s="38"/>
      <c r="BF125" s="38"/>
      <c r="BG125" s="38"/>
      <c r="BH125" s="39"/>
      <c r="BI125" s="39"/>
      <c r="BJ125" s="39"/>
      <c r="BK125" s="39"/>
      <c r="BL125" s="39"/>
      <c r="BM125" s="39"/>
      <c r="BN125" s="39"/>
      <c r="BO125" s="39"/>
      <c r="BP125" s="39"/>
      <c r="BQ125" s="39"/>
      <c r="BR125" s="39"/>
      <c r="BS125" s="39"/>
      <c r="BT125" s="39"/>
      <c r="BU125" s="39"/>
      <c r="BV125" s="39"/>
      <c r="BW125" s="39"/>
      <c r="IQ125" s="39"/>
      <c r="IR125" s="39"/>
      <c r="IS125" s="39"/>
      <c r="IT125" s="39"/>
      <c r="IU125" s="39"/>
      <c r="IV125" s="39"/>
      <c r="IW125" s="39"/>
    </row>
    <row r="126" spans="1:257" s="40" customFormat="1" ht="63.75">
      <c r="A126" s="149"/>
      <c r="B126" s="115">
        <v>125</v>
      </c>
      <c r="C126" s="145">
        <v>564504</v>
      </c>
      <c r="D126" s="146">
        <v>45525</v>
      </c>
      <c r="E126" s="43" t="s">
        <v>42</v>
      </c>
      <c r="F126" s="27">
        <v>61511</v>
      </c>
      <c r="G126" s="27">
        <v>158328</v>
      </c>
      <c r="H126" s="27">
        <v>32377</v>
      </c>
      <c r="I126" s="28">
        <v>247</v>
      </c>
      <c r="J126" s="28"/>
      <c r="K126" s="10"/>
      <c r="L126" s="28">
        <v>3</v>
      </c>
      <c r="M126" s="10" t="s">
        <v>33</v>
      </c>
      <c r="N126" s="28" t="s">
        <v>674</v>
      </c>
      <c r="O126" s="10"/>
      <c r="P126" s="28" t="s">
        <v>675</v>
      </c>
      <c r="Q126" s="28" t="s">
        <v>312</v>
      </c>
      <c r="R126" s="28"/>
      <c r="S126" s="28"/>
      <c r="T126" s="28"/>
      <c r="U126" s="28">
        <v>1</v>
      </c>
      <c r="V126" s="29"/>
      <c r="W126" s="28"/>
      <c r="X126" s="28"/>
      <c r="Y126" s="10" t="s">
        <v>676</v>
      </c>
      <c r="Z126" s="30">
        <f>7+3+3</f>
        <v>13</v>
      </c>
      <c r="AA126" s="31"/>
      <c r="AB126" s="30">
        <f>+Z126+4</f>
        <v>17</v>
      </c>
      <c r="AC126" s="31"/>
      <c r="AD126" s="30">
        <f>9*3+1+3*2</f>
        <v>34</v>
      </c>
      <c r="AE126" s="31"/>
      <c r="AF126" s="28"/>
      <c r="AG126" s="28">
        <f>+(749.18+32.2/2)</f>
        <v>765.28</v>
      </c>
      <c r="AH126" s="28">
        <f>198.32+2.34/2</f>
        <v>199.48999999999998</v>
      </c>
      <c r="AI126" s="28">
        <f>110.28+3.34/2</f>
        <v>111.95</v>
      </c>
      <c r="AJ126" s="110"/>
      <c r="AK126" s="111"/>
      <c r="AL126" s="32">
        <v>11091</v>
      </c>
      <c r="AM126" s="32">
        <f>+(1055+44.2)/AL126</f>
        <v>9.910738436570192E-2</v>
      </c>
      <c r="AN126" s="32">
        <f>+(AG126+AH126+AI126)/AL126</f>
        <v>9.708051573347759E-2</v>
      </c>
      <c r="AO126" s="32"/>
      <c r="AP126" s="32">
        <f>+(8*204929+10*163397+2*122940+2*81972)/22*AI126</f>
        <v>18742597.759090912</v>
      </c>
      <c r="AQ126" s="152">
        <v>209194</v>
      </c>
      <c r="AR126" s="32" t="s">
        <v>55</v>
      </c>
      <c r="AS126" s="34" t="s">
        <v>677</v>
      </c>
      <c r="AT126" s="35">
        <v>45583</v>
      </c>
      <c r="AU126" s="36"/>
      <c r="AV126" s="37">
        <v>45526</v>
      </c>
      <c r="AW126" s="38"/>
      <c r="AX126" s="38"/>
      <c r="AY126" s="38"/>
      <c r="AZ126" s="38"/>
      <c r="BA126" s="38"/>
      <c r="BB126" s="38"/>
      <c r="BC126" s="38"/>
      <c r="BD126" s="38"/>
      <c r="BE126" s="38"/>
      <c r="BF126" s="38"/>
      <c r="BG126" s="38"/>
      <c r="BH126" s="39"/>
      <c r="BI126" s="39"/>
      <c r="BJ126" s="39"/>
      <c r="BK126" s="39"/>
      <c r="BL126" s="39"/>
      <c r="BM126" s="39"/>
      <c r="BN126" s="39"/>
      <c r="BO126" s="39"/>
      <c r="BP126" s="39"/>
      <c r="BQ126" s="39"/>
      <c r="BR126" s="39"/>
      <c r="BS126" s="39"/>
      <c r="BT126" s="39"/>
      <c r="BU126" s="39"/>
      <c r="BV126" s="39"/>
      <c r="BW126" s="39"/>
      <c r="IQ126" s="39"/>
      <c r="IR126" s="39"/>
      <c r="IS126" s="39"/>
      <c r="IT126" s="39"/>
      <c r="IU126" s="39"/>
      <c r="IV126" s="39"/>
      <c r="IW126" s="39"/>
    </row>
    <row r="127" spans="1:257" s="40" customFormat="1" ht="63.75">
      <c r="A127" s="157"/>
      <c r="B127" s="151">
        <v>126</v>
      </c>
      <c r="C127" s="147" t="s">
        <v>678</v>
      </c>
      <c r="D127" s="143">
        <v>45504</v>
      </c>
      <c r="E127" s="26" t="s">
        <v>42</v>
      </c>
      <c r="F127" s="27">
        <v>62228</v>
      </c>
      <c r="G127" s="27">
        <v>169882</v>
      </c>
      <c r="H127" s="27">
        <v>34192</v>
      </c>
      <c r="I127" s="28">
        <v>330</v>
      </c>
      <c r="J127" s="28"/>
      <c r="K127" s="28">
        <v>4</v>
      </c>
      <c r="L127" s="28">
        <v>8</v>
      </c>
      <c r="M127" s="28" t="s">
        <v>33</v>
      </c>
      <c r="N127" s="28" t="s">
        <v>679</v>
      </c>
      <c r="O127" s="28" t="s">
        <v>680</v>
      </c>
      <c r="P127" s="28"/>
      <c r="Q127" s="28" t="s">
        <v>681</v>
      </c>
      <c r="R127" s="28"/>
      <c r="S127" s="28"/>
      <c r="T127" s="28"/>
      <c r="U127" s="28">
        <v>1</v>
      </c>
      <c r="V127" s="29"/>
      <c r="W127" s="28"/>
      <c r="X127" s="28"/>
      <c r="Y127" s="28" t="s">
        <v>54</v>
      </c>
      <c r="Z127" s="30">
        <v>2</v>
      </c>
      <c r="AA127" s="31"/>
      <c r="AB127" s="30">
        <f>+Z127+1</f>
        <v>3</v>
      </c>
      <c r="AC127" s="31"/>
      <c r="AD127" s="30">
        <f>+Z127*2</f>
        <v>4</v>
      </c>
      <c r="AE127" s="31"/>
      <c r="AF127" s="28"/>
      <c r="AG127" s="28"/>
      <c r="AH127" s="28">
        <f>54.7+34.2/2</f>
        <v>71.800000000000011</v>
      </c>
      <c r="AI127" s="28"/>
      <c r="AJ127" s="110"/>
      <c r="AK127" s="111"/>
      <c r="AL127" s="32">
        <v>859.23</v>
      </c>
      <c r="AM127" s="32">
        <f>+(54.7+34.2)/AL127</f>
        <v>0.10346473004899737</v>
      </c>
      <c r="AN127" s="32">
        <f>+AH127/AL127</f>
        <v>8.3563190298290346E-2</v>
      </c>
      <c r="AO127" s="32"/>
      <c r="AP127" s="32">
        <f>+(2*253374+9*202642+7*152003+2*101350)/20*AH127</f>
        <v>12914116.730000002</v>
      </c>
      <c r="AQ127" s="152">
        <v>198103.21</v>
      </c>
      <c r="AR127" s="32" t="s">
        <v>39</v>
      </c>
      <c r="AS127" s="34" t="s">
        <v>682</v>
      </c>
      <c r="AT127" s="35">
        <v>45586</v>
      </c>
      <c r="AU127" s="36"/>
      <c r="AV127" s="37">
        <v>45579</v>
      </c>
      <c r="AW127" s="38"/>
      <c r="AX127" s="38"/>
      <c r="AY127" s="38"/>
      <c r="AZ127" s="38"/>
      <c r="BA127" s="38"/>
      <c r="BB127" s="38"/>
      <c r="BC127" s="38"/>
      <c r="BD127" s="38"/>
      <c r="BE127" s="38"/>
      <c r="BF127" s="38"/>
      <c r="BG127" s="38"/>
      <c r="BH127" s="39"/>
      <c r="BI127" s="39"/>
      <c r="BJ127" s="39"/>
      <c r="BK127" s="39"/>
      <c r="BL127" s="39"/>
      <c r="BM127" s="39"/>
      <c r="BN127" s="39"/>
      <c r="BO127" s="39"/>
      <c r="BP127" s="39"/>
      <c r="BQ127" s="39"/>
      <c r="BR127" s="39"/>
      <c r="BS127" s="39"/>
      <c r="BT127" s="39"/>
      <c r="BU127" s="39"/>
      <c r="BV127" s="39"/>
      <c r="BW127" s="39"/>
      <c r="IQ127" s="39"/>
      <c r="IR127" s="39"/>
      <c r="IS127" s="39"/>
      <c r="IT127" s="39"/>
      <c r="IU127" s="39"/>
      <c r="IV127" s="39"/>
      <c r="IW127" s="39"/>
    </row>
    <row r="128" spans="1:257" s="40" customFormat="1" ht="76.5">
      <c r="A128" s="149"/>
      <c r="B128" s="208">
        <v>127</v>
      </c>
      <c r="C128" s="147">
        <v>563272</v>
      </c>
      <c r="D128" s="25">
        <v>45462</v>
      </c>
      <c r="E128" s="26" t="s">
        <v>48</v>
      </c>
      <c r="F128" s="27">
        <v>36221</v>
      </c>
      <c r="G128" s="27"/>
      <c r="H128" s="27">
        <v>754</v>
      </c>
      <c r="I128" s="28"/>
      <c r="J128" s="28"/>
      <c r="K128" s="28">
        <v>65</v>
      </c>
      <c r="L128" s="28">
        <v>22</v>
      </c>
      <c r="M128" s="28" t="s">
        <v>79</v>
      </c>
      <c r="N128" s="28" t="s">
        <v>683</v>
      </c>
      <c r="O128" s="28"/>
      <c r="P128" s="28" t="s">
        <v>487</v>
      </c>
      <c r="Q128" s="28" t="s">
        <v>488</v>
      </c>
      <c r="R128" s="28" t="s">
        <v>489</v>
      </c>
      <c r="S128" s="28" t="s">
        <v>488</v>
      </c>
      <c r="T128" s="28" t="s">
        <v>490</v>
      </c>
      <c r="U128" s="28"/>
      <c r="V128" s="28">
        <v>1</v>
      </c>
      <c r="W128" s="28"/>
      <c r="X128" s="28"/>
      <c r="Y128" s="28" t="s">
        <v>684</v>
      </c>
      <c r="Z128" s="30">
        <v>4</v>
      </c>
      <c r="AA128" s="30"/>
      <c r="AB128" s="30">
        <f>4+1+2</f>
        <v>7</v>
      </c>
      <c r="AC128" s="30"/>
      <c r="AD128" s="30">
        <f>+Z128*2</f>
        <v>8</v>
      </c>
      <c r="AE128" s="30"/>
      <c r="AF128" s="28"/>
      <c r="AG128" s="28">
        <f>432.35+383.9/2+206.49</f>
        <v>830.79</v>
      </c>
      <c r="AH128" s="28"/>
      <c r="AI128" s="28"/>
      <c r="AJ128" s="28"/>
      <c r="AK128" s="32">
        <f>93.94+110.01/2</f>
        <v>148.94499999999999</v>
      </c>
      <c r="AL128" s="32">
        <v>2967.73</v>
      </c>
      <c r="AM128" s="32">
        <v>0.27</v>
      </c>
      <c r="AN128" s="32">
        <v>0.34</v>
      </c>
      <c r="AO128" s="32"/>
      <c r="AP128" s="32">
        <v>100000000</v>
      </c>
      <c r="AQ128" s="152">
        <v>1483994</v>
      </c>
      <c r="AR128" s="32" t="s">
        <v>39</v>
      </c>
      <c r="AS128" s="34" t="s">
        <v>685</v>
      </c>
      <c r="AT128" s="35">
        <v>45588</v>
      </c>
      <c r="AU128" s="35"/>
      <c r="AV128" s="37" t="s">
        <v>686</v>
      </c>
      <c r="AW128" s="38"/>
      <c r="AX128" s="38"/>
      <c r="AY128" s="38"/>
      <c r="AZ128" s="38"/>
      <c r="BA128" s="38"/>
      <c r="BB128" s="38"/>
      <c r="BC128" s="38"/>
      <c r="BD128" s="38"/>
      <c r="BE128" s="38"/>
      <c r="BF128" s="38"/>
      <c r="BG128" s="38"/>
      <c r="BH128" s="39"/>
      <c r="BI128" s="39"/>
      <c r="BJ128" s="39"/>
      <c r="BK128" s="39"/>
      <c r="BL128" s="39"/>
      <c r="BM128" s="39"/>
      <c r="BN128" s="39"/>
      <c r="BO128" s="39"/>
      <c r="BP128" s="39"/>
      <c r="BQ128" s="39"/>
      <c r="BR128" s="39"/>
      <c r="BS128" s="39"/>
      <c r="BT128" s="39"/>
      <c r="BU128" s="39"/>
      <c r="BV128" s="39"/>
      <c r="BW128" s="39"/>
      <c r="IQ128" s="39"/>
      <c r="IR128" s="39"/>
      <c r="IS128" s="39"/>
      <c r="IT128" s="39"/>
      <c r="IU128" s="39"/>
      <c r="IV128" s="39"/>
      <c r="IW128" s="39"/>
    </row>
    <row r="129" spans="1:257" s="40" customFormat="1" ht="51">
      <c r="A129" s="149"/>
      <c r="B129" s="141">
        <v>128</v>
      </c>
      <c r="C129" s="24">
        <v>565095</v>
      </c>
      <c r="D129" s="150">
        <v>45552</v>
      </c>
      <c r="E129" s="88" t="s">
        <v>48</v>
      </c>
      <c r="F129" s="27">
        <v>63473</v>
      </c>
      <c r="G129" s="27">
        <v>101573</v>
      </c>
      <c r="H129" s="27">
        <v>20056</v>
      </c>
      <c r="I129" s="28">
        <v>63</v>
      </c>
      <c r="J129" s="28"/>
      <c r="K129" s="28">
        <v>437</v>
      </c>
      <c r="L129" s="28">
        <v>1</v>
      </c>
      <c r="M129" s="28" t="s">
        <v>43</v>
      </c>
      <c r="N129" s="28" t="s">
        <v>687</v>
      </c>
      <c r="O129" s="28" t="s">
        <v>688</v>
      </c>
      <c r="P129" s="28"/>
      <c r="Q129" s="28" t="s">
        <v>628</v>
      </c>
      <c r="R129" s="28" t="s">
        <v>628</v>
      </c>
      <c r="S129" s="28" t="s">
        <v>628</v>
      </c>
      <c r="T129" s="28" t="s">
        <v>242</v>
      </c>
      <c r="U129" s="28"/>
      <c r="V129" s="29">
        <v>1</v>
      </c>
      <c r="W129" s="28"/>
      <c r="X129" s="28"/>
      <c r="Y129" s="28" t="s">
        <v>54</v>
      </c>
      <c r="Z129" s="30"/>
      <c r="AA129" s="31">
        <v>3</v>
      </c>
      <c r="AB129" s="30"/>
      <c r="AC129" s="31">
        <f>+AA129+1</f>
        <v>4</v>
      </c>
      <c r="AD129" s="30"/>
      <c r="AE129" s="31">
        <f>+AA129*2</f>
        <v>6</v>
      </c>
      <c r="AF129" s="28"/>
      <c r="AG129" s="28"/>
      <c r="AH129" s="28"/>
      <c r="AI129" s="28"/>
      <c r="AJ129" s="110">
        <f>59+50.77/2+65.4+3.67/2</f>
        <v>151.62000000000003</v>
      </c>
      <c r="AK129" s="111"/>
      <c r="AL129" s="32">
        <v>320</v>
      </c>
      <c r="AM129" s="32">
        <f>+(59+20.77)/AL129</f>
        <v>0.24928124999999998</v>
      </c>
      <c r="AN129" s="32">
        <f>+AJ129/AL129</f>
        <v>0.47381250000000008</v>
      </c>
      <c r="AO129" s="32">
        <f>+(2+24)/(1+8)</f>
        <v>2.8888888888888888</v>
      </c>
      <c r="AP129" s="32">
        <f>+(2*253374+10*202642+7*152003+1*101350)/20*AJ129</f>
        <v>28038624.159000009</v>
      </c>
      <c r="AQ129" s="152">
        <v>130022.58</v>
      </c>
      <c r="AR129" s="32" t="s">
        <v>55</v>
      </c>
      <c r="AS129" s="34" t="s">
        <v>689</v>
      </c>
      <c r="AT129" s="35">
        <v>45587</v>
      </c>
      <c r="AU129" s="36"/>
      <c r="AV129" s="89" t="s">
        <v>690</v>
      </c>
      <c r="AW129" s="38"/>
      <c r="AX129" s="38"/>
      <c r="AY129" s="38"/>
      <c r="AZ129" s="38"/>
      <c r="BA129" s="38"/>
      <c r="BB129" s="38"/>
      <c r="BC129" s="38"/>
      <c r="BD129" s="38"/>
      <c r="BE129" s="38"/>
      <c r="BF129" s="38"/>
      <c r="BG129" s="38"/>
      <c r="BH129" s="39"/>
      <c r="BI129" s="39"/>
      <c r="BJ129" s="39"/>
      <c r="BK129" s="39"/>
      <c r="BL129" s="39"/>
      <c r="BM129" s="39"/>
      <c r="BN129" s="39"/>
      <c r="BO129" s="39"/>
      <c r="BP129" s="39"/>
      <c r="BQ129" s="39"/>
      <c r="BR129" s="39"/>
      <c r="BS129" s="39"/>
      <c r="BT129" s="39"/>
      <c r="BU129" s="39"/>
      <c r="BV129" s="39"/>
      <c r="BW129" s="39"/>
      <c r="IQ129" s="39"/>
      <c r="IR129" s="39"/>
      <c r="IS129" s="39"/>
      <c r="IT129" s="39"/>
      <c r="IU129" s="39"/>
      <c r="IV129" s="39"/>
      <c r="IW129" s="39"/>
    </row>
    <row r="130" spans="1:257" s="40" customFormat="1" ht="89.25">
      <c r="A130" s="149"/>
      <c r="B130" s="93">
        <v>129</v>
      </c>
      <c r="C130" s="147" t="s">
        <v>691</v>
      </c>
      <c r="D130" s="143">
        <v>45512</v>
      </c>
      <c r="E130" s="26" t="s">
        <v>42</v>
      </c>
      <c r="F130" s="27"/>
      <c r="G130" s="27"/>
      <c r="H130" s="27">
        <v>21075</v>
      </c>
      <c r="I130" s="28"/>
      <c r="J130" s="28"/>
      <c r="K130" s="28">
        <v>464</v>
      </c>
      <c r="L130" s="28">
        <v>3</v>
      </c>
      <c r="M130" s="28" t="s">
        <v>43</v>
      </c>
      <c r="N130" s="28" t="s">
        <v>692</v>
      </c>
      <c r="O130" s="28" t="s">
        <v>693</v>
      </c>
      <c r="P130" s="28"/>
      <c r="Q130" s="28" t="s">
        <v>148</v>
      </c>
      <c r="R130" s="28"/>
      <c r="S130" s="28"/>
      <c r="T130" s="28"/>
      <c r="U130" s="28">
        <v>7</v>
      </c>
      <c r="V130" s="29"/>
      <c r="W130" s="28"/>
      <c r="X130" s="28"/>
      <c r="Y130" s="28" t="s">
        <v>38</v>
      </c>
      <c r="Z130" s="30">
        <f>5+2</f>
        <v>7</v>
      </c>
      <c r="AA130" s="31"/>
      <c r="AB130" s="30">
        <f>+Z130</f>
        <v>7</v>
      </c>
      <c r="AC130" s="31"/>
      <c r="AD130" s="30">
        <f>+Z130*2</f>
        <v>14</v>
      </c>
      <c r="AE130" s="31"/>
      <c r="AF130" s="28">
        <v>137.62</v>
      </c>
      <c r="AG130" s="28"/>
      <c r="AH130" s="28">
        <v>53.46</v>
      </c>
      <c r="AI130" s="28"/>
      <c r="AJ130" s="110"/>
      <c r="AK130" s="111"/>
      <c r="AL130" s="32">
        <v>1190.8900000000001</v>
      </c>
      <c r="AM130" s="32">
        <v>0.18</v>
      </c>
      <c r="AN130" s="32">
        <f>+(AF130+AH130)/AL130</f>
        <v>0.16045142708394561</v>
      </c>
      <c r="AO130" s="32"/>
      <c r="AP130" s="32">
        <v>25922000</v>
      </c>
      <c r="AQ130" s="152">
        <v>395862.6</v>
      </c>
      <c r="AR130" s="32" t="s">
        <v>55</v>
      </c>
      <c r="AS130" s="34" t="s">
        <v>694</v>
      </c>
      <c r="AT130" s="35">
        <v>45589</v>
      </c>
      <c r="AU130" s="36"/>
      <c r="AV130" s="37">
        <v>45573</v>
      </c>
      <c r="AW130" s="38"/>
      <c r="AX130" s="38"/>
      <c r="AY130" s="38"/>
      <c r="AZ130" s="38"/>
      <c r="BA130" s="38"/>
      <c r="BB130" s="38"/>
      <c r="BC130" s="38"/>
      <c r="BD130" s="38"/>
      <c r="BE130" s="38"/>
      <c r="BF130" s="38"/>
      <c r="BG130" s="38"/>
      <c r="BH130" s="39"/>
      <c r="BI130" s="39"/>
      <c r="BJ130" s="39"/>
      <c r="BK130" s="39"/>
      <c r="BL130" s="39"/>
      <c r="BM130" s="39"/>
      <c r="BN130" s="39"/>
      <c r="BO130" s="39"/>
      <c r="BP130" s="39"/>
      <c r="BQ130" s="39"/>
      <c r="BR130" s="39"/>
      <c r="BS130" s="39"/>
      <c r="BT130" s="39"/>
      <c r="BU130" s="39"/>
      <c r="BV130" s="39"/>
      <c r="BW130" s="39"/>
      <c r="IQ130" s="39"/>
      <c r="IR130" s="39"/>
      <c r="IS130" s="39"/>
      <c r="IT130" s="39"/>
      <c r="IU130" s="39"/>
      <c r="IV130" s="39"/>
      <c r="IW130" s="39"/>
    </row>
    <row r="131" spans="1:257" s="40" customFormat="1" ht="76.5">
      <c r="A131" s="149"/>
      <c r="B131" s="151">
        <v>130</v>
      </c>
      <c r="C131" s="147" t="s">
        <v>695</v>
      </c>
      <c r="D131" s="143">
        <v>45549</v>
      </c>
      <c r="E131" s="26" t="s">
        <v>42</v>
      </c>
      <c r="F131" s="27">
        <v>1092</v>
      </c>
      <c r="G131" s="27">
        <v>1803</v>
      </c>
      <c r="H131" s="27">
        <v>2458</v>
      </c>
      <c r="I131" s="28"/>
      <c r="J131" s="28"/>
      <c r="K131" s="28">
        <v>32</v>
      </c>
      <c r="L131" s="28">
        <v>7</v>
      </c>
      <c r="M131" s="28" t="s">
        <v>43</v>
      </c>
      <c r="N131" s="28" t="s">
        <v>696</v>
      </c>
      <c r="O131" s="28" t="s">
        <v>697</v>
      </c>
      <c r="P131" s="28"/>
      <c r="Q131" s="28" t="s">
        <v>264</v>
      </c>
      <c r="R131" s="28"/>
      <c r="S131" s="28"/>
      <c r="T131" s="28"/>
      <c r="U131" s="28">
        <v>1</v>
      </c>
      <c r="V131" s="29"/>
      <c r="W131" s="28"/>
      <c r="X131" s="28"/>
      <c r="Y131" s="28" t="s">
        <v>54</v>
      </c>
      <c r="Z131" s="30">
        <v>3</v>
      </c>
      <c r="AA131" s="31"/>
      <c r="AB131" s="30">
        <f>+Z131+1</f>
        <v>4</v>
      </c>
      <c r="AC131" s="31"/>
      <c r="AD131" s="30">
        <f>+Z131*2</f>
        <v>6</v>
      </c>
      <c r="AE131" s="31"/>
      <c r="AF131" s="28"/>
      <c r="AG131" s="28"/>
      <c r="AH131" s="28">
        <f>102.37+15.43+24.5+29.15/2</f>
        <v>156.875</v>
      </c>
      <c r="AI131" s="28"/>
      <c r="AJ131" s="110"/>
      <c r="AK131" s="111"/>
      <c r="AL131" s="32">
        <v>453</v>
      </c>
      <c r="AM131" s="32">
        <f>+(102.37+15.43+24.5+29.15)/AL131</f>
        <v>0.378476821192053</v>
      </c>
      <c r="AN131" s="32">
        <f>+AH131/AL131</f>
        <v>0.34630242825607066</v>
      </c>
      <c r="AO131" s="32"/>
      <c r="AP131" s="32">
        <f>+(1*253374+6*202642+9*152003+4*101350)/20*AH131</f>
        <v>25434559.46875</v>
      </c>
      <c r="AQ131" s="152">
        <v>360345.37</v>
      </c>
      <c r="AR131" s="32" t="s">
        <v>265</v>
      </c>
      <c r="AS131" s="34" t="s">
        <v>698</v>
      </c>
      <c r="AT131" s="35">
        <v>45589</v>
      </c>
      <c r="AU131" s="36"/>
      <c r="AV131" s="37">
        <v>45582</v>
      </c>
      <c r="AW131" s="38"/>
      <c r="AX131" s="38"/>
      <c r="AY131" s="38"/>
      <c r="AZ131" s="38"/>
      <c r="BA131" s="38"/>
      <c r="BB131" s="38"/>
      <c r="BC131" s="38"/>
      <c r="BD131" s="38"/>
      <c r="BE131" s="38"/>
      <c r="BF131" s="38"/>
      <c r="BG131" s="38"/>
      <c r="BH131" s="39"/>
      <c r="BI131" s="39"/>
      <c r="BJ131" s="39"/>
      <c r="BK131" s="39"/>
      <c r="BL131" s="39"/>
      <c r="BM131" s="39"/>
      <c r="BN131" s="39"/>
      <c r="BO131" s="39"/>
      <c r="BP131" s="39"/>
      <c r="BQ131" s="39"/>
      <c r="BR131" s="39"/>
      <c r="BS131" s="39"/>
      <c r="BT131" s="39"/>
      <c r="BU131" s="39"/>
      <c r="BV131" s="39"/>
      <c r="BW131" s="39"/>
      <c r="IQ131" s="39"/>
      <c r="IR131" s="39"/>
      <c r="IS131" s="39"/>
      <c r="IT131" s="39"/>
      <c r="IU131" s="39"/>
      <c r="IV131" s="39"/>
      <c r="IW131" s="39"/>
    </row>
    <row r="132" spans="1:257" s="40" customFormat="1" ht="140.25">
      <c r="A132" s="149"/>
      <c r="B132" s="144">
        <v>131</v>
      </c>
      <c r="C132" s="147" t="s">
        <v>699</v>
      </c>
      <c r="D132" s="143">
        <v>45538</v>
      </c>
      <c r="E132" s="26" t="s">
        <v>42</v>
      </c>
      <c r="F132" s="27">
        <v>25062</v>
      </c>
      <c r="G132" s="27">
        <v>103881</v>
      </c>
      <c r="H132" s="27">
        <v>3313</v>
      </c>
      <c r="I132" s="28"/>
      <c r="J132" s="28"/>
      <c r="K132" s="28">
        <v>119</v>
      </c>
      <c r="L132" s="28">
        <v>2</v>
      </c>
      <c r="M132" s="28" t="s">
        <v>43</v>
      </c>
      <c r="N132" s="28" t="s">
        <v>700</v>
      </c>
      <c r="O132" s="28" t="s">
        <v>701</v>
      </c>
      <c r="P132" s="28"/>
      <c r="Q132" s="28" t="s">
        <v>143</v>
      </c>
      <c r="R132" s="28" t="s">
        <v>143</v>
      </c>
      <c r="S132" s="28" t="s">
        <v>143</v>
      </c>
      <c r="T132" s="28" t="s">
        <v>702</v>
      </c>
      <c r="U132" s="28">
        <f>1+1</f>
        <v>2</v>
      </c>
      <c r="V132" s="29"/>
      <c r="W132" s="28">
        <v>1</v>
      </c>
      <c r="X132" s="28"/>
      <c r="Y132" s="28" t="s">
        <v>277</v>
      </c>
      <c r="Z132" s="30">
        <f>1+1</f>
        <v>2</v>
      </c>
      <c r="AA132" s="31">
        <v>1</v>
      </c>
      <c r="AB132" s="30">
        <f>+Z132+1</f>
        <v>3</v>
      </c>
      <c r="AC132" s="31"/>
      <c r="AD132" s="30">
        <f>+Z132*2</f>
        <v>4</v>
      </c>
      <c r="AE132" s="31">
        <f>+AA132*2</f>
        <v>2</v>
      </c>
      <c r="AF132" s="28">
        <f>111.05+3.32/2</f>
        <v>112.71</v>
      </c>
      <c r="AG132" s="28"/>
      <c r="AH132" s="28"/>
      <c r="AI132" s="28"/>
      <c r="AJ132" s="110">
        <f>21.9+8.49/2+22.77+5.2/2</f>
        <v>51.515000000000001</v>
      </c>
      <c r="AK132" s="111"/>
      <c r="AL132" s="32">
        <v>232.74</v>
      </c>
      <c r="AM132" s="32"/>
      <c r="AN132" s="32">
        <f>+(AF132+AJ132)/AL132</f>
        <v>0.70561570851594047</v>
      </c>
      <c r="AO132" s="32"/>
      <c r="AP132" s="32">
        <f>+(5*253374+7*202642+7*152003+3*101350)/22*AJ132+21601000</f>
        <v>31092486.546590909</v>
      </c>
      <c r="AQ132" s="152">
        <f>395419.14+114024</f>
        <v>509443.14</v>
      </c>
      <c r="AR132" s="32" t="s">
        <v>39</v>
      </c>
      <c r="AS132" s="34" t="s">
        <v>703</v>
      </c>
      <c r="AT132" s="35">
        <v>45593</v>
      </c>
      <c r="AU132" s="36"/>
      <c r="AV132" s="37" t="s">
        <v>704</v>
      </c>
      <c r="AW132" s="38"/>
      <c r="AX132" s="38"/>
      <c r="AY132" s="38"/>
      <c r="AZ132" s="38"/>
      <c r="BA132" s="38"/>
      <c r="BB132" s="38"/>
      <c r="BC132" s="38"/>
      <c r="BD132" s="38"/>
      <c r="BE132" s="38"/>
      <c r="BF132" s="38"/>
      <c r="BG132" s="38"/>
      <c r="BH132" s="39"/>
      <c r="BI132" s="39"/>
      <c r="BJ132" s="39"/>
      <c r="BK132" s="39"/>
      <c r="BL132" s="39"/>
      <c r="BM132" s="39"/>
      <c r="BN132" s="39"/>
      <c r="BO132" s="39"/>
      <c r="BP132" s="39"/>
      <c r="BQ132" s="39"/>
      <c r="BR132" s="39"/>
      <c r="BS132" s="39"/>
      <c r="BT132" s="39"/>
      <c r="BU132" s="39"/>
      <c r="BV132" s="39"/>
      <c r="BW132" s="39"/>
      <c r="IQ132" s="39"/>
      <c r="IR132" s="39"/>
      <c r="IS132" s="39"/>
      <c r="IT132" s="39"/>
      <c r="IU132" s="39"/>
      <c r="IV132" s="39"/>
      <c r="IW132" s="39"/>
    </row>
    <row r="133" spans="1:257" s="40" customFormat="1" ht="51">
      <c r="A133" s="149"/>
      <c r="B133" s="208">
        <v>132</v>
      </c>
      <c r="C133" s="209">
        <v>565947</v>
      </c>
      <c r="D133" s="142">
        <v>45560</v>
      </c>
      <c r="E133" s="210" t="s">
        <v>42</v>
      </c>
      <c r="F133" s="48">
        <v>55961</v>
      </c>
      <c r="G133" s="48">
        <v>50252</v>
      </c>
      <c r="H133" s="48">
        <v>3020</v>
      </c>
      <c r="I133" s="49"/>
      <c r="J133" s="49"/>
      <c r="K133" s="49">
        <v>800</v>
      </c>
      <c r="L133" s="49">
        <v>11</v>
      </c>
      <c r="M133" s="49" t="s">
        <v>43</v>
      </c>
      <c r="N133" s="49" t="s">
        <v>705</v>
      </c>
      <c r="O133" s="49" t="s">
        <v>706</v>
      </c>
      <c r="P133" s="49"/>
      <c r="Q133" s="49" t="s">
        <v>662</v>
      </c>
      <c r="R133" s="49"/>
      <c r="S133" s="49"/>
      <c r="T133" s="49"/>
      <c r="U133" s="49">
        <v>2</v>
      </c>
      <c r="V133" s="51"/>
      <c r="W133" s="49"/>
      <c r="X133" s="49"/>
      <c r="Y133" s="49" t="s">
        <v>225</v>
      </c>
      <c r="Z133" s="52"/>
      <c r="AA133" s="53"/>
      <c r="AB133" s="54"/>
      <c r="AC133" s="53"/>
      <c r="AD133" s="54"/>
      <c r="AE133" s="53"/>
      <c r="AF133" s="49"/>
      <c r="AG133" s="49"/>
      <c r="AH133" s="49"/>
      <c r="AI133" s="49">
        <f>227.34+38.61</f>
        <v>265.95</v>
      </c>
      <c r="AJ133" s="51"/>
      <c r="AK133" s="55"/>
      <c r="AL133" s="56">
        <v>316</v>
      </c>
      <c r="AM133" s="56">
        <f>+(227.34+38.61)/AL133</f>
        <v>0.84161392405063284</v>
      </c>
      <c r="AN133" s="56">
        <f>+AI133/AL133</f>
        <v>0.84161392405063284</v>
      </c>
      <c r="AO133" s="56"/>
      <c r="AP133" s="56">
        <f>+AI133*202642</f>
        <v>53892639.899999999</v>
      </c>
      <c r="AQ133" s="154">
        <v>717573.58</v>
      </c>
      <c r="AR133" s="56" t="s">
        <v>55</v>
      </c>
      <c r="AS133" s="58" t="s">
        <v>707</v>
      </c>
      <c r="AT133" s="59">
        <v>45593</v>
      </c>
      <c r="AU133" s="60"/>
      <c r="AV133" s="73">
        <v>45568</v>
      </c>
      <c r="AW133" s="38"/>
      <c r="AX133" s="38">
        <f>509443.14-AQ133</f>
        <v>-208130.43999999994</v>
      </c>
      <c r="AY133" s="38"/>
      <c r="AZ133" s="38"/>
      <c r="BA133" s="38"/>
      <c r="BB133" s="38"/>
      <c r="BC133" s="38"/>
      <c r="BD133" s="38"/>
      <c r="BE133" s="38"/>
      <c r="BF133" s="38"/>
      <c r="BG133" s="38"/>
      <c r="BH133" s="39"/>
      <c r="BI133" s="39"/>
      <c r="BJ133" s="39"/>
      <c r="BK133" s="39"/>
      <c r="BL133" s="39"/>
      <c r="BM133" s="39"/>
      <c r="BN133" s="39"/>
      <c r="BO133" s="39"/>
      <c r="BP133" s="39"/>
      <c r="BQ133" s="39"/>
      <c r="BR133" s="39"/>
      <c r="BS133" s="39"/>
      <c r="BT133" s="39"/>
      <c r="BU133" s="39"/>
      <c r="BV133" s="39"/>
      <c r="BW133" s="39"/>
      <c r="IQ133" s="39"/>
      <c r="IR133" s="39"/>
      <c r="IS133" s="39"/>
      <c r="IT133" s="39"/>
      <c r="IU133" s="39"/>
      <c r="IV133" s="39"/>
      <c r="IW133" s="39"/>
    </row>
    <row r="134" spans="1:257" s="23" customFormat="1" ht="102">
      <c r="A134" s="157"/>
      <c r="B134" s="205">
        <v>133</v>
      </c>
      <c r="C134" s="61">
        <v>551146</v>
      </c>
      <c r="D134" s="158">
        <v>44999</v>
      </c>
      <c r="E134" s="47" t="s">
        <v>192</v>
      </c>
      <c r="F134" s="48">
        <v>17112</v>
      </c>
      <c r="G134" s="48">
        <v>105418</v>
      </c>
      <c r="H134" s="48">
        <v>3253</v>
      </c>
      <c r="I134" s="49"/>
      <c r="J134" s="49"/>
      <c r="K134" s="49">
        <v>112</v>
      </c>
      <c r="L134" s="49">
        <v>22</v>
      </c>
      <c r="M134" s="49" t="s">
        <v>126</v>
      </c>
      <c r="N134" s="49" t="s">
        <v>708</v>
      </c>
      <c r="O134" s="50" t="s">
        <v>709</v>
      </c>
      <c r="P134" s="49" t="s">
        <v>710</v>
      </c>
      <c r="Q134" s="49" t="s">
        <v>87</v>
      </c>
      <c r="R134" s="49" t="s">
        <v>87</v>
      </c>
      <c r="S134" s="49" t="s">
        <v>87</v>
      </c>
      <c r="T134" s="49" t="s">
        <v>155</v>
      </c>
      <c r="U134" s="49"/>
      <c r="V134" s="51"/>
      <c r="W134" s="49"/>
      <c r="X134" s="49"/>
      <c r="Y134" s="49" t="s">
        <v>38</v>
      </c>
      <c r="Z134" s="52"/>
      <c r="AA134" s="53"/>
      <c r="AB134" s="54"/>
      <c r="AC134" s="53"/>
      <c r="AD134" s="54"/>
      <c r="AE134" s="53"/>
      <c r="AF134" s="49"/>
      <c r="AG134" s="49"/>
      <c r="AH134" s="49"/>
      <c r="AI134" s="49"/>
      <c r="AJ134" s="51">
        <f>+(111.88/2+159.47+13.88/2+234.74/2+7.35+(368.32*3+251.25+7.34/2+6.25/2+5.29/2+7.07/2+((5.33/2+10.49/2+2.69/2+1.5/2+1.63/2+2.59/2+10.1/2+5.29/2)*3)))</f>
        <v>1775.6850000000004</v>
      </c>
      <c r="AK134" s="55"/>
      <c r="AL134" s="56">
        <v>777</v>
      </c>
      <c r="AM134" s="56">
        <f>+(5.33+10.49+368.32+1.5+2.69+14.5+5.29+10.1)/AL134</f>
        <v>0.53824967824967829</v>
      </c>
      <c r="AN134" s="56">
        <f>+AJ134/AL134</f>
        <v>2.285308880308881</v>
      </c>
      <c r="AO134" s="56"/>
      <c r="AP134" s="56"/>
      <c r="AQ134" s="154">
        <v>5260702.0599999996</v>
      </c>
      <c r="AR134" s="56" t="s">
        <v>39</v>
      </c>
      <c r="AS134" s="58" t="s">
        <v>711</v>
      </c>
      <c r="AT134" s="59">
        <v>45593</v>
      </c>
      <c r="AU134" s="60"/>
      <c r="AV134" s="162"/>
      <c r="AW134" s="21"/>
      <c r="AX134" s="21"/>
      <c r="AY134" s="21"/>
      <c r="AZ134" s="21"/>
      <c r="BA134" s="21"/>
      <c r="BB134" s="21"/>
      <c r="BC134" s="21"/>
      <c r="BD134" s="21"/>
      <c r="BE134" s="21"/>
      <c r="BF134" s="21"/>
      <c r="BG134" s="21"/>
      <c r="BH134" s="22"/>
      <c r="BI134" s="22"/>
      <c r="BJ134" s="22"/>
      <c r="BK134" s="22"/>
      <c r="BL134" s="22"/>
      <c r="BM134" s="22"/>
      <c r="BN134" s="22"/>
      <c r="BO134" s="22"/>
      <c r="BP134" s="22"/>
      <c r="BQ134" s="22"/>
      <c r="BR134" s="22"/>
      <c r="BS134" s="22"/>
      <c r="BT134" s="22"/>
      <c r="BU134" s="22"/>
      <c r="BV134" s="22"/>
      <c r="BW134" s="22"/>
      <c r="IQ134" s="22"/>
      <c r="IR134" s="22"/>
      <c r="IS134" s="22"/>
      <c r="IT134" s="22"/>
      <c r="IU134" s="22"/>
      <c r="IV134" s="22"/>
      <c r="IW134" s="22"/>
    </row>
    <row r="135" spans="1:257" s="23" customFormat="1" ht="63.75">
      <c r="A135" s="149"/>
      <c r="B135" s="151">
        <v>134</v>
      </c>
      <c r="C135" s="145">
        <v>565956</v>
      </c>
      <c r="D135" s="143">
        <v>45560</v>
      </c>
      <c r="E135" s="88" t="s">
        <v>42</v>
      </c>
      <c r="F135" s="27">
        <v>48515</v>
      </c>
      <c r="G135" s="27">
        <v>158963</v>
      </c>
      <c r="H135" s="27">
        <v>21112</v>
      </c>
      <c r="I135" s="28">
        <v>26</v>
      </c>
      <c r="J135" s="28"/>
      <c r="K135" s="28">
        <v>310</v>
      </c>
      <c r="L135" s="28">
        <v>15</v>
      </c>
      <c r="M135" s="28" t="s">
        <v>43</v>
      </c>
      <c r="N135" s="28" t="s">
        <v>712</v>
      </c>
      <c r="O135" s="28" t="s">
        <v>713</v>
      </c>
      <c r="P135" s="28"/>
      <c r="Q135" s="28" t="s">
        <v>589</v>
      </c>
      <c r="R135" s="28"/>
      <c r="S135" s="28"/>
      <c r="T135" s="28"/>
      <c r="U135" s="28">
        <v>1</v>
      </c>
      <c r="V135" s="29"/>
      <c r="W135" s="28"/>
      <c r="X135" s="28"/>
      <c r="Y135" s="28" t="s">
        <v>54</v>
      </c>
      <c r="Z135" s="30">
        <f>2+2</f>
        <v>4</v>
      </c>
      <c r="AA135" s="31"/>
      <c r="AB135" s="30">
        <f>+Z135+1+1</f>
        <v>6</v>
      </c>
      <c r="AC135" s="31"/>
      <c r="AD135" s="30">
        <f>+Z135*2</f>
        <v>8</v>
      </c>
      <c r="AE135" s="31"/>
      <c r="AF135" s="28">
        <f>74.8+5.2/2</f>
        <v>77.399999999999991</v>
      </c>
      <c r="AG135" s="28"/>
      <c r="AH135" s="28">
        <f>56.6+9.4+49.43/2+41.59/2</f>
        <v>111.51</v>
      </c>
      <c r="AI135" s="28"/>
      <c r="AJ135" s="110"/>
      <c r="AK135" s="111"/>
      <c r="AL135" s="32">
        <v>314.91000000000003</v>
      </c>
      <c r="AM135" s="32">
        <f>+(9.4+49.43+41.59+74.8+5.2)/AL135</f>
        <v>0.57292559778984464</v>
      </c>
      <c r="AN135" s="32">
        <f>+(AF135+AH135)/AL135</f>
        <v>0.5998856816233209</v>
      </c>
      <c r="AO135" s="32">
        <f>+(6+9+12)/(3+3+3)</f>
        <v>3</v>
      </c>
      <c r="AP135" s="32">
        <f>+(5*253374+202642*7+7*152003+101350*3)/22*AH135</f>
        <v>20545388.038636364</v>
      </c>
      <c r="AQ135" s="152">
        <v>326469.51</v>
      </c>
      <c r="AR135" s="32" t="s">
        <v>39</v>
      </c>
      <c r="AS135" s="34" t="s">
        <v>714</v>
      </c>
      <c r="AT135" s="35">
        <v>45593</v>
      </c>
      <c r="AU135" s="36"/>
      <c r="AV135" s="37">
        <v>45572</v>
      </c>
      <c r="AW135" s="21"/>
      <c r="AX135" s="21"/>
      <c r="AY135" s="21"/>
      <c r="AZ135" s="21"/>
      <c r="BA135" s="21"/>
      <c r="BB135" s="21"/>
      <c r="BC135" s="21"/>
      <c r="BD135" s="21"/>
      <c r="BE135" s="21"/>
      <c r="BF135" s="21"/>
      <c r="BG135" s="21"/>
      <c r="BH135" s="22"/>
      <c r="BI135" s="22"/>
      <c r="BJ135" s="22"/>
      <c r="BK135" s="22"/>
      <c r="BL135" s="22"/>
      <c r="BM135" s="22"/>
      <c r="BN135" s="22"/>
      <c r="BO135" s="22"/>
      <c r="BP135" s="22"/>
      <c r="BQ135" s="22"/>
      <c r="BR135" s="22"/>
      <c r="BS135" s="22"/>
      <c r="BT135" s="22"/>
      <c r="BU135" s="22"/>
      <c r="BV135" s="22"/>
      <c r="BW135" s="22"/>
      <c r="IQ135" s="22"/>
      <c r="IR135" s="22"/>
      <c r="IS135" s="22"/>
      <c r="IT135" s="22"/>
      <c r="IU135" s="22"/>
      <c r="IV135" s="22"/>
      <c r="IW135" s="22"/>
    </row>
    <row r="136" spans="1:257" s="40" customFormat="1" ht="38.25">
      <c r="A136" s="149"/>
      <c r="B136" s="151">
        <v>135</v>
      </c>
      <c r="C136" s="147" t="s">
        <v>715</v>
      </c>
      <c r="D136" s="143">
        <v>45358</v>
      </c>
      <c r="E136" s="26" t="s">
        <v>48</v>
      </c>
      <c r="F136" s="27">
        <v>34121</v>
      </c>
      <c r="G136" s="27">
        <v>134112</v>
      </c>
      <c r="H136" s="27">
        <v>7251</v>
      </c>
      <c r="I136" s="28"/>
      <c r="J136" s="28"/>
      <c r="K136" s="28">
        <v>225</v>
      </c>
      <c r="L136" s="28">
        <v>9</v>
      </c>
      <c r="M136" s="28" t="s">
        <v>79</v>
      </c>
      <c r="N136" s="28" t="s">
        <v>716</v>
      </c>
      <c r="O136" s="28" t="s">
        <v>717</v>
      </c>
      <c r="P136" s="28"/>
      <c r="Q136" s="28" t="s">
        <v>662</v>
      </c>
      <c r="R136" s="28" t="s">
        <v>662</v>
      </c>
      <c r="S136" s="28" t="s">
        <v>662</v>
      </c>
      <c r="T136" s="28" t="s">
        <v>169</v>
      </c>
      <c r="U136" s="28"/>
      <c r="V136" s="29">
        <v>1</v>
      </c>
      <c r="W136" s="28"/>
      <c r="X136" s="28"/>
      <c r="Y136" s="28" t="s">
        <v>156</v>
      </c>
      <c r="Z136" s="30"/>
      <c r="AA136" s="31">
        <v>16</v>
      </c>
      <c r="AB136" s="30"/>
      <c r="AC136" s="31">
        <f>+AA136+1</f>
        <v>17</v>
      </c>
      <c r="AD136" s="30"/>
      <c r="AE136" s="31">
        <f>+AA136*2</f>
        <v>32</v>
      </c>
      <c r="AF136" s="28"/>
      <c r="AG136" s="28"/>
      <c r="AH136" s="28"/>
      <c r="AI136" s="28"/>
      <c r="AJ136" s="110">
        <f>1460.36+12.88/2</f>
        <v>1466.8</v>
      </c>
      <c r="AK136" s="111"/>
      <c r="AL136" s="32">
        <v>498.6</v>
      </c>
      <c r="AM136" s="32"/>
      <c r="AN136" s="32">
        <f>+AJ136/AL136</f>
        <v>2.9418371440032089</v>
      </c>
      <c r="AO136" s="32"/>
      <c r="AP136" s="32">
        <f>7522185261+55881099.53</f>
        <v>7578066360.5299997</v>
      </c>
      <c r="AQ136" s="152">
        <v>6450444.6100000003</v>
      </c>
      <c r="AR136" s="32" t="s">
        <v>55</v>
      </c>
      <c r="AS136" s="34" t="s">
        <v>718</v>
      </c>
      <c r="AT136" s="35">
        <v>45594</v>
      </c>
      <c r="AU136" s="36"/>
      <c r="AV136" s="37" t="s">
        <v>719</v>
      </c>
      <c r="AW136" s="38"/>
      <c r="AX136" s="38"/>
      <c r="AY136" s="38"/>
      <c r="AZ136" s="38"/>
      <c r="BA136" s="38"/>
      <c r="BB136" s="38"/>
      <c r="BC136" s="38"/>
      <c r="BD136" s="38"/>
      <c r="BE136" s="38"/>
      <c r="BF136" s="38"/>
      <c r="BG136" s="38"/>
      <c r="BH136" s="39"/>
      <c r="BI136" s="39"/>
      <c r="BJ136" s="39"/>
      <c r="BK136" s="39"/>
      <c r="BL136" s="39"/>
      <c r="BM136" s="39"/>
      <c r="BN136" s="39"/>
      <c r="BO136" s="39"/>
      <c r="BP136" s="39"/>
      <c r="BQ136" s="39"/>
      <c r="BR136" s="39"/>
      <c r="BS136" s="39"/>
      <c r="BT136" s="39"/>
      <c r="BU136" s="39"/>
      <c r="BV136" s="39"/>
      <c r="BW136" s="39"/>
      <c r="IQ136" s="39"/>
      <c r="IR136" s="39"/>
      <c r="IS136" s="39"/>
      <c r="IT136" s="39"/>
      <c r="IU136" s="39"/>
      <c r="IV136" s="39"/>
      <c r="IW136" s="39"/>
    </row>
    <row r="137" spans="1:257" s="40" customFormat="1" ht="38.25">
      <c r="A137" s="203" t="s">
        <v>720</v>
      </c>
      <c r="B137" s="148">
        <v>136</v>
      </c>
      <c r="C137" s="147">
        <v>566057</v>
      </c>
      <c r="D137" s="143">
        <v>45566</v>
      </c>
      <c r="E137" s="26" t="s">
        <v>48</v>
      </c>
      <c r="F137" s="27">
        <v>5332</v>
      </c>
      <c r="G137" s="27">
        <v>101328</v>
      </c>
      <c r="H137" s="27">
        <v>201</v>
      </c>
      <c r="I137" s="28"/>
      <c r="J137" s="28"/>
      <c r="K137" s="28">
        <v>224</v>
      </c>
      <c r="L137" s="28">
        <v>2</v>
      </c>
      <c r="M137" s="28" t="s">
        <v>721</v>
      </c>
      <c r="N137" s="28" t="s">
        <v>722</v>
      </c>
      <c r="O137" s="28" t="s">
        <v>723</v>
      </c>
      <c r="P137" s="28" t="s">
        <v>724</v>
      </c>
      <c r="Q137" s="28" t="s">
        <v>154</v>
      </c>
      <c r="R137" s="28" t="s">
        <v>154</v>
      </c>
      <c r="S137" s="28" t="s">
        <v>154</v>
      </c>
      <c r="T137" s="28" t="s">
        <v>53</v>
      </c>
      <c r="U137" s="28"/>
      <c r="V137" s="29">
        <f>2+2*2+2</f>
        <v>8</v>
      </c>
      <c r="W137" s="28"/>
      <c r="X137" s="28"/>
      <c r="Y137" s="28" t="s">
        <v>725</v>
      </c>
      <c r="Z137" s="30"/>
      <c r="AA137" s="31">
        <f>6*2+2+2</f>
        <v>16</v>
      </c>
      <c r="AB137" s="30"/>
      <c r="AC137" s="31">
        <f>+AA137+16</f>
        <v>32</v>
      </c>
      <c r="AD137" s="30"/>
      <c r="AE137" s="31">
        <f>+AA137*2</f>
        <v>32</v>
      </c>
      <c r="AF137" s="28"/>
      <c r="AG137" s="28"/>
      <c r="AH137" s="28"/>
      <c r="AI137" s="28"/>
      <c r="AJ137" s="110">
        <f>+(120.03+5.3/2+5/2)*3+114.3</f>
        <v>489.84000000000003</v>
      </c>
      <c r="AK137" s="111">
        <f>107.42+30.15/2+3.15/2+0.56/2+10.65/2</f>
        <v>129.67500000000001</v>
      </c>
      <c r="AL137" s="32">
        <v>315.58</v>
      </c>
      <c r="AM137" s="32">
        <f>+(30.15+107.42+3.15+0.56+10.85)/AL137</f>
        <v>0.48206476963052158</v>
      </c>
      <c r="AN137" s="32">
        <f>+(AJ137+AK137)/AL137</f>
        <v>1.963099689460676</v>
      </c>
      <c r="AO137" s="32"/>
      <c r="AP137" s="32">
        <f>+(8*253374+9*202642+2*152003+6*101350)/22*AJ137</f>
        <v>106047599.08363637</v>
      </c>
      <c r="AQ137" s="159">
        <v>566074.4</v>
      </c>
      <c r="AR137" s="32" t="s">
        <v>39</v>
      </c>
      <c r="AS137" s="34" t="s">
        <v>726</v>
      </c>
      <c r="AT137" s="35">
        <v>45600</v>
      </c>
      <c r="AU137" s="36"/>
      <c r="AV137" s="37" t="s">
        <v>727</v>
      </c>
      <c r="AW137" s="38"/>
      <c r="AX137" s="38"/>
      <c r="AY137" s="38"/>
      <c r="AZ137" s="38"/>
      <c r="BA137" s="38"/>
      <c r="BB137" s="38"/>
      <c r="BC137" s="38"/>
      <c r="BD137" s="38"/>
      <c r="BE137" s="38"/>
      <c r="BF137" s="38"/>
      <c r="BG137" s="38"/>
      <c r="BH137" s="39"/>
      <c r="BI137" s="39"/>
      <c r="BJ137" s="39"/>
      <c r="BK137" s="39"/>
      <c r="BL137" s="39"/>
      <c r="BM137" s="39"/>
      <c r="BN137" s="39"/>
      <c r="BO137" s="39"/>
      <c r="BP137" s="39"/>
      <c r="BQ137" s="39"/>
      <c r="BR137" s="39"/>
      <c r="BS137" s="39"/>
      <c r="BT137" s="39"/>
      <c r="BU137" s="39"/>
      <c r="BV137" s="39"/>
      <c r="BW137" s="39"/>
      <c r="IQ137" s="39"/>
      <c r="IR137" s="39"/>
      <c r="IS137" s="39"/>
      <c r="IT137" s="39"/>
      <c r="IU137" s="39"/>
      <c r="IV137" s="39"/>
      <c r="IW137" s="39"/>
    </row>
    <row r="138" spans="1:257" s="40" customFormat="1" ht="38.25">
      <c r="A138" s="141"/>
      <c r="B138" s="207">
        <v>137</v>
      </c>
      <c r="C138" s="209">
        <v>563733</v>
      </c>
      <c r="D138" s="142">
        <v>45015</v>
      </c>
      <c r="E138" s="210" t="s">
        <v>275</v>
      </c>
      <c r="F138" s="48"/>
      <c r="G138" s="48"/>
      <c r="H138" s="48">
        <v>31558</v>
      </c>
      <c r="I138" s="49">
        <v>355</v>
      </c>
      <c r="J138" s="49"/>
      <c r="K138" s="49">
        <v>2</v>
      </c>
      <c r="L138" s="49">
        <v>1</v>
      </c>
      <c r="M138" s="49" t="s">
        <v>33</v>
      </c>
      <c r="N138" s="49" t="s">
        <v>728</v>
      </c>
      <c r="O138" s="50" t="s">
        <v>729</v>
      </c>
      <c r="P138" s="49"/>
      <c r="Q138" s="49" t="s">
        <v>730</v>
      </c>
      <c r="R138" s="49" t="s">
        <v>730</v>
      </c>
      <c r="S138" s="49" t="s">
        <v>730</v>
      </c>
      <c r="T138" s="28" t="s">
        <v>53</v>
      </c>
      <c r="U138" s="49">
        <v>3</v>
      </c>
      <c r="V138" s="51"/>
      <c r="W138" s="49"/>
      <c r="X138" s="49"/>
      <c r="Y138" s="49" t="s">
        <v>38</v>
      </c>
      <c r="Z138" s="52">
        <f>1+1+1</f>
        <v>3</v>
      </c>
      <c r="AA138" s="53"/>
      <c r="AB138" s="54">
        <f>+Z138+1+1+1</f>
        <v>6</v>
      </c>
      <c r="AC138" s="53"/>
      <c r="AD138" s="54">
        <f>+Z138*2</f>
        <v>6</v>
      </c>
      <c r="AE138" s="53"/>
      <c r="AF138" s="49">
        <f>105.32+17.38/2+37.12</f>
        <v>151.13</v>
      </c>
      <c r="AG138" s="49"/>
      <c r="AH138" s="49">
        <f>(105.32+17.38/2+37.12+41.4/2)-AF138</f>
        <v>20.699999999999989</v>
      </c>
      <c r="AI138" s="49"/>
      <c r="AJ138" s="51"/>
      <c r="AK138" s="55"/>
      <c r="AL138" s="56">
        <v>450</v>
      </c>
      <c r="AM138" s="56">
        <f>+(105.32+17.38+41.4)/AL138</f>
        <v>0.36466666666666664</v>
      </c>
      <c r="AN138" s="56">
        <f>+(AF138+AH138)/AL138</f>
        <v>0.38184444444444443</v>
      </c>
      <c r="AO138" s="56"/>
      <c r="AP138" s="56">
        <f>+(1*253374+202542*12+5*152003+101350*2)/21*AH138</f>
        <v>3594498.8142857123</v>
      </c>
      <c r="AQ138" s="161">
        <v>40254.050000000003</v>
      </c>
      <c r="AR138" s="56" t="s">
        <v>39</v>
      </c>
      <c r="AS138" s="58" t="s">
        <v>731</v>
      </c>
      <c r="AT138" s="59">
        <v>45600</v>
      </c>
      <c r="AU138" s="60"/>
      <c r="AV138" s="58" t="s">
        <v>732</v>
      </c>
      <c r="AW138" s="38"/>
      <c r="AX138" s="38"/>
      <c r="AY138" s="38"/>
      <c r="AZ138" s="38"/>
      <c r="BA138" s="38"/>
      <c r="BB138" s="38"/>
      <c r="BC138" s="38"/>
      <c r="BD138" s="38"/>
      <c r="BE138" s="38"/>
      <c r="BF138" s="38"/>
      <c r="BG138" s="38"/>
      <c r="BH138" s="39"/>
      <c r="BI138" s="39"/>
      <c r="BJ138" s="39"/>
      <c r="BK138" s="39"/>
      <c r="BL138" s="39"/>
      <c r="BM138" s="39"/>
      <c r="BN138" s="39"/>
      <c r="BO138" s="39"/>
      <c r="BP138" s="39"/>
      <c r="BQ138" s="39"/>
      <c r="BR138" s="39"/>
      <c r="BS138" s="39"/>
      <c r="BT138" s="39"/>
      <c r="BU138" s="39"/>
      <c r="BV138" s="39"/>
      <c r="BW138" s="39"/>
      <c r="IQ138" s="39"/>
      <c r="IR138" s="39"/>
      <c r="IS138" s="39"/>
      <c r="IT138" s="39"/>
      <c r="IU138" s="39"/>
      <c r="IV138" s="39"/>
      <c r="IW138" s="39"/>
    </row>
    <row r="139" spans="1:257" s="23" customFormat="1" ht="76.5">
      <c r="A139" s="141"/>
      <c r="B139" s="160">
        <v>138</v>
      </c>
      <c r="C139" s="61">
        <v>551989</v>
      </c>
      <c r="D139" s="158">
        <v>45027</v>
      </c>
      <c r="E139" s="47" t="s">
        <v>42</v>
      </c>
      <c r="F139" s="48"/>
      <c r="G139" s="48"/>
      <c r="H139" s="48">
        <v>31643</v>
      </c>
      <c r="I139" s="49">
        <v>355</v>
      </c>
      <c r="J139" s="49"/>
      <c r="K139" s="49">
        <v>2</v>
      </c>
      <c r="L139" s="49">
        <v>2</v>
      </c>
      <c r="M139" s="49" t="s">
        <v>33</v>
      </c>
      <c r="N139" s="49" t="s">
        <v>733</v>
      </c>
      <c r="O139" s="50" t="s">
        <v>729</v>
      </c>
      <c r="P139" s="49"/>
      <c r="Q139" s="49" t="s">
        <v>730</v>
      </c>
      <c r="R139" s="49"/>
      <c r="S139" s="49"/>
      <c r="T139" s="49"/>
      <c r="U139" s="49">
        <v>2</v>
      </c>
      <c r="V139" s="51"/>
      <c r="W139" s="49"/>
      <c r="X139" s="49"/>
      <c r="Y139" s="49" t="s">
        <v>38</v>
      </c>
      <c r="Z139" s="52">
        <f>2+2</f>
        <v>4</v>
      </c>
      <c r="AA139" s="53"/>
      <c r="AB139" s="54">
        <f>+Z139+1+1</f>
        <v>6</v>
      </c>
      <c r="AC139" s="53"/>
      <c r="AD139" s="54">
        <f>+Z139*2</f>
        <v>8</v>
      </c>
      <c r="AE139" s="53"/>
      <c r="AF139" s="49"/>
      <c r="AG139" s="49"/>
      <c r="AH139" s="49">
        <f>145.77+42.5/2</f>
        <v>167.02</v>
      </c>
      <c r="AI139" s="49"/>
      <c r="AJ139" s="51"/>
      <c r="AK139" s="55"/>
      <c r="AL139" s="56">
        <v>450</v>
      </c>
      <c r="AM139" s="56">
        <f>+(145.77+42.5)/AL139</f>
        <v>0.41837777777777779</v>
      </c>
      <c r="AN139" s="56">
        <f>+AH139/AL139</f>
        <v>0.37115555555555557</v>
      </c>
      <c r="AO139" s="56"/>
      <c r="AP139" s="56">
        <f>+(1*253374+12*202642+152003*5+2*101350)/21*AH139</f>
        <v>29012113.660000004</v>
      </c>
      <c r="AQ139" s="161">
        <v>512177.32</v>
      </c>
      <c r="AR139" s="56" t="s">
        <v>39</v>
      </c>
      <c r="AS139" s="58" t="s">
        <v>734</v>
      </c>
      <c r="AT139" s="59">
        <v>45600</v>
      </c>
      <c r="AU139" s="60"/>
      <c r="AV139" s="63">
        <v>45491</v>
      </c>
      <c r="AW139" s="21"/>
      <c r="AX139" s="21"/>
      <c r="AY139" s="21"/>
      <c r="AZ139" s="21"/>
      <c r="BA139" s="21"/>
      <c r="BB139" s="21"/>
      <c r="BC139" s="21"/>
      <c r="BD139" s="21"/>
      <c r="BE139" s="21"/>
      <c r="BF139" s="21"/>
      <c r="BG139" s="21"/>
      <c r="BH139" s="22"/>
      <c r="BI139" s="22"/>
      <c r="BJ139" s="22"/>
      <c r="BK139" s="22"/>
      <c r="BL139" s="22"/>
      <c r="BM139" s="22"/>
      <c r="BN139" s="22"/>
      <c r="BO139" s="22"/>
      <c r="BP139" s="22"/>
      <c r="BQ139" s="22"/>
      <c r="BR139" s="22"/>
      <c r="BS139" s="22"/>
      <c r="BT139" s="22"/>
      <c r="BU139" s="22"/>
      <c r="BV139" s="22"/>
      <c r="BW139" s="22"/>
      <c r="IQ139" s="22"/>
      <c r="IR139" s="22"/>
      <c r="IS139" s="22"/>
      <c r="IT139" s="22"/>
      <c r="IU139" s="22"/>
      <c r="IV139" s="22"/>
      <c r="IW139" s="22"/>
    </row>
    <row r="140" spans="1:257" s="23" customFormat="1" ht="38.25">
      <c r="A140" s="141"/>
      <c r="B140" s="134">
        <v>139</v>
      </c>
      <c r="C140" s="24" t="s">
        <v>735</v>
      </c>
      <c r="D140" s="150">
        <v>45385</v>
      </c>
      <c r="E140" s="88" t="s">
        <v>48</v>
      </c>
      <c r="F140" s="27">
        <v>42760</v>
      </c>
      <c r="G140" s="27">
        <v>140835</v>
      </c>
      <c r="H140" s="27">
        <v>31991</v>
      </c>
      <c r="I140" s="28">
        <v>137</v>
      </c>
      <c r="J140" s="28"/>
      <c r="K140" s="28">
        <v>2</v>
      </c>
      <c r="L140" s="28">
        <v>2</v>
      </c>
      <c r="M140" s="28" t="s">
        <v>66</v>
      </c>
      <c r="N140" s="28" t="s">
        <v>736</v>
      </c>
      <c r="O140" s="28" t="s">
        <v>737</v>
      </c>
      <c r="P140" s="28" t="s">
        <v>738</v>
      </c>
      <c r="Q140" s="28" t="s">
        <v>739</v>
      </c>
      <c r="R140" s="28" t="s">
        <v>739</v>
      </c>
      <c r="S140" s="28" t="s">
        <v>739</v>
      </c>
      <c r="T140" s="28" t="s">
        <v>740</v>
      </c>
      <c r="U140" s="28"/>
      <c r="V140" s="29">
        <v>1</v>
      </c>
      <c r="W140" s="28"/>
      <c r="X140" s="28"/>
      <c r="Y140" s="28" t="s">
        <v>94</v>
      </c>
      <c r="Z140" s="30"/>
      <c r="AA140" s="31"/>
      <c r="AB140" s="30"/>
      <c r="AC140" s="31"/>
      <c r="AD140" s="30"/>
      <c r="AE140" s="31"/>
      <c r="AF140" s="28"/>
      <c r="AG140" s="28"/>
      <c r="AH140" s="28"/>
      <c r="AI140" s="28"/>
      <c r="AJ140" s="110"/>
      <c r="AK140" s="111">
        <v>600</v>
      </c>
      <c r="AL140" s="32">
        <v>2025</v>
      </c>
      <c r="AM140" s="32">
        <f>+AK140/AL140</f>
        <v>0.29629629629629628</v>
      </c>
      <c r="AN140" s="32">
        <f>+AK140/AL140</f>
        <v>0.29629629629629628</v>
      </c>
      <c r="AO140" s="32"/>
      <c r="AP140" s="32">
        <f>+AK140*202642</f>
        <v>121585200</v>
      </c>
      <c r="AQ140" s="159">
        <v>421513.16</v>
      </c>
      <c r="AR140" s="32" t="s">
        <v>55</v>
      </c>
      <c r="AS140" s="34" t="s">
        <v>741</v>
      </c>
      <c r="AT140" s="35">
        <v>45607</v>
      </c>
      <c r="AU140" s="36"/>
      <c r="AV140" s="89" t="s">
        <v>742</v>
      </c>
      <c r="AW140" s="21"/>
      <c r="AX140" s="21"/>
      <c r="AY140" s="21"/>
      <c r="AZ140" s="21"/>
      <c r="BA140" s="21"/>
      <c r="BB140" s="21"/>
      <c r="BC140" s="21"/>
      <c r="BD140" s="21"/>
      <c r="BE140" s="21"/>
      <c r="BF140" s="21"/>
      <c r="BG140" s="21"/>
      <c r="BH140" s="22"/>
      <c r="BI140" s="22"/>
      <c r="BJ140" s="22"/>
      <c r="BK140" s="22"/>
      <c r="BL140" s="22"/>
      <c r="BM140" s="22"/>
      <c r="BN140" s="22"/>
      <c r="BO140" s="22"/>
      <c r="BP140" s="22"/>
      <c r="BQ140" s="22"/>
      <c r="BR140" s="22"/>
      <c r="BS140" s="22"/>
      <c r="BT140" s="22"/>
      <c r="BU140" s="22"/>
      <c r="BV140" s="22"/>
      <c r="BW140" s="22"/>
      <c r="IQ140" s="22"/>
      <c r="IR140" s="22"/>
      <c r="IS140" s="22"/>
      <c r="IT140" s="22"/>
      <c r="IU140" s="22"/>
      <c r="IV140" s="22"/>
      <c r="IW140" s="22"/>
    </row>
    <row r="141" spans="1:257" s="40" customFormat="1" ht="76.5">
      <c r="A141" s="141"/>
      <c r="B141" s="148">
        <v>140</v>
      </c>
      <c r="C141" s="147" t="s">
        <v>743</v>
      </c>
      <c r="D141" s="143">
        <v>44465</v>
      </c>
      <c r="E141" s="26" t="s">
        <v>42</v>
      </c>
      <c r="F141" s="27">
        <v>50545</v>
      </c>
      <c r="G141" s="27">
        <v>160536</v>
      </c>
      <c r="H141" s="27">
        <v>21167</v>
      </c>
      <c r="I141" s="28"/>
      <c r="J141" s="28"/>
      <c r="K141" s="28">
        <v>248</v>
      </c>
      <c r="L141" s="28">
        <v>15</v>
      </c>
      <c r="M141" s="28" t="s">
        <v>173</v>
      </c>
      <c r="N141" s="28" t="s">
        <v>744</v>
      </c>
      <c r="O141" s="28" t="s">
        <v>745</v>
      </c>
      <c r="P141" s="28"/>
      <c r="Q141" s="28" t="s">
        <v>746</v>
      </c>
      <c r="R141" s="28"/>
      <c r="S141" s="28"/>
      <c r="T141" s="28"/>
      <c r="U141" s="28">
        <v>4</v>
      </c>
      <c r="V141" s="29"/>
      <c r="W141" s="28"/>
      <c r="X141" s="28"/>
      <c r="Y141" s="28" t="s">
        <v>38</v>
      </c>
      <c r="Z141" s="30"/>
      <c r="AA141" s="31"/>
      <c r="AB141" s="30"/>
      <c r="AC141" s="31"/>
      <c r="AD141" s="30"/>
      <c r="AE141" s="31"/>
      <c r="AF141" s="28"/>
      <c r="AG141" s="28"/>
      <c r="AH141" s="28">
        <f>111.56+91.09/2+110.12+14.53/2</f>
        <v>274.49</v>
      </c>
      <c r="AI141" s="28"/>
      <c r="AJ141" s="110"/>
      <c r="AK141" s="111"/>
      <c r="AL141" s="32">
        <v>308.39999999999998</v>
      </c>
      <c r="AM141" s="32">
        <f>+(64.31+13.09+47.25+78)/AL141</f>
        <v>0.65710116731517521</v>
      </c>
      <c r="AN141" s="32">
        <f>+AH141/AL141</f>
        <v>0.89004539559014273</v>
      </c>
      <c r="AO141" s="32"/>
      <c r="AP141" s="32">
        <f>+(2*253374+10*202642+7*152003+3*101350)/22*AH141</f>
        <v>48675049.686818182</v>
      </c>
      <c r="AQ141" s="159">
        <v>810781.39</v>
      </c>
      <c r="AR141" s="32" t="s">
        <v>198</v>
      </c>
      <c r="AS141" s="34" t="s">
        <v>747</v>
      </c>
      <c r="AT141" s="35">
        <v>45608</v>
      </c>
      <c r="AU141" s="36"/>
      <c r="AV141" s="37">
        <v>45608</v>
      </c>
      <c r="AW141" s="38"/>
      <c r="AX141" s="38"/>
      <c r="AY141" s="38"/>
      <c r="AZ141" s="38"/>
      <c r="BA141" s="38"/>
      <c r="BB141" s="38"/>
      <c r="BC141" s="38"/>
      <c r="BD141" s="38"/>
      <c r="BE141" s="38"/>
      <c r="BF141" s="38"/>
      <c r="BG141" s="38"/>
      <c r="BH141" s="39"/>
      <c r="BI141" s="39"/>
      <c r="BJ141" s="39"/>
      <c r="BK141" s="39"/>
      <c r="BL141" s="39"/>
      <c r="BM141" s="39"/>
      <c r="BN141" s="39"/>
      <c r="BO141" s="39"/>
      <c r="BP141" s="39"/>
      <c r="BQ141" s="39"/>
      <c r="BR141" s="39"/>
      <c r="BS141" s="39"/>
      <c r="BT141" s="39"/>
      <c r="BU141" s="39"/>
      <c r="BV141" s="39"/>
      <c r="BW141" s="39"/>
      <c r="IQ141" s="39"/>
      <c r="IR141" s="39"/>
      <c r="IS141" s="39"/>
      <c r="IT141" s="39"/>
      <c r="IU141" s="39"/>
      <c r="IV141" s="39"/>
      <c r="IW141" s="39"/>
    </row>
    <row r="142" spans="1:257" s="40" customFormat="1" ht="63.75">
      <c r="A142" s="141"/>
      <c r="B142" s="148">
        <v>141</v>
      </c>
      <c r="C142" s="147" t="s">
        <v>748</v>
      </c>
      <c r="D142" s="143">
        <v>45436</v>
      </c>
      <c r="E142" s="26" t="s">
        <v>48</v>
      </c>
      <c r="F142" s="27">
        <v>43387</v>
      </c>
      <c r="G142" s="27">
        <v>141224</v>
      </c>
      <c r="H142" s="27">
        <v>8819</v>
      </c>
      <c r="I142" s="28"/>
      <c r="J142" s="28"/>
      <c r="K142" s="28">
        <v>43</v>
      </c>
      <c r="L142" s="28">
        <v>16</v>
      </c>
      <c r="M142" s="28" t="s">
        <v>43</v>
      </c>
      <c r="N142" s="28" t="s">
        <v>749</v>
      </c>
      <c r="O142" s="28" t="s">
        <v>750</v>
      </c>
      <c r="P142" s="28" t="s">
        <v>738</v>
      </c>
      <c r="Q142" s="28" t="s">
        <v>751</v>
      </c>
      <c r="R142" s="28" t="s">
        <v>751</v>
      </c>
      <c r="S142" s="28" t="s">
        <v>751</v>
      </c>
      <c r="T142" s="28" t="s">
        <v>740</v>
      </c>
      <c r="U142" s="28"/>
      <c r="V142" s="29">
        <v>1</v>
      </c>
      <c r="W142" s="28"/>
      <c r="X142" s="28"/>
      <c r="Y142" s="28" t="s">
        <v>225</v>
      </c>
      <c r="Z142" s="30"/>
      <c r="AA142" s="31"/>
      <c r="AB142" s="30"/>
      <c r="AC142" s="31"/>
      <c r="AD142" s="30"/>
      <c r="AE142" s="31"/>
      <c r="AF142" s="28"/>
      <c r="AG142" s="28"/>
      <c r="AH142" s="28"/>
      <c r="AI142" s="28"/>
      <c r="AJ142" s="110"/>
      <c r="AK142" s="111">
        <f>316.57+48.69</f>
        <v>365.26</v>
      </c>
      <c r="AL142" s="32">
        <v>555.16</v>
      </c>
      <c r="AM142" s="32">
        <f>316.57/AL142</f>
        <v>0.57023200518769368</v>
      </c>
      <c r="AN142" s="32">
        <f>+AK142/AL142</f>
        <v>0.65793645075293616</v>
      </c>
      <c r="AO142" s="32"/>
      <c r="AP142" s="32">
        <f>+AK142*202642</f>
        <v>74017016.920000002</v>
      </c>
      <c r="AQ142" s="159">
        <v>1101800.94</v>
      </c>
      <c r="AR142" s="32" t="s">
        <v>39</v>
      </c>
      <c r="AS142" s="34" t="s">
        <v>752</v>
      </c>
      <c r="AT142" s="35">
        <v>45610</v>
      </c>
      <c r="AU142" s="36"/>
      <c r="AV142" s="37" t="s">
        <v>753</v>
      </c>
      <c r="AW142" s="38"/>
      <c r="AX142" s="38"/>
      <c r="AY142" s="38"/>
      <c r="AZ142" s="38"/>
      <c r="BA142" s="38"/>
      <c r="BB142" s="38"/>
      <c r="BC142" s="38"/>
      <c r="BD142" s="38"/>
      <c r="BE142" s="38"/>
      <c r="BF142" s="38"/>
      <c r="BG142" s="38"/>
      <c r="BH142" s="39"/>
      <c r="BI142" s="39"/>
      <c r="BJ142" s="39"/>
      <c r="BK142" s="39"/>
      <c r="BL142" s="39"/>
      <c r="BM142" s="39"/>
      <c r="BN142" s="39"/>
      <c r="BO142" s="39"/>
      <c r="BP142" s="39"/>
      <c r="BQ142" s="39"/>
      <c r="BR142" s="39"/>
      <c r="BS142" s="39"/>
      <c r="BT142" s="39"/>
      <c r="BU142" s="39"/>
      <c r="BV142" s="39"/>
      <c r="BW142" s="39"/>
      <c r="IQ142" s="39"/>
      <c r="IR142" s="39"/>
      <c r="IS142" s="39"/>
      <c r="IT142" s="39"/>
      <c r="IU142" s="39"/>
      <c r="IV142" s="39"/>
      <c r="IW142" s="39"/>
    </row>
    <row r="143" spans="1:257" s="40" customFormat="1" ht="51">
      <c r="A143" s="141"/>
      <c r="B143" s="148">
        <v>142</v>
      </c>
      <c r="C143" s="147">
        <v>566625</v>
      </c>
      <c r="D143" s="143">
        <v>45583</v>
      </c>
      <c r="E143" s="26" t="s">
        <v>48</v>
      </c>
      <c r="F143" s="27">
        <v>17519</v>
      </c>
      <c r="G143" s="27">
        <v>107845</v>
      </c>
      <c r="H143" s="27">
        <v>3679</v>
      </c>
      <c r="I143" s="28"/>
      <c r="J143" s="28"/>
      <c r="K143" s="28">
        <v>649</v>
      </c>
      <c r="L143" s="28">
        <v>13</v>
      </c>
      <c r="M143" s="28" t="s">
        <v>43</v>
      </c>
      <c r="N143" s="28" t="s">
        <v>754</v>
      </c>
      <c r="O143" s="28" t="s">
        <v>755</v>
      </c>
      <c r="P143" s="28" t="s">
        <v>756</v>
      </c>
      <c r="Q143" s="28" t="s">
        <v>46</v>
      </c>
      <c r="R143" s="28" t="s">
        <v>46</v>
      </c>
      <c r="S143" s="28" t="s">
        <v>46</v>
      </c>
      <c r="T143" s="28" t="s">
        <v>53</v>
      </c>
      <c r="U143" s="28"/>
      <c r="V143" s="29">
        <v>4</v>
      </c>
      <c r="W143" s="28"/>
      <c r="X143" s="28"/>
      <c r="Y143" s="28" t="s">
        <v>757</v>
      </c>
      <c r="Z143" s="30"/>
      <c r="AA143" s="31"/>
      <c r="AB143" s="30"/>
      <c r="AC143" s="31"/>
      <c r="AD143" s="30"/>
      <c r="AE143" s="31"/>
      <c r="AF143" s="28"/>
      <c r="AG143" s="28"/>
      <c r="AH143" s="28"/>
      <c r="AI143" s="28"/>
      <c r="AJ143" s="110"/>
      <c r="AK143" s="111">
        <f>107.3+0.76/2+107.3</f>
        <v>214.98</v>
      </c>
      <c r="AL143" s="32">
        <v>159.63999999999999</v>
      </c>
      <c r="AM143" s="32">
        <f>+(107.3+0.76)/AL143</f>
        <v>0.67689802054622905</v>
      </c>
      <c r="AN143" s="32">
        <f>+AK143/AL143</f>
        <v>1.3466549736908044</v>
      </c>
      <c r="AO143" s="32"/>
      <c r="AP143" s="32">
        <f>+(39294880)</f>
        <v>39294880</v>
      </c>
      <c r="AQ143" s="159">
        <v>162983.92000000001</v>
      </c>
      <c r="AR143" s="32" t="s">
        <v>39</v>
      </c>
      <c r="AS143" s="34" t="s">
        <v>758</v>
      </c>
      <c r="AT143" s="35">
        <v>45610</v>
      </c>
      <c r="AU143" s="36"/>
      <c r="AV143" s="37" t="s">
        <v>759</v>
      </c>
      <c r="AW143" s="38"/>
      <c r="AX143" s="38"/>
      <c r="AY143" s="38"/>
      <c r="AZ143" s="38"/>
      <c r="BA143" s="38"/>
      <c r="BB143" s="38"/>
      <c r="BC143" s="38"/>
      <c r="BD143" s="38"/>
      <c r="BE143" s="38"/>
      <c r="BF143" s="38"/>
      <c r="BG143" s="38"/>
      <c r="BH143" s="39"/>
      <c r="BI143" s="39"/>
      <c r="BJ143" s="39"/>
      <c r="BK143" s="39"/>
      <c r="BL143" s="39"/>
      <c r="BM143" s="39"/>
      <c r="BN143" s="39"/>
      <c r="BO143" s="39"/>
      <c r="BP143" s="39"/>
      <c r="BQ143" s="39"/>
      <c r="BR143" s="39"/>
      <c r="BS143" s="39"/>
      <c r="BT143" s="39"/>
      <c r="BU143" s="39"/>
      <c r="BV143" s="39"/>
      <c r="BW143" s="39"/>
      <c r="IQ143" s="39"/>
      <c r="IR143" s="39"/>
      <c r="IS143" s="39"/>
      <c r="IT143" s="39"/>
      <c r="IU143" s="39"/>
      <c r="IV143" s="39"/>
      <c r="IW143" s="39"/>
    </row>
    <row r="144" spans="1:257" s="40" customFormat="1" ht="63.75">
      <c r="A144" s="141"/>
      <c r="B144" s="148">
        <v>143</v>
      </c>
      <c r="C144" s="147">
        <v>566080</v>
      </c>
      <c r="D144" s="143">
        <v>45566</v>
      </c>
      <c r="E144" s="26" t="s">
        <v>42</v>
      </c>
      <c r="F144" s="27">
        <v>5524</v>
      </c>
      <c r="G144" s="27">
        <v>2327</v>
      </c>
      <c r="H144" s="27">
        <v>1079</v>
      </c>
      <c r="I144" s="28"/>
      <c r="J144" s="28"/>
      <c r="K144" s="28">
        <v>134</v>
      </c>
      <c r="L144" s="28">
        <v>5</v>
      </c>
      <c r="M144" s="28" t="s">
        <v>43</v>
      </c>
      <c r="N144" s="28" t="s">
        <v>760</v>
      </c>
      <c r="O144" s="28" t="s">
        <v>761</v>
      </c>
      <c r="P144" s="28"/>
      <c r="Q144" s="28" t="s">
        <v>762</v>
      </c>
      <c r="R144" s="28"/>
      <c r="S144" s="28"/>
      <c r="T144" s="28"/>
      <c r="U144" s="28">
        <v>1</v>
      </c>
      <c r="V144" s="29"/>
      <c r="W144" s="28"/>
      <c r="X144" s="28"/>
      <c r="Y144" s="28" t="s">
        <v>757</v>
      </c>
      <c r="Z144" s="30"/>
      <c r="AA144" s="31"/>
      <c r="AB144" s="30"/>
      <c r="AC144" s="31"/>
      <c r="AD144" s="30"/>
      <c r="AE144" s="31"/>
      <c r="AF144" s="28">
        <v>93.97</v>
      </c>
      <c r="AG144" s="28"/>
      <c r="AH144" s="28">
        <f>44.39+7/2</f>
        <v>47.89</v>
      </c>
      <c r="AI144" s="28"/>
      <c r="AJ144" s="110"/>
      <c r="AK144" s="111"/>
      <c r="AL144" s="32">
        <v>372</v>
      </c>
      <c r="AM144" s="32">
        <f>+(93.97+44.39+7)/AL144</f>
        <v>0.39075268817204306</v>
      </c>
      <c r="AN144" s="32">
        <f>+(AF144+AH144)/AL144</f>
        <v>0.38134408602150544</v>
      </c>
      <c r="AO144" s="32">
        <f>+(4+15+12+5+12)/(2+5+3+1+2)</f>
        <v>3.6923076923076925</v>
      </c>
      <c r="AP144" s="32">
        <v>66582235.219999999</v>
      </c>
      <c r="AQ144" s="159">
        <v>977033.57</v>
      </c>
      <c r="AR144" s="32" t="s">
        <v>39</v>
      </c>
      <c r="AS144" s="34" t="s">
        <v>763</v>
      </c>
      <c r="AT144" s="35">
        <v>45610</v>
      </c>
      <c r="AU144" s="36"/>
      <c r="AV144" s="37">
        <v>45568</v>
      </c>
      <c r="AW144" s="38"/>
      <c r="AX144" s="38"/>
      <c r="AY144" s="38"/>
      <c r="AZ144" s="38"/>
      <c r="BA144" s="38"/>
      <c r="BB144" s="38"/>
      <c r="BC144" s="38"/>
      <c r="BD144" s="38"/>
      <c r="BE144" s="38"/>
      <c r="BF144" s="38"/>
      <c r="BG144" s="38"/>
      <c r="BH144" s="39"/>
      <c r="BI144" s="39"/>
      <c r="BJ144" s="39"/>
      <c r="BK144" s="39"/>
      <c r="BL144" s="39"/>
      <c r="BM144" s="39"/>
      <c r="BN144" s="39"/>
      <c r="BO144" s="39"/>
      <c r="BP144" s="39"/>
      <c r="BQ144" s="39"/>
      <c r="BR144" s="39"/>
      <c r="BS144" s="39"/>
      <c r="BT144" s="39"/>
      <c r="BU144" s="39"/>
      <c r="BV144" s="39"/>
      <c r="BW144" s="39"/>
      <c r="IQ144" s="39"/>
      <c r="IR144" s="39"/>
      <c r="IS144" s="39"/>
      <c r="IT144" s="39"/>
      <c r="IU144" s="39"/>
      <c r="IV144" s="39"/>
      <c r="IW144" s="39"/>
    </row>
    <row r="145" spans="1:257" s="40" customFormat="1" ht="38.25">
      <c r="A145" s="141"/>
      <c r="B145" s="148">
        <v>144</v>
      </c>
      <c r="C145" s="147">
        <v>566918</v>
      </c>
      <c r="D145" s="143">
        <v>45590</v>
      </c>
      <c r="E145" s="26" t="s">
        <v>42</v>
      </c>
      <c r="F145" s="27">
        <v>22850</v>
      </c>
      <c r="G145" s="27">
        <v>115671</v>
      </c>
      <c r="H145" s="27">
        <v>1892</v>
      </c>
      <c r="I145" s="28"/>
      <c r="J145" s="28"/>
      <c r="K145" s="28">
        <v>516</v>
      </c>
      <c r="L145" s="28">
        <v>6</v>
      </c>
      <c r="M145" s="28" t="s">
        <v>43</v>
      </c>
      <c r="N145" s="28" t="s">
        <v>764</v>
      </c>
      <c r="O145" s="28" t="s">
        <v>765</v>
      </c>
      <c r="P145" s="28"/>
      <c r="Q145" s="28" t="s">
        <v>399</v>
      </c>
      <c r="R145" s="28"/>
      <c r="S145" s="28"/>
      <c r="T145" s="28"/>
      <c r="U145" s="28">
        <v>1</v>
      </c>
      <c r="V145" s="29"/>
      <c r="W145" s="28"/>
      <c r="X145" s="28"/>
      <c r="Y145" s="28" t="s">
        <v>766</v>
      </c>
      <c r="Z145" s="30"/>
      <c r="AA145" s="31"/>
      <c r="AB145" s="30"/>
      <c r="AC145" s="31"/>
      <c r="AD145" s="30"/>
      <c r="AE145" s="31"/>
      <c r="AF145" s="28"/>
      <c r="AG145" s="28"/>
      <c r="AH145" s="28"/>
      <c r="AI145" s="28">
        <f>111.94+38.68</f>
        <v>150.62</v>
      </c>
      <c r="AJ145" s="110"/>
      <c r="AK145" s="111"/>
      <c r="AL145" s="32">
        <v>322.3</v>
      </c>
      <c r="AM145" s="32">
        <f>+(111.94)/AL145</f>
        <v>0.3473161650636053</v>
      </c>
      <c r="AN145" s="32">
        <f>+AI145/AL145</f>
        <v>0.46732857586099907</v>
      </c>
      <c r="AO145" s="32"/>
      <c r="AP145" s="32">
        <f>+AI145*202642</f>
        <v>30521938.039999999</v>
      </c>
      <c r="AQ145" s="159">
        <v>442921.31</v>
      </c>
      <c r="AR145" s="32" t="s">
        <v>55</v>
      </c>
      <c r="AS145" s="34" t="s">
        <v>767</v>
      </c>
      <c r="AT145" s="35">
        <v>45615</v>
      </c>
      <c r="AU145" s="36"/>
      <c r="AV145" s="37">
        <v>45609</v>
      </c>
      <c r="AW145" s="38"/>
      <c r="AX145" s="38"/>
      <c r="AY145" s="38"/>
      <c r="AZ145" s="38"/>
      <c r="BA145" s="38"/>
      <c r="BB145" s="38"/>
      <c r="BC145" s="38"/>
      <c r="BD145" s="38"/>
      <c r="BE145" s="38"/>
      <c r="BF145" s="38"/>
      <c r="BG145" s="38"/>
      <c r="BH145" s="39"/>
      <c r="BI145" s="39"/>
      <c r="BJ145" s="39"/>
      <c r="BK145" s="39"/>
      <c r="BL145" s="39"/>
      <c r="BM145" s="39"/>
      <c r="BN145" s="39"/>
      <c r="BO145" s="39"/>
      <c r="BP145" s="39"/>
      <c r="BQ145" s="39"/>
      <c r="BR145" s="39"/>
      <c r="BS145" s="39"/>
      <c r="BT145" s="39"/>
      <c r="BU145" s="39"/>
      <c r="BV145" s="39"/>
      <c r="BW145" s="39"/>
      <c r="IQ145" s="39"/>
      <c r="IR145" s="39"/>
      <c r="IS145" s="39"/>
      <c r="IT145" s="39"/>
      <c r="IU145" s="39"/>
      <c r="IV145" s="39"/>
      <c r="IW145" s="39"/>
    </row>
    <row r="146" spans="1:257" s="40" customFormat="1" ht="51">
      <c r="A146" s="141"/>
      <c r="B146" s="202">
        <v>145</v>
      </c>
      <c r="C146" s="147">
        <v>564287</v>
      </c>
      <c r="D146" s="143">
        <v>45516</v>
      </c>
      <c r="E146" s="26" t="s">
        <v>48</v>
      </c>
      <c r="F146" s="27">
        <v>9154</v>
      </c>
      <c r="G146" s="27">
        <v>105749</v>
      </c>
      <c r="H146" s="27">
        <v>20073</v>
      </c>
      <c r="I146" s="28">
        <v>63</v>
      </c>
      <c r="J146" s="28"/>
      <c r="K146" s="28">
        <v>437</v>
      </c>
      <c r="L146" s="28">
        <v>2</v>
      </c>
      <c r="M146" s="28" t="s">
        <v>43</v>
      </c>
      <c r="N146" s="28" t="s">
        <v>768</v>
      </c>
      <c r="O146" s="28"/>
      <c r="P146" s="28" t="s">
        <v>242</v>
      </c>
      <c r="Q146" s="28" t="s">
        <v>243</v>
      </c>
      <c r="R146" s="28" t="s">
        <v>243</v>
      </c>
      <c r="S146" s="28" t="s">
        <v>243</v>
      </c>
      <c r="T146" s="28" t="s">
        <v>242</v>
      </c>
      <c r="U146" s="28"/>
      <c r="V146" s="29">
        <v>8</v>
      </c>
      <c r="W146" s="28"/>
      <c r="X146" s="28"/>
      <c r="Y146" s="28" t="s">
        <v>38</v>
      </c>
      <c r="Z146" s="30"/>
      <c r="AA146" s="31">
        <f>3*2+6*2</f>
        <v>18</v>
      </c>
      <c r="AB146" s="30"/>
      <c r="AC146" s="31">
        <f>+AA146+8</f>
        <v>26</v>
      </c>
      <c r="AD146" s="30"/>
      <c r="AE146" s="31">
        <f>+AA146*2</f>
        <v>36</v>
      </c>
      <c r="AF146" s="28"/>
      <c r="AG146" s="28"/>
      <c r="AH146" s="28"/>
      <c r="AI146" s="28"/>
      <c r="AJ146" s="110">
        <f>519.49+171.28/2</f>
        <v>605.13</v>
      </c>
      <c r="AK146" s="111"/>
      <c r="AL146" s="32">
        <v>1634</v>
      </c>
      <c r="AM146" s="32">
        <f>+(519.49+171.28)/AL146</f>
        <v>0.42274785801713582</v>
      </c>
      <c r="AN146" s="32">
        <f>+AJ146/AL146</f>
        <v>0.37033659730722152</v>
      </c>
      <c r="AO146" s="32">
        <f>+(2+24)/(1+8)</f>
        <v>2.8888888888888888</v>
      </c>
      <c r="AP146" s="32">
        <f>+(2*204924+10*163397+122940*7+1*81972)/20*AJ146+11259488.34</f>
        <v>101616592.245</v>
      </c>
      <c r="AQ146" s="159">
        <v>1027579.32</v>
      </c>
      <c r="AR146" s="32" t="s">
        <v>39</v>
      </c>
      <c r="AS146" s="34" t="s">
        <v>769</v>
      </c>
      <c r="AT146" s="35">
        <v>45616</v>
      </c>
      <c r="AU146" s="36"/>
      <c r="AV146" s="37" t="s">
        <v>770</v>
      </c>
      <c r="AW146" s="38"/>
      <c r="AX146" s="38"/>
      <c r="AY146" s="38"/>
      <c r="AZ146" s="38"/>
      <c r="BA146" s="38"/>
      <c r="BB146" s="38"/>
      <c r="BC146" s="38"/>
      <c r="BD146" s="38"/>
      <c r="BE146" s="38"/>
      <c r="BF146" s="38"/>
      <c r="BG146" s="38"/>
      <c r="BH146" s="39"/>
      <c r="BI146" s="39"/>
      <c r="BJ146" s="39"/>
      <c r="BK146" s="39"/>
      <c r="BL146" s="39"/>
      <c r="BM146" s="39"/>
      <c r="BN146" s="39"/>
      <c r="BO146" s="39"/>
      <c r="BP146" s="39"/>
      <c r="BQ146" s="39"/>
      <c r="BR146" s="39"/>
      <c r="BS146" s="39"/>
      <c r="BT146" s="39"/>
      <c r="BU146" s="39"/>
      <c r="BV146" s="39"/>
      <c r="BW146" s="39"/>
      <c r="IQ146" s="39"/>
      <c r="IR146" s="39"/>
      <c r="IS146" s="39"/>
      <c r="IT146" s="39"/>
      <c r="IU146" s="39"/>
      <c r="IV146" s="39"/>
      <c r="IW146" s="39"/>
    </row>
    <row r="147" spans="1:257" s="40" customFormat="1" ht="63.75">
      <c r="A147" s="141"/>
      <c r="B147" s="74">
        <v>146</v>
      </c>
      <c r="C147" s="147" t="s">
        <v>771</v>
      </c>
      <c r="D147" s="150">
        <v>45566</v>
      </c>
      <c r="E147" s="43" t="s">
        <v>42</v>
      </c>
      <c r="F147" s="27">
        <v>2810</v>
      </c>
      <c r="G147" s="27">
        <v>326</v>
      </c>
      <c r="H147" s="27">
        <v>4226</v>
      </c>
      <c r="I147" s="28"/>
      <c r="J147" s="28"/>
      <c r="K147" s="10">
        <v>161</v>
      </c>
      <c r="L147" s="28">
        <v>10</v>
      </c>
      <c r="M147" s="10" t="s">
        <v>173</v>
      </c>
      <c r="N147" s="28" t="s">
        <v>772</v>
      </c>
      <c r="O147" s="10" t="s">
        <v>773</v>
      </c>
      <c r="P147" s="28"/>
      <c r="Q147" s="28" t="s">
        <v>578</v>
      </c>
      <c r="R147" s="28"/>
      <c r="S147" s="28"/>
      <c r="T147" s="28"/>
      <c r="U147" s="28">
        <f>2+3</f>
        <v>5</v>
      </c>
      <c r="V147" s="29"/>
      <c r="W147" s="28"/>
      <c r="X147" s="28"/>
      <c r="Y147" s="10" t="s">
        <v>38</v>
      </c>
      <c r="Z147" s="30">
        <f>1+1+1+1+1</f>
        <v>5</v>
      </c>
      <c r="AA147" s="31"/>
      <c r="AB147" s="30"/>
      <c r="AC147" s="31"/>
      <c r="AD147" s="30">
        <f>+Z147*2</f>
        <v>10</v>
      </c>
      <c r="AE147" s="31"/>
      <c r="AF147" s="28">
        <f>105.6+24.6/2+41.6</f>
        <v>159.5</v>
      </c>
      <c r="AG147" s="28"/>
      <c r="AH147" s="28">
        <v>2.8</v>
      </c>
      <c r="AI147" s="28"/>
      <c r="AJ147" s="110"/>
      <c r="AK147" s="111"/>
      <c r="AL147" s="32">
        <v>384.6</v>
      </c>
      <c r="AM147" s="32">
        <f>+(105.6+24.6+2.8)/AL147</f>
        <v>0.34581383255330211</v>
      </c>
      <c r="AN147" s="32">
        <f>+(AF147+AH147)/AL147</f>
        <v>0.42199687987519502</v>
      </c>
      <c r="AO147" s="32"/>
      <c r="AP147" s="32">
        <f>+(6*202642+6*152003+7*101350)/19*AH147</f>
        <v>418131.36842105258</v>
      </c>
      <c r="AQ147" s="159">
        <v>489587.79</v>
      </c>
      <c r="AR147" s="32" t="s">
        <v>39</v>
      </c>
      <c r="AS147" s="34" t="s">
        <v>774</v>
      </c>
      <c r="AT147" s="35">
        <v>45618</v>
      </c>
      <c r="AU147" s="36"/>
      <c r="AV147" s="37">
        <v>45617</v>
      </c>
      <c r="AW147" s="38"/>
      <c r="AX147" s="38"/>
      <c r="AY147" s="38"/>
      <c r="AZ147" s="38"/>
      <c r="BA147" s="38"/>
      <c r="BB147" s="38"/>
      <c r="BC147" s="38"/>
      <c r="BD147" s="38"/>
      <c r="BE147" s="38"/>
      <c r="BF147" s="38"/>
      <c r="BG147" s="38"/>
      <c r="BH147" s="39"/>
      <c r="BI147" s="39"/>
      <c r="BJ147" s="39"/>
      <c r="BK147" s="39"/>
      <c r="BL147" s="39"/>
      <c r="BM147" s="39"/>
      <c r="BN147" s="39"/>
      <c r="BO147" s="39"/>
      <c r="BP147" s="39"/>
      <c r="BQ147" s="39"/>
      <c r="BR147" s="39"/>
      <c r="BS147" s="39"/>
      <c r="BT147" s="39"/>
      <c r="BU147" s="39"/>
      <c r="BV147" s="39"/>
      <c r="BW147" s="39"/>
      <c r="IQ147" s="39"/>
      <c r="IR147" s="39"/>
      <c r="IS147" s="39"/>
      <c r="IT147" s="39"/>
      <c r="IU147" s="39"/>
      <c r="IV147" s="39"/>
      <c r="IW147" s="39"/>
    </row>
    <row r="148" spans="1:257" s="40" customFormat="1" ht="63.75">
      <c r="A148" s="141"/>
      <c r="B148" s="148">
        <v>147</v>
      </c>
      <c r="C148" s="147">
        <v>564227</v>
      </c>
      <c r="D148" s="143">
        <v>45510</v>
      </c>
      <c r="E148" s="26" t="s">
        <v>48</v>
      </c>
      <c r="F148" s="27">
        <v>61772</v>
      </c>
      <c r="G148" s="27">
        <v>50134</v>
      </c>
      <c r="H148" s="27">
        <v>2953</v>
      </c>
      <c r="I148" s="28"/>
      <c r="J148" s="28"/>
      <c r="K148" s="28">
        <v>711</v>
      </c>
      <c r="L148" s="28">
        <v>10</v>
      </c>
      <c r="M148" s="28" t="s">
        <v>43</v>
      </c>
      <c r="N148" s="28" t="s">
        <v>775</v>
      </c>
      <c r="O148" s="28" t="s">
        <v>776</v>
      </c>
      <c r="P148" s="28"/>
      <c r="Q148" s="28" t="s">
        <v>87</v>
      </c>
      <c r="R148" s="28" t="s">
        <v>87</v>
      </c>
      <c r="S148" s="28" t="s">
        <v>87</v>
      </c>
      <c r="T148" s="28" t="s">
        <v>777</v>
      </c>
      <c r="U148" s="28"/>
      <c r="V148" s="29">
        <v>1</v>
      </c>
      <c r="W148" s="28"/>
      <c r="X148" s="28"/>
      <c r="Y148" s="28" t="s">
        <v>54</v>
      </c>
      <c r="Z148" s="30"/>
      <c r="AA148" s="31">
        <v>2</v>
      </c>
      <c r="AB148" s="30"/>
      <c r="AC148" s="31">
        <f>+AA148+1</f>
        <v>3</v>
      </c>
      <c r="AD148" s="30"/>
      <c r="AE148" s="31">
        <f>+AA148*2</f>
        <v>4</v>
      </c>
      <c r="AF148" s="28"/>
      <c r="AG148" s="28"/>
      <c r="AH148" s="28"/>
      <c r="AI148" s="28"/>
      <c r="AJ148" s="110">
        <f>156.73+60.01/2</f>
        <v>186.73499999999999</v>
      </c>
      <c r="AK148" s="111"/>
      <c r="AL148" s="32">
        <v>389.7</v>
      </c>
      <c r="AM148" s="32">
        <f>+(90.78+22.95+1.96+30.85)/AL148</f>
        <v>0.37603284577880419</v>
      </c>
      <c r="AN148" s="32">
        <f>+AJ148/AL148</f>
        <v>0.47917628945342566</v>
      </c>
      <c r="AO148" s="32"/>
      <c r="AP148" s="32">
        <f>+(11*253374+8*202642+4*152003)/20*AJ148</f>
        <v>46835584.228499994</v>
      </c>
      <c r="AQ148" s="159">
        <v>151297.54999999999</v>
      </c>
      <c r="AR148" s="32" t="s">
        <v>39</v>
      </c>
      <c r="AS148" s="34" t="s">
        <v>778</v>
      </c>
      <c r="AT148" s="35">
        <v>45621</v>
      </c>
      <c r="AU148" s="36"/>
      <c r="AV148" s="37" t="s">
        <v>779</v>
      </c>
      <c r="AW148" s="38"/>
      <c r="AX148" s="38"/>
      <c r="AY148" s="38"/>
      <c r="AZ148" s="38"/>
      <c r="BA148" s="38"/>
      <c r="BB148" s="38"/>
      <c r="BC148" s="38"/>
      <c r="BD148" s="38"/>
      <c r="BE148" s="38"/>
      <c r="BF148" s="38"/>
      <c r="BG148" s="38"/>
      <c r="BH148" s="39"/>
      <c r="BI148" s="39"/>
      <c r="BJ148" s="39"/>
      <c r="BK148" s="39"/>
      <c r="BL148" s="39"/>
      <c r="BM148" s="39"/>
      <c r="BN148" s="39"/>
      <c r="BO148" s="39"/>
      <c r="BP148" s="39"/>
      <c r="BQ148" s="39"/>
      <c r="BR148" s="39"/>
      <c r="BS148" s="39"/>
      <c r="BT148" s="39"/>
      <c r="BU148" s="39"/>
      <c r="BV148" s="39"/>
      <c r="BW148" s="39"/>
      <c r="IQ148" s="39"/>
      <c r="IR148" s="39"/>
      <c r="IS148" s="39"/>
      <c r="IT148" s="39"/>
      <c r="IU148" s="39"/>
      <c r="IV148" s="39"/>
      <c r="IW148" s="39"/>
    </row>
    <row r="149" spans="1:257" s="40" customFormat="1" ht="51">
      <c r="A149" s="113" t="s">
        <v>780</v>
      </c>
      <c r="B149" s="151">
        <v>148</v>
      </c>
      <c r="C149" s="145" t="s">
        <v>781</v>
      </c>
      <c r="D149" s="146">
        <v>45518</v>
      </c>
      <c r="E149" s="43" t="s">
        <v>48</v>
      </c>
      <c r="F149" s="27">
        <v>34242</v>
      </c>
      <c r="G149" s="27">
        <v>134337</v>
      </c>
      <c r="H149" s="27">
        <v>7270</v>
      </c>
      <c r="I149" s="28"/>
      <c r="J149" s="28"/>
      <c r="K149" s="10">
        <v>319</v>
      </c>
      <c r="L149" s="28">
        <v>16</v>
      </c>
      <c r="M149" s="10" t="s">
        <v>43</v>
      </c>
      <c r="N149" s="28" t="s">
        <v>782</v>
      </c>
      <c r="O149" s="10" t="s">
        <v>783</v>
      </c>
      <c r="P149" s="28"/>
      <c r="Q149" s="28" t="s">
        <v>784</v>
      </c>
      <c r="R149" s="28" t="s">
        <v>784</v>
      </c>
      <c r="S149" s="28" t="s">
        <v>784</v>
      </c>
      <c r="T149" s="28" t="s">
        <v>785</v>
      </c>
      <c r="U149" s="28"/>
      <c r="V149" s="29">
        <v>1</v>
      </c>
      <c r="W149" s="28"/>
      <c r="X149" s="28"/>
      <c r="Y149" s="10" t="s">
        <v>54</v>
      </c>
      <c r="Z149" s="30"/>
      <c r="AA149" s="31">
        <v>3</v>
      </c>
      <c r="AB149" s="30"/>
      <c r="AC149" s="31">
        <f>+AA149+1</f>
        <v>4</v>
      </c>
      <c r="AD149" s="30"/>
      <c r="AE149" s="31">
        <f>+AA149*2</f>
        <v>6</v>
      </c>
      <c r="AF149" s="28"/>
      <c r="AG149" s="28"/>
      <c r="AH149" s="28"/>
      <c r="AI149" s="28"/>
      <c r="AJ149" s="110">
        <f>28/2+130+46.4</f>
        <v>190.4</v>
      </c>
      <c r="AK149" s="111"/>
      <c r="AL149" s="32">
        <v>300</v>
      </c>
      <c r="AM149" s="32">
        <f>+(28+130)/AL149</f>
        <v>0.52666666666666662</v>
      </c>
      <c r="AN149" s="32">
        <f>+AJ149/AL149</f>
        <v>0.63466666666666671</v>
      </c>
      <c r="AO149" s="32"/>
      <c r="AP149" s="32">
        <f>+(7*330729+4*264509+198410*9+132292*1)/21*AJ149</f>
        <v>47972830.400000006</v>
      </c>
      <c r="AQ149" s="163">
        <v>198377.87</v>
      </c>
      <c r="AR149" s="32" t="s">
        <v>39</v>
      </c>
      <c r="AS149" s="34" t="s">
        <v>786</v>
      </c>
      <c r="AT149" s="35">
        <v>45629</v>
      </c>
      <c r="AU149" s="36"/>
      <c r="AV149" s="37" t="s">
        <v>787</v>
      </c>
      <c r="AW149" s="38"/>
      <c r="AX149" s="38"/>
      <c r="AY149" s="38"/>
      <c r="AZ149" s="38"/>
      <c r="BA149" s="38"/>
      <c r="BB149" s="38"/>
      <c r="BC149" s="38"/>
      <c r="BD149" s="38"/>
      <c r="BE149" s="38"/>
      <c r="BF149" s="38"/>
      <c r="BG149" s="38"/>
      <c r="BH149" s="39"/>
      <c r="BI149" s="39"/>
      <c r="BJ149" s="39"/>
      <c r="BK149" s="39"/>
      <c r="BL149" s="39"/>
      <c r="BM149" s="39"/>
      <c r="BN149" s="39"/>
      <c r="BO149" s="39"/>
      <c r="BP149" s="39"/>
      <c r="BQ149" s="39"/>
      <c r="BR149" s="39"/>
      <c r="BS149" s="39"/>
      <c r="BT149" s="39"/>
      <c r="BU149" s="39"/>
      <c r="BV149" s="39"/>
      <c r="BW149" s="39"/>
      <c r="IQ149" s="39"/>
      <c r="IR149" s="39"/>
      <c r="IS149" s="39"/>
      <c r="IT149" s="39"/>
      <c r="IU149" s="39"/>
      <c r="IV149" s="39"/>
      <c r="IW149" s="39"/>
    </row>
    <row r="150" spans="1:257" s="40" customFormat="1" ht="63.75">
      <c r="A150" s="113"/>
      <c r="B150" s="151">
        <v>149</v>
      </c>
      <c r="C150" s="147" t="s">
        <v>788</v>
      </c>
      <c r="D150" s="143">
        <v>45551</v>
      </c>
      <c r="E150" s="26" t="s">
        <v>42</v>
      </c>
      <c r="F150" s="27">
        <v>62310</v>
      </c>
      <c r="G150" s="27">
        <v>169947</v>
      </c>
      <c r="H150" s="27">
        <v>21520</v>
      </c>
      <c r="I150" s="28">
        <v>27</v>
      </c>
      <c r="J150" s="28"/>
      <c r="K150" s="28">
        <v>312</v>
      </c>
      <c r="L150" s="28">
        <v>7</v>
      </c>
      <c r="M150" s="28" t="s">
        <v>43</v>
      </c>
      <c r="N150" s="28" t="s">
        <v>789</v>
      </c>
      <c r="O150" s="28" t="s">
        <v>790</v>
      </c>
      <c r="P150" s="28"/>
      <c r="Q150" s="28" t="s">
        <v>148</v>
      </c>
      <c r="R150" s="28"/>
      <c r="S150" s="28"/>
      <c r="T150" s="28"/>
      <c r="U150" s="28">
        <v>1</v>
      </c>
      <c r="V150" s="29"/>
      <c r="W150" s="28"/>
      <c r="X150" s="28"/>
      <c r="Y150" s="28" t="s">
        <v>54</v>
      </c>
      <c r="Z150" s="30">
        <v>2</v>
      </c>
      <c r="AA150" s="31"/>
      <c r="AB150" s="30">
        <f>+Z150+1</f>
        <v>3</v>
      </c>
      <c r="AC150" s="31"/>
      <c r="AD150" s="30">
        <f>+Z150*2</f>
        <v>4</v>
      </c>
      <c r="AE150" s="31"/>
      <c r="AF150" s="28"/>
      <c r="AG150" s="28"/>
      <c r="AH150" s="28">
        <f>56.92+4.99/2</f>
        <v>59.414999999999999</v>
      </c>
      <c r="AI150" s="28"/>
      <c r="AJ150" s="110"/>
      <c r="AK150" s="111"/>
      <c r="AL150" s="32">
        <v>461.12</v>
      </c>
      <c r="AM150" s="32">
        <f>+(56.92+4.99)/AL150</f>
        <v>0.13426006245662736</v>
      </c>
      <c r="AN150" s="32">
        <f>+AH150/AL150</f>
        <v>0.12884932338653712</v>
      </c>
      <c r="AO150" s="32"/>
      <c r="AP150" s="32">
        <f>+(330729+3*264509+198410*14+3*132292)/21*AH150</f>
        <v>12162737.137142858</v>
      </c>
      <c r="AQ150" s="164">
        <v>235425.68</v>
      </c>
      <c r="AR150" s="32" t="s">
        <v>55</v>
      </c>
      <c r="AS150" s="34" t="s">
        <v>791</v>
      </c>
      <c r="AT150" s="35">
        <v>45629</v>
      </c>
      <c r="AU150" s="36"/>
      <c r="AV150" s="37">
        <v>45621</v>
      </c>
      <c r="AW150" s="38"/>
      <c r="AX150" s="38"/>
      <c r="AY150" s="38"/>
      <c r="AZ150" s="38"/>
      <c r="BA150" s="38"/>
      <c r="BB150" s="38"/>
      <c r="BC150" s="38"/>
      <c r="BD150" s="38"/>
      <c r="BE150" s="38"/>
      <c r="BF150" s="38"/>
      <c r="BG150" s="38"/>
      <c r="BH150" s="39"/>
      <c r="BI150" s="39"/>
      <c r="BJ150" s="39"/>
      <c r="BK150" s="39"/>
      <c r="BL150" s="39"/>
      <c r="BM150" s="39"/>
      <c r="BN150" s="39"/>
      <c r="BO150" s="39"/>
      <c r="BP150" s="39"/>
      <c r="BQ150" s="39"/>
      <c r="BR150" s="39"/>
      <c r="BS150" s="39"/>
      <c r="BT150" s="39"/>
      <c r="BU150" s="39"/>
      <c r="BV150" s="39"/>
      <c r="BW150" s="39"/>
      <c r="IQ150" s="39"/>
      <c r="IR150" s="39"/>
      <c r="IS150" s="39"/>
      <c r="IT150" s="39"/>
      <c r="IU150" s="39"/>
      <c r="IV150" s="39"/>
      <c r="IW150" s="39"/>
    </row>
    <row r="151" spans="1:257" s="40" customFormat="1" ht="76.5">
      <c r="A151" s="74"/>
      <c r="B151" s="151">
        <v>150</v>
      </c>
      <c r="C151" s="147" t="s">
        <v>792</v>
      </c>
      <c r="D151" s="143">
        <v>45583</v>
      </c>
      <c r="E151" s="26" t="s">
        <v>42</v>
      </c>
      <c r="F151" s="27">
        <v>46339</v>
      </c>
      <c r="G151" s="27">
        <v>149210</v>
      </c>
      <c r="H151" s="27">
        <v>9113</v>
      </c>
      <c r="I151" s="28"/>
      <c r="J151" s="28"/>
      <c r="K151" s="28">
        <v>651</v>
      </c>
      <c r="L151" s="28">
        <v>17</v>
      </c>
      <c r="M151" s="28" t="s">
        <v>43</v>
      </c>
      <c r="N151" s="28" t="s">
        <v>793</v>
      </c>
      <c r="O151" s="28" t="s">
        <v>794</v>
      </c>
      <c r="P151" s="28"/>
      <c r="Q151" s="28" t="s">
        <v>578</v>
      </c>
      <c r="R151" s="28"/>
      <c r="S151" s="28"/>
      <c r="T151" s="28"/>
      <c r="U151" s="28">
        <v>1</v>
      </c>
      <c r="V151" s="29"/>
      <c r="W151" s="28"/>
      <c r="X151" s="28"/>
      <c r="Y151" s="28" t="s">
        <v>83</v>
      </c>
      <c r="Z151" s="30">
        <v>3</v>
      </c>
      <c r="AA151" s="31"/>
      <c r="AB151" s="30">
        <f>+Z151+1</f>
        <v>4</v>
      </c>
      <c r="AC151" s="31"/>
      <c r="AD151" s="30">
        <f>+Z151*2</f>
        <v>6</v>
      </c>
      <c r="AE151" s="31"/>
      <c r="AF151" s="28"/>
      <c r="AG151" s="28"/>
      <c r="AH151" s="28">
        <f>176.2+47.9/2</f>
        <v>200.14999999999998</v>
      </c>
      <c r="AI151" s="28"/>
      <c r="AJ151" s="110"/>
      <c r="AK151" s="111"/>
      <c r="AL151" s="32">
        <v>435</v>
      </c>
      <c r="AM151" s="32">
        <f>+(176.2+47.9)/AL151</f>
        <v>0.51517241379310341</v>
      </c>
      <c r="AN151" s="32">
        <f>+AH151/AL151</f>
        <v>0.46011494252873558</v>
      </c>
      <c r="AO151" s="32"/>
      <c r="AP151" s="32">
        <f>+(264509*6+7*198410+132292*6)/19*AH151</f>
        <v>39710560.599999994</v>
      </c>
      <c r="AQ151" s="164">
        <v>734804.66</v>
      </c>
      <c r="AR151" s="32" t="s">
        <v>39</v>
      </c>
      <c r="AS151" s="34" t="s">
        <v>795</v>
      </c>
      <c r="AT151" s="35">
        <v>45629</v>
      </c>
      <c r="AU151" s="36"/>
      <c r="AV151" s="37">
        <v>45623</v>
      </c>
      <c r="AW151" s="38"/>
      <c r="AX151" s="38"/>
      <c r="AY151" s="38"/>
      <c r="AZ151" s="38"/>
      <c r="BA151" s="38"/>
      <c r="BB151" s="38"/>
      <c r="BC151" s="38"/>
      <c r="BD151" s="38"/>
      <c r="BE151" s="38"/>
      <c r="BF151" s="38"/>
      <c r="BG151" s="38"/>
      <c r="BH151" s="39"/>
      <c r="BI151" s="39"/>
      <c r="BJ151" s="39"/>
      <c r="BK151" s="39"/>
      <c r="BL151" s="39"/>
      <c r="BM151" s="39"/>
      <c r="BN151" s="39"/>
      <c r="BO151" s="39"/>
      <c r="BP151" s="39"/>
      <c r="BQ151" s="39"/>
      <c r="BR151" s="39"/>
      <c r="BS151" s="39"/>
      <c r="BT151" s="39"/>
      <c r="BU151" s="39"/>
      <c r="BV151" s="39"/>
      <c r="BW151" s="39"/>
      <c r="IQ151" s="39"/>
      <c r="IR151" s="39"/>
      <c r="IS151" s="39"/>
      <c r="IT151" s="39"/>
      <c r="IU151" s="39"/>
      <c r="IV151" s="39"/>
      <c r="IW151" s="39"/>
    </row>
    <row r="152" spans="1:257" s="40" customFormat="1" ht="38.25">
      <c r="A152" s="202"/>
      <c r="B152" s="151">
        <v>151</v>
      </c>
      <c r="C152" s="147">
        <v>566009</v>
      </c>
      <c r="D152" s="143">
        <v>45562</v>
      </c>
      <c r="E152" s="26" t="s">
        <v>48</v>
      </c>
      <c r="F152" s="27">
        <v>39698</v>
      </c>
      <c r="G152" s="27">
        <v>138499</v>
      </c>
      <c r="H152" s="27">
        <v>31608</v>
      </c>
      <c r="I152" s="28">
        <v>3</v>
      </c>
      <c r="J152" s="28"/>
      <c r="K152" s="28">
        <v>4</v>
      </c>
      <c r="L152" s="28">
        <v>9</v>
      </c>
      <c r="M152" s="28" t="s">
        <v>43</v>
      </c>
      <c r="N152" s="28" t="s">
        <v>498</v>
      </c>
      <c r="O152" s="28" t="s">
        <v>796</v>
      </c>
      <c r="P152" s="28"/>
      <c r="Q152" s="28" t="s">
        <v>399</v>
      </c>
      <c r="R152" s="28" t="s">
        <v>399</v>
      </c>
      <c r="S152" s="28" t="s">
        <v>399</v>
      </c>
      <c r="T152" s="28" t="s">
        <v>797</v>
      </c>
      <c r="U152" s="28"/>
      <c r="V152" s="29"/>
      <c r="W152" s="28">
        <v>1</v>
      </c>
      <c r="X152" s="28"/>
      <c r="Y152" s="28" t="s">
        <v>54</v>
      </c>
      <c r="Z152" s="30">
        <v>3</v>
      </c>
      <c r="AA152" s="31"/>
      <c r="AB152" s="30">
        <f>+Z152+1</f>
        <v>4</v>
      </c>
      <c r="AC152" s="31"/>
      <c r="AD152" s="30">
        <f>+Z152*2</f>
        <v>6</v>
      </c>
      <c r="AE152" s="31"/>
      <c r="AF152" s="28">
        <f>154.86+3.4/2</f>
        <v>156.56</v>
      </c>
      <c r="AG152" s="28"/>
      <c r="AH152" s="28"/>
      <c r="AI152" s="28"/>
      <c r="AJ152" s="110"/>
      <c r="AK152" s="111"/>
      <c r="AL152" s="32">
        <v>800.68</v>
      </c>
      <c r="AM152" s="32">
        <f>+(154.86+3.4)/AL152</f>
        <v>0.19765699155717645</v>
      </c>
      <c r="AN152" s="32">
        <f>+AF152/AL152</f>
        <v>0.19553379627316783</v>
      </c>
      <c r="AO152" s="32"/>
      <c r="AP152" s="32">
        <v>837386.85</v>
      </c>
      <c r="AQ152" s="164">
        <v>63754.34</v>
      </c>
      <c r="AR152" s="32" t="s">
        <v>39</v>
      </c>
      <c r="AS152" s="34" t="s">
        <v>798</v>
      </c>
      <c r="AT152" s="35">
        <v>45629</v>
      </c>
      <c r="AU152" s="36"/>
      <c r="AV152" s="37" t="s">
        <v>799</v>
      </c>
      <c r="AW152" s="38"/>
      <c r="AX152" s="38"/>
      <c r="AY152" s="38"/>
      <c r="AZ152" s="38"/>
      <c r="BA152" s="38"/>
      <c r="BB152" s="38"/>
      <c r="BC152" s="38"/>
      <c r="BD152" s="38"/>
      <c r="BE152" s="38"/>
      <c r="BF152" s="38"/>
      <c r="BG152" s="38"/>
      <c r="BH152" s="39"/>
      <c r="BI152" s="39"/>
      <c r="BJ152" s="39"/>
      <c r="BK152" s="39"/>
      <c r="BL152" s="39"/>
      <c r="BM152" s="39"/>
      <c r="BN152" s="39"/>
      <c r="BO152" s="39"/>
      <c r="BP152" s="39"/>
      <c r="BQ152" s="39"/>
      <c r="BR152" s="39"/>
      <c r="BS152" s="39"/>
      <c r="BT152" s="39"/>
      <c r="BU152" s="39"/>
      <c r="BV152" s="39"/>
      <c r="BW152" s="39"/>
      <c r="IQ152" s="39"/>
      <c r="IR152" s="39"/>
      <c r="IS152" s="39"/>
      <c r="IT152" s="39"/>
      <c r="IU152" s="39"/>
      <c r="IV152" s="39"/>
      <c r="IW152" s="39"/>
    </row>
    <row r="153" spans="1:257" s="40" customFormat="1" ht="63.75">
      <c r="A153" s="74"/>
      <c r="B153" s="151">
        <v>152</v>
      </c>
      <c r="C153" s="147">
        <v>567774</v>
      </c>
      <c r="D153" s="143">
        <v>45611</v>
      </c>
      <c r="E153" s="26" t="s">
        <v>42</v>
      </c>
      <c r="F153" s="27">
        <v>40904</v>
      </c>
      <c r="G153" s="27">
        <v>138065</v>
      </c>
      <c r="H153" s="27">
        <v>8384</v>
      </c>
      <c r="I153" s="28"/>
      <c r="J153" s="28"/>
      <c r="K153" s="28">
        <v>488</v>
      </c>
      <c r="L153" s="28">
        <v>15</v>
      </c>
      <c r="M153" s="28" t="s">
        <v>43</v>
      </c>
      <c r="N153" s="28" t="s">
        <v>800</v>
      </c>
      <c r="O153" s="28" t="s">
        <v>801</v>
      </c>
      <c r="P153" s="28"/>
      <c r="Q153" s="28" t="s">
        <v>802</v>
      </c>
      <c r="R153" s="28"/>
      <c r="S153" s="28"/>
      <c r="T153" s="28"/>
      <c r="U153" s="28">
        <v>1</v>
      </c>
      <c r="V153" s="29"/>
      <c r="W153" s="28"/>
      <c r="X153" s="28"/>
      <c r="Y153" s="28" t="s">
        <v>54</v>
      </c>
      <c r="Z153" s="30">
        <v>2</v>
      </c>
      <c r="AA153" s="31"/>
      <c r="AB153" s="30">
        <f>2+1</f>
        <v>3</v>
      </c>
      <c r="AC153" s="31"/>
      <c r="AD153" s="30">
        <f>+Z153*2</f>
        <v>4</v>
      </c>
      <c r="AE153" s="31"/>
      <c r="AF153" s="28"/>
      <c r="AG153" s="28"/>
      <c r="AH153" s="28">
        <v>123.44</v>
      </c>
      <c r="AI153" s="28"/>
      <c r="AJ153" s="110"/>
      <c r="AK153" s="111"/>
      <c r="AL153" s="32">
        <v>433</v>
      </c>
      <c r="AM153" s="32">
        <f>+AH153/AL153</f>
        <v>0.28508083140877599</v>
      </c>
      <c r="AN153" s="32">
        <f>+AM153</f>
        <v>0.28508083140877599</v>
      </c>
      <c r="AO153" s="32">
        <f>+(2+6+16+10)/(1+2+4+2)</f>
        <v>3.7777777777777777</v>
      </c>
      <c r="AP153" s="32">
        <f>+(4*264509+198410*6+10*132292)/20*AH153</f>
        <v>22042779.551999997</v>
      </c>
      <c r="AQ153" s="164">
        <v>443582.16</v>
      </c>
      <c r="AR153" s="32" t="s">
        <v>39</v>
      </c>
      <c r="AS153" s="34" t="s">
        <v>803</v>
      </c>
      <c r="AT153" s="35">
        <v>45632</v>
      </c>
      <c r="AU153" s="36"/>
      <c r="AV153" s="37">
        <v>45623</v>
      </c>
      <c r="AW153" s="38"/>
      <c r="AX153" s="38"/>
      <c r="AY153" s="38"/>
      <c r="AZ153" s="38"/>
      <c r="BA153" s="38"/>
      <c r="BB153" s="38"/>
      <c r="BC153" s="38"/>
      <c r="BD153" s="38"/>
      <c r="BE153" s="38"/>
      <c r="BF153" s="38"/>
      <c r="BG153" s="38"/>
      <c r="BH153" s="39"/>
      <c r="BI153" s="39"/>
      <c r="BJ153" s="39"/>
      <c r="BK153" s="39"/>
      <c r="BL153" s="39"/>
      <c r="BM153" s="39"/>
      <c r="BN153" s="39"/>
      <c r="BO153" s="39"/>
      <c r="BP153" s="39"/>
      <c r="BQ153" s="39"/>
      <c r="BR153" s="39"/>
      <c r="BS153" s="39"/>
      <c r="BT153" s="39"/>
      <c r="BU153" s="39"/>
      <c r="BV153" s="39"/>
      <c r="BW153" s="39"/>
      <c r="IQ153" s="39"/>
      <c r="IR153" s="39"/>
      <c r="IS153" s="39"/>
      <c r="IT153" s="39"/>
      <c r="IU153" s="39"/>
      <c r="IV153" s="39"/>
      <c r="IW153" s="39"/>
    </row>
    <row r="154" spans="1:257" s="40" customFormat="1" ht="63.75">
      <c r="A154" s="202"/>
      <c r="B154" s="151">
        <v>153</v>
      </c>
      <c r="C154" s="147">
        <v>568335</v>
      </c>
      <c r="D154" s="143">
        <v>45628</v>
      </c>
      <c r="E154" s="26" t="s">
        <v>42</v>
      </c>
      <c r="F154" s="27">
        <v>2810</v>
      </c>
      <c r="G154" s="27">
        <v>326</v>
      </c>
      <c r="H154" s="27">
        <v>4226</v>
      </c>
      <c r="I154" s="28"/>
      <c r="J154" s="28"/>
      <c r="K154" s="28">
        <v>161</v>
      </c>
      <c r="L154" s="28">
        <v>10</v>
      </c>
      <c r="M154" s="28" t="s">
        <v>173</v>
      </c>
      <c r="N154" s="28" t="s">
        <v>772</v>
      </c>
      <c r="O154" s="28" t="s">
        <v>773</v>
      </c>
      <c r="P154" s="28"/>
      <c r="Q154" s="28" t="s">
        <v>578</v>
      </c>
      <c r="R154" s="28"/>
      <c r="S154" s="28"/>
      <c r="T154" s="28"/>
      <c r="U154" s="28">
        <f>2+3</f>
        <v>5</v>
      </c>
      <c r="V154" s="29"/>
      <c r="W154" s="28"/>
      <c r="X154" s="28"/>
      <c r="Y154" s="28" t="s">
        <v>38</v>
      </c>
      <c r="Z154" s="30">
        <f>1+1+1+1+1</f>
        <v>5</v>
      </c>
      <c r="AA154" s="31"/>
      <c r="AB154" s="30"/>
      <c r="AC154" s="31"/>
      <c r="AD154" s="30">
        <f>+Z154*2</f>
        <v>10</v>
      </c>
      <c r="AE154" s="31"/>
      <c r="AF154" s="28">
        <f>108.4+10.8/2+41.6</f>
        <v>155.4</v>
      </c>
      <c r="AG154" s="28"/>
      <c r="AH154" s="28">
        <v>21.33</v>
      </c>
      <c r="AI154" s="28"/>
      <c r="AJ154" s="110"/>
      <c r="AK154" s="111"/>
      <c r="AL154" s="32">
        <v>384.6</v>
      </c>
      <c r="AM154" s="32">
        <f>+(105.6+24.6+2.8)/AL154</f>
        <v>0.34581383255330211</v>
      </c>
      <c r="AN154" s="32">
        <f>+(AF154+AH154)/AL154</f>
        <v>0.45951638065522621</v>
      </c>
      <c r="AO154" s="32"/>
      <c r="AP154" s="32">
        <v>339991.91</v>
      </c>
      <c r="AQ154" s="164">
        <v>58216.06</v>
      </c>
      <c r="AR154" s="32" t="s">
        <v>39</v>
      </c>
      <c r="AS154" s="34" t="s">
        <v>804</v>
      </c>
      <c r="AT154" s="35">
        <v>45632</v>
      </c>
      <c r="AU154" s="36"/>
      <c r="AV154" s="37">
        <v>45629</v>
      </c>
      <c r="AW154" s="38"/>
      <c r="AX154" s="38"/>
      <c r="AY154" s="38"/>
      <c r="AZ154" s="38"/>
      <c r="BA154" s="38"/>
      <c r="BB154" s="38"/>
      <c r="BC154" s="38"/>
      <c r="BD154" s="38"/>
      <c r="BE154" s="38"/>
      <c r="BF154" s="38"/>
      <c r="BG154" s="38"/>
      <c r="BH154" s="39"/>
      <c r="BI154" s="39"/>
      <c r="BJ154" s="39"/>
      <c r="BK154" s="39"/>
      <c r="BL154" s="39"/>
      <c r="BM154" s="39"/>
      <c r="BN154" s="39"/>
      <c r="BO154" s="39"/>
      <c r="BP154" s="39"/>
      <c r="BQ154" s="39"/>
      <c r="BR154" s="39"/>
      <c r="BS154" s="39"/>
      <c r="BT154" s="39"/>
      <c r="BU154" s="39"/>
      <c r="BV154" s="39"/>
      <c r="BW154" s="39"/>
      <c r="IQ154" s="39"/>
      <c r="IR154" s="39"/>
      <c r="IS154" s="39"/>
      <c r="IT154" s="39"/>
      <c r="IU154" s="39"/>
      <c r="IV154" s="39"/>
      <c r="IW154" s="39"/>
    </row>
    <row r="155" spans="1:257" s="40" customFormat="1" ht="63.75">
      <c r="A155" s="74"/>
      <c r="B155" s="151">
        <v>154</v>
      </c>
      <c r="C155" s="147">
        <v>566116</v>
      </c>
      <c r="D155" s="143">
        <v>45567</v>
      </c>
      <c r="E155" s="26" t="s">
        <v>617</v>
      </c>
      <c r="F155" s="27">
        <v>57023</v>
      </c>
      <c r="G155" s="27">
        <v>128269</v>
      </c>
      <c r="H155" s="27">
        <v>6457</v>
      </c>
      <c r="I155" s="28"/>
      <c r="J155" s="28"/>
      <c r="K155" s="28">
        <v>344</v>
      </c>
      <c r="L155" s="28">
        <v>5</v>
      </c>
      <c r="M155" s="28" t="s">
        <v>43</v>
      </c>
      <c r="N155" s="28" t="s">
        <v>805</v>
      </c>
      <c r="O155" s="28" t="s">
        <v>806</v>
      </c>
      <c r="P155" s="28"/>
      <c r="Q155" s="28" t="s">
        <v>76</v>
      </c>
      <c r="R155" s="28" t="s">
        <v>76</v>
      </c>
      <c r="S155" s="28" t="s">
        <v>76</v>
      </c>
      <c r="T155" s="28" t="s">
        <v>807</v>
      </c>
      <c r="U155" s="28">
        <v>1</v>
      </c>
      <c r="V155" s="29">
        <v>1</v>
      </c>
      <c r="W155" s="28"/>
      <c r="X155" s="28"/>
      <c r="Y155" s="28" t="s">
        <v>38</v>
      </c>
      <c r="Z155" s="30">
        <v>3</v>
      </c>
      <c r="AA155" s="31"/>
      <c r="AB155" s="30">
        <f>+Z155+1</f>
        <v>4</v>
      </c>
      <c r="AC155" s="31">
        <v>1</v>
      </c>
      <c r="AD155" s="30">
        <f>+Z155*2</f>
        <v>6</v>
      </c>
      <c r="AE155" s="31"/>
      <c r="AF155" s="28"/>
      <c r="AG155" s="28"/>
      <c r="AH155" s="28">
        <f>29.78/2+69.49</f>
        <v>84.38</v>
      </c>
      <c r="AI155" s="28"/>
      <c r="AJ155" s="110">
        <v>51.72</v>
      </c>
      <c r="AK155" s="111"/>
      <c r="AL155" s="32">
        <v>623.94000000000005</v>
      </c>
      <c r="AM155" s="32">
        <f>+(51.72+29.78+69.49)/AL155</f>
        <v>0.24199442254062889</v>
      </c>
      <c r="AN155" s="32">
        <f>+(AH155+AJ155)/AL155</f>
        <v>0.2181299483924736</v>
      </c>
      <c r="AO155" s="32"/>
      <c r="AP155" s="32">
        <f>+(330729*2+264509*5+198410*7+5*132292)/20*AJ155+65276061.72</f>
        <v>75708846.857999995</v>
      </c>
      <c r="AQ155" s="164">
        <v>340573.36</v>
      </c>
      <c r="AR155" s="32" t="s">
        <v>39</v>
      </c>
      <c r="AS155" s="34" t="s">
        <v>808</v>
      </c>
      <c r="AT155" s="35">
        <v>45646</v>
      </c>
      <c r="AU155" s="36"/>
      <c r="AV155" s="37" t="s">
        <v>809</v>
      </c>
      <c r="AW155" s="38"/>
      <c r="AX155" s="38"/>
      <c r="AY155" s="38"/>
      <c r="AZ155" s="38"/>
      <c r="BA155" s="38"/>
      <c r="BB155" s="38"/>
      <c r="BC155" s="38"/>
      <c r="BD155" s="38"/>
      <c r="BE155" s="38"/>
      <c r="BF155" s="38"/>
      <c r="BG155" s="38"/>
      <c r="BH155" s="39"/>
      <c r="BI155" s="39"/>
      <c r="BJ155" s="39"/>
      <c r="BK155" s="39"/>
      <c r="BL155" s="39"/>
      <c r="BM155" s="39"/>
      <c r="BN155" s="39"/>
      <c r="BO155" s="39"/>
      <c r="BP155" s="39"/>
      <c r="BQ155" s="39"/>
      <c r="BR155" s="39"/>
      <c r="BS155" s="39"/>
      <c r="BT155" s="39"/>
      <c r="BU155" s="39"/>
      <c r="BV155" s="39"/>
      <c r="BW155" s="39"/>
      <c r="IQ155" s="39"/>
      <c r="IR155" s="39"/>
      <c r="IS155" s="39"/>
      <c r="IT155" s="39"/>
      <c r="IU155" s="39"/>
      <c r="IV155" s="39"/>
      <c r="IW155" s="39"/>
    </row>
    <row r="156" spans="1:257" s="40" customFormat="1" ht="51">
      <c r="A156" s="148"/>
      <c r="B156" s="151">
        <v>155</v>
      </c>
      <c r="C156" s="147" t="s">
        <v>810</v>
      </c>
      <c r="D156" s="143">
        <v>45569</v>
      </c>
      <c r="E156" s="26" t="s">
        <v>48</v>
      </c>
      <c r="F156" s="27">
        <v>45503</v>
      </c>
      <c r="G156" s="27">
        <v>1831</v>
      </c>
      <c r="H156" s="27">
        <v>2367</v>
      </c>
      <c r="I156" s="28"/>
      <c r="J156" s="28"/>
      <c r="K156" s="28">
        <v>105</v>
      </c>
      <c r="L156" s="28">
        <v>6</v>
      </c>
      <c r="M156" s="28" t="s">
        <v>43</v>
      </c>
      <c r="N156" s="28" t="s">
        <v>811</v>
      </c>
      <c r="O156" s="28" t="s">
        <v>812</v>
      </c>
      <c r="P156" s="28"/>
      <c r="Q156" s="28" t="s">
        <v>264</v>
      </c>
      <c r="R156" s="28" t="s">
        <v>264</v>
      </c>
      <c r="S156" s="28" t="s">
        <v>264</v>
      </c>
      <c r="T156" s="28" t="s">
        <v>813</v>
      </c>
      <c r="U156" s="28"/>
      <c r="V156" s="29">
        <v>3</v>
      </c>
      <c r="W156" s="28"/>
      <c r="X156" s="28"/>
      <c r="Y156" s="28" t="s">
        <v>38</v>
      </c>
      <c r="Z156" s="30"/>
      <c r="AA156" s="31">
        <f>2*3</f>
        <v>6</v>
      </c>
      <c r="AB156" s="30"/>
      <c r="AC156" s="31">
        <f>+AA156+3</f>
        <v>9</v>
      </c>
      <c r="AD156" s="30"/>
      <c r="AE156" s="31">
        <f>+AA156*2</f>
        <v>12</v>
      </c>
      <c r="AF156" s="28"/>
      <c r="AG156" s="28"/>
      <c r="AH156" s="28"/>
      <c r="AI156" s="28"/>
      <c r="AJ156" s="110">
        <f>132.12+132.12</f>
        <v>264.24</v>
      </c>
      <c r="AK156" s="111"/>
      <c r="AL156" s="32">
        <v>309.55</v>
      </c>
      <c r="AM156" s="32">
        <f>+(132.12/AL156)</f>
        <v>0.42681311581327736</v>
      </c>
      <c r="AN156" s="32">
        <f>+AJ156/AL156</f>
        <v>0.85362623162655471</v>
      </c>
      <c r="AO156" s="32"/>
      <c r="AP156" s="32">
        <f>+(7*330729+264509*4+4*198410+132292*7)/22*AJ156</f>
        <v>61169434.069090918</v>
      </c>
      <c r="AQ156" s="164">
        <v>281832.09999999998</v>
      </c>
      <c r="AR156" s="32" t="s">
        <v>265</v>
      </c>
      <c r="AS156" s="34" t="s">
        <v>814</v>
      </c>
      <c r="AT156" s="35">
        <v>45644</v>
      </c>
      <c r="AU156" s="36"/>
      <c r="AV156" s="37" t="s">
        <v>815</v>
      </c>
      <c r="AW156" s="38"/>
      <c r="AX156" s="38"/>
      <c r="AY156" s="38"/>
      <c r="AZ156" s="38"/>
      <c r="BA156" s="38"/>
      <c r="BB156" s="38"/>
      <c r="BC156" s="38"/>
      <c r="BD156" s="38"/>
      <c r="BE156" s="38"/>
      <c r="BF156" s="38"/>
      <c r="BG156" s="38"/>
      <c r="BH156" s="39"/>
      <c r="BI156" s="39"/>
      <c r="BJ156" s="39"/>
      <c r="BK156" s="39"/>
      <c r="BL156" s="39"/>
      <c r="BM156" s="39"/>
      <c r="BN156" s="39"/>
      <c r="BO156" s="39"/>
      <c r="BP156" s="39"/>
      <c r="BQ156" s="39"/>
      <c r="BR156" s="39"/>
      <c r="BS156" s="39"/>
      <c r="BT156" s="39"/>
      <c r="BU156" s="39"/>
      <c r="BV156" s="39"/>
      <c r="BW156" s="39"/>
      <c r="IQ156" s="39"/>
      <c r="IR156" s="39"/>
      <c r="IS156" s="39"/>
      <c r="IT156" s="39"/>
      <c r="IU156" s="39"/>
      <c r="IV156" s="39"/>
      <c r="IW156" s="39"/>
    </row>
    <row r="157" spans="1:257" s="40" customFormat="1" ht="51">
      <c r="A157" s="148"/>
      <c r="B157" s="151">
        <v>156</v>
      </c>
      <c r="C157" s="147">
        <v>561491</v>
      </c>
      <c r="D157" s="143">
        <v>45378</v>
      </c>
      <c r="E157" s="26" t="s">
        <v>48</v>
      </c>
      <c r="F157" s="27">
        <v>34496</v>
      </c>
      <c r="G157" s="27">
        <v>134513</v>
      </c>
      <c r="H157" s="27">
        <v>20230</v>
      </c>
      <c r="I157" s="28">
        <v>116</v>
      </c>
      <c r="J157" s="28"/>
      <c r="K157" s="28">
        <v>653</v>
      </c>
      <c r="L157" s="28">
        <v>4</v>
      </c>
      <c r="M157" s="28" t="s">
        <v>43</v>
      </c>
      <c r="N157" s="28" t="s">
        <v>816</v>
      </c>
      <c r="O157" s="28" t="s">
        <v>817</v>
      </c>
      <c r="P157" s="28"/>
      <c r="Q157" s="28" t="s">
        <v>546</v>
      </c>
      <c r="R157" s="28" t="s">
        <v>546</v>
      </c>
      <c r="S157" s="28" t="s">
        <v>546</v>
      </c>
      <c r="T157" s="28" t="s">
        <v>818</v>
      </c>
      <c r="U157" s="28"/>
      <c r="V157" s="29"/>
      <c r="W157" s="28">
        <v>1</v>
      </c>
      <c r="X157" s="28"/>
      <c r="Y157" s="28" t="s">
        <v>54</v>
      </c>
      <c r="Z157" s="30"/>
      <c r="AA157" s="31"/>
      <c r="AB157" s="30"/>
      <c r="AC157" s="31"/>
      <c r="AD157" s="30"/>
      <c r="AE157" s="31"/>
      <c r="AF157" s="28">
        <f>64.6+36.4</f>
        <v>101</v>
      </c>
      <c r="AG157" s="28"/>
      <c r="AH157" s="28">
        <f>20.47+20.47</f>
        <v>40.94</v>
      </c>
      <c r="AI157" s="28"/>
      <c r="AJ157" s="110">
        <v>33.4</v>
      </c>
      <c r="AK157" s="111"/>
      <c r="AL157" s="32">
        <v>300</v>
      </c>
      <c r="AM157" s="32">
        <f>+(13.4+20.47+64.6)/AL157</f>
        <v>0.32823333333333332</v>
      </c>
      <c r="AN157" s="32">
        <f>+(AF157+AH157+AJ157)/AL157</f>
        <v>0.58446666666666669</v>
      </c>
      <c r="AO157" s="32"/>
      <c r="AP157" s="32">
        <v>140262.25</v>
      </c>
      <c r="AQ157" s="164">
        <v>341214.83</v>
      </c>
      <c r="AR157" s="32" t="s">
        <v>39</v>
      </c>
      <c r="AS157" s="34" t="s">
        <v>819</v>
      </c>
      <c r="AT157" s="35">
        <v>45644</v>
      </c>
      <c r="AU157" s="35">
        <v>45679</v>
      </c>
      <c r="AV157" s="37" t="s">
        <v>820</v>
      </c>
      <c r="AW157" s="38"/>
      <c r="AX157" s="38"/>
      <c r="AY157" s="38"/>
      <c r="AZ157" s="38"/>
      <c r="BA157" s="38"/>
      <c r="BB157" s="38"/>
      <c r="BC157" s="38"/>
      <c r="BD157" s="38"/>
      <c r="BE157" s="38"/>
      <c r="BF157" s="38"/>
      <c r="BG157" s="38"/>
      <c r="BH157" s="39"/>
      <c r="BI157" s="39"/>
      <c r="BJ157" s="39"/>
      <c r="BK157" s="39"/>
      <c r="BL157" s="39"/>
      <c r="BM157" s="39"/>
      <c r="BN157" s="39"/>
      <c r="BO157" s="39"/>
      <c r="BP157" s="39"/>
      <c r="BQ157" s="39"/>
      <c r="BR157" s="39"/>
      <c r="BS157" s="39"/>
      <c r="BT157" s="39"/>
      <c r="BU157" s="39"/>
      <c r="BV157" s="39"/>
      <c r="BW157" s="39"/>
      <c r="IQ157" s="39"/>
      <c r="IR157" s="39"/>
      <c r="IS157" s="39"/>
      <c r="IT157" s="39"/>
      <c r="IU157" s="39"/>
      <c r="IV157" s="39"/>
      <c r="IW157" s="39"/>
    </row>
    <row r="158" spans="1:257" s="40" customFormat="1" ht="63.75">
      <c r="A158" s="201"/>
      <c r="B158" s="202">
        <v>157</v>
      </c>
      <c r="C158" s="147" t="s">
        <v>821</v>
      </c>
      <c r="D158" s="143">
        <v>45443</v>
      </c>
      <c r="E158" s="26" t="s">
        <v>42</v>
      </c>
      <c r="F158" s="27">
        <v>8174</v>
      </c>
      <c r="G158" s="27">
        <v>624</v>
      </c>
      <c r="H158" s="27">
        <v>714</v>
      </c>
      <c r="I158" s="28"/>
      <c r="J158" s="28"/>
      <c r="K158" s="28">
        <v>159</v>
      </c>
      <c r="L158" s="28">
        <v>17</v>
      </c>
      <c r="M158" s="28" t="s">
        <v>79</v>
      </c>
      <c r="N158" s="28" t="s">
        <v>822</v>
      </c>
      <c r="O158" s="28" t="s">
        <v>823</v>
      </c>
      <c r="P158" s="28" t="s">
        <v>824</v>
      </c>
      <c r="Q158" s="28" t="s">
        <v>389</v>
      </c>
      <c r="R158" s="28"/>
      <c r="S158" s="28"/>
      <c r="T158" s="28"/>
      <c r="U158" s="28">
        <f>1+1+1</f>
        <v>3</v>
      </c>
      <c r="V158" s="29"/>
      <c r="W158" s="28"/>
      <c r="X158" s="28"/>
      <c r="Y158" s="28" t="s">
        <v>825</v>
      </c>
      <c r="Z158" s="30">
        <f>1+1</f>
        <v>2</v>
      </c>
      <c r="AA158" s="31"/>
      <c r="AB158" s="30">
        <f>+Z158+1+1</f>
        <v>4</v>
      </c>
      <c r="AC158" s="31"/>
      <c r="AD158" s="30">
        <f>+Z158*2</f>
        <v>4</v>
      </c>
      <c r="AE158" s="31"/>
      <c r="AF158" s="28"/>
      <c r="AG158" s="28"/>
      <c r="AH158" s="28">
        <f>132.44+13.71/2+60.69-AI158</f>
        <v>156.31099999999998</v>
      </c>
      <c r="AI158" s="28">
        <f>+(7.8*(4.93+0.15))+(1.5*2.7)</f>
        <v>43.674000000000007</v>
      </c>
      <c r="AJ158" s="110"/>
      <c r="AK158" s="111"/>
      <c r="AL158" s="32">
        <v>284.83999999999997</v>
      </c>
      <c r="AM158" s="32">
        <f>+(132.44+13.71)/AL158</f>
        <v>0.51309507091700612</v>
      </c>
      <c r="AN158" s="32">
        <f>+(AH158+AI158)/AL158</f>
        <v>0.70209591349529565</v>
      </c>
      <c r="AO158" s="32"/>
      <c r="AP158" s="32">
        <f>+((264509*5+12*198410+132292*6)/23*AH158)+(264509*AI158)</f>
        <v>42115839.391521737</v>
      </c>
      <c r="AQ158" s="163">
        <v>730823.42</v>
      </c>
      <c r="AR158" s="32" t="s">
        <v>265</v>
      </c>
      <c r="AS158" s="34" t="s">
        <v>826</v>
      </c>
      <c r="AT158" s="35">
        <v>45646</v>
      </c>
      <c r="AU158" s="36"/>
      <c r="AV158" s="37">
        <v>45568</v>
      </c>
      <c r="AW158" s="38"/>
      <c r="AX158" s="38"/>
      <c r="AY158" s="38"/>
      <c r="AZ158" s="38"/>
      <c r="BA158" s="38"/>
      <c r="BB158" s="38"/>
      <c r="BC158" s="38"/>
      <c r="BD158" s="38"/>
      <c r="BE158" s="38"/>
      <c r="BF158" s="38"/>
      <c r="BG158" s="38"/>
      <c r="BH158" s="39"/>
      <c r="BI158" s="39"/>
      <c r="BJ158" s="39"/>
      <c r="BK158" s="39"/>
      <c r="BL158" s="39"/>
      <c r="BM158" s="39"/>
      <c r="BN158" s="39"/>
      <c r="BO158" s="39"/>
      <c r="BP158" s="39"/>
      <c r="BQ158" s="39"/>
      <c r="BR158" s="39"/>
      <c r="BS158" s="39"/>
      <c r="BT158" s="39"/>
      <c r="BU158" s="39"/>
      <c r="BV158" s="39"/>
      <c r="BW158" s="39"/>
      <c r="IQ158" s="39"/>
      <c r="IR158" s="39"/>
      <c r="IS158" s="39"/>
      <c r="IT158" s="39"/>
      <c r="IU158" s="39"/>
      <c r="IV158" s="39"/>
      <c r="IW158" s="39"/>
    </row>
    <row r="159" spans="1:257" s="40" customFormat="1" ht="38.25">
      <c r="A159" s="2"/>
      <c r="B159" s="93">
        <v>158</v>
      </c>
      <c r="C159" s="147" t="s">
        <v>827</v>
      </c>
      <c r="D159" s="143">
        <v>45525</v>
      </c>
      <c r="E159" s="26" t="s">
        <v>48</v>
      </c>
      <c r="F159" s="27">
        <v>46925</v>
      </c>
      <c r="G159" s="27">
        <v>50345</v>
      </c>
      <c r="H159" s="27">
        <v>253</v>
      </c>
      <c r="I159" s="28"/>
      <c r="J159" s="28"/>
      <c r="K159" s="28">
        <v>650</v>
      </c>
      <c r="L159" s="28">
        <v>20</v>
      </c>
      <c r="M159" s="28" t="s">
        <v>43</v>
      </c>
      <c r="N159" s="28" t="s">
        <v>828</v>
      </c>
      <c r="O159" s="28" t="s">
        <v>829</v>
      </c>
      <c r="P159" s="28"/>
      <c r="Q159" s="28" t="s">
        <v>143</v>
      </c>
      <c r="R159" s="28" t="s">
        <v>143</v>
      </c>
      <c r="S159" s="28" t="s">
        <v>143</v>
      </c>
      <c r="T159" s="28" t="s">
        <v>830</v>
      </c>
      <c r="U159" s="28"/>
      <c r="V159" s="29">
        <v>1</v>
      </c>
      <c r="W159" s="28"/>
      <c r="X159" s="28"/>
      <c r="Y159" s="28" t="s">
        <v>133</v>
      </c>
      <c r="Z159" s="30"/>
      <c r="AA159" s="31"/>
      <c r="AB159" s="30"/>
      <c r="AC159" s="31"/>
      <c r="AD159" s="30"/>
      <c r="AE159" s="31"/>
      <c r="AF159" s="28"/>
      <c r="AG159" s="28"/>
      <c r="AH159" s="28"/>
      <c r="AI159" s="28"/>
      <c r="AJ159" s="110"/>
      <c r="AK159" s="111">
        <f>248.4+121.6</f>
        <v>370</v>
      </c>
      <c r="AL159" s="32">
        <v>500.09</v>
      </c>
      <c r="AM159" s="32">
        <f>+(248.4/AL159)</f>
        <v>0.49671059209342322</v>
      </c>
      <c r="AN159" s="32">
        <f>+AK159/AL159</f>
        <v>0.73986682397168513</v>
      </c>
      <c r="AO159" s="32"/>
      <c r="AP159" s="32">
        <v>50136929.07</v>
      </c>
      <c r="AQ159" s="164">
        <v>249902.85</v>
      </c>
      <c r="AR159" s="32" t="s">
        <v>39</v>
      </c>
      <c r="AS159" s="34" t="s">
        <v>831</v>
      </c>
      <c r="AT159" s="35">
        <v>45652</v>
      </c>
      <c r="AU159" s="36"/>
      <c r="AV159" s="37" t="s">
        <v>832</v>
      </c>
      <c r="AW159" s="38"/>
      <c r="AX159" s="38"/>
      <c r="AY159" s="38"/>
      <c r="AZ159" s="38"/>
      <c r="BA159" s="38"/>
      <c r="BB159" s="38"/>
      <c r="BC159" s="38"/>
      <c r="BD159" s="38"/>
      <c r="BE159" s="38"/>
      <c r="BF159" s="38"/>
      <c r="BG159" s="38"/>
      <c r="BH159" s="39"/>
      <c r="BI159" s="39"/>
      <c r="BJ159" s="39"/>
      <c r="BK159" s="39"/>
      <c r="BL159" s="39"/>
      <c r="BM159" s="39"/>
      <c r="BN159" s="39"/>
      <c r="BO159" s="39"/>
      <c r="BP159" s="39"/>
      <c r="BQ159" s="39"/>
      <c r="BR159" s="39"/>
      <c r="BS159" s="39"/>
      <c r="BT159" s="39"/>
      <c r="BU159" s="39"/>
      <c r="BV159" s="39"/>
      <c r="BW159" s="39"/>
      <c r="IQ159" s="39"/>
      <c r="IR159" s="39"/>
      <c r="IS159" s="39"/>
      <c r="IT159" s="39"/>
      <c r="IU159" s="39"/>
      <c r="IV159" s="39"/>
      <c r="IW159" s="39"/>
    </row>
    <row r="160" spans="1:257" s="40" customFormat="1" ht="76.5">
      <c r="A160" s="1"/>
      <c r="B160" s="151">
        <v>159</v>
      </c>
      <c r="C160" s="147">
        <v>568742</v>
      </c>
      <c r="D160" s="143">
        <v>45642</v>
      </c>
      <c r="E160" s="26" t="s">
        <v>42</v>
      </c>
      <c r="F160" s="27">
        <v>52356</v>
      </c>
      <c r="G160" s="27">
        <v>161928</v>
      </c>
      <c r="H160" s="27">
        <v>33085</v>
      </c>
      <c r="I160" s="28">
        <v>3</v>
      </c>
      <c r="J160" s="28"/>
      <c r="K160" s="28"/>
      <c r="L160" s="28">
        <v>71</v>
      </c>
      <c r="M160" s="28" t="s">
        <v>833</v>
      </c>
      <c r="N160" s="28" t="s">
        <v>107</v>
      </c>
      <c r="O160" s="28" t="s">
        <v>834</v>
      </c>
      <c r="P160" s="28"/>
      <c r="Q160" s="28" t="s">
        <v>399</v>
      </c>
      <c r="R160" s="28"/>
      <c r="S160" s="28"/>
      <c r="T160" s="28"/>
      <c r="U160" s="28">
        <v>5</v>
      </c>
      <c r="V160" s="29"/>
      <c r="W160" s="28"/>
      <c r="X160" s="28"/>
      <c r="Y160" s="28" t="s">
        <v>38</v>
      </c>
      <c r="Z160" s="30">
        <f>1+2*4</f>
        <v>9</v>
      </c>
      <c r="AA160" s="31"/>
      <c r="AB160" s="30">
        <f>+Z160+5</f>
        <v>14</v>
      </c>
      <c r="AC160" s="31"/>
      <c r="AD160" s="30">
        <f>+Z160*2</f>
        <v>18</v>
      </c>
      <c r="AE160" s="31"/>
      <c r="AF160" s="28"/>
      <c r="AG160" s="28"/>
      <c r="AH160" s="28">
        <f>245.54+129.15/2+19.1</f>
        <v>329.21500000000003</v>
      </c>
      <c r="AI160" s="28"/>
      <c r="AJ160" s="110"/>
      <c r="AK160" s="111"/>
      <c r="AL160" s="32">
        <v>12284</v>
      </c>
      <c r="AM160" s="32">
        <f>+(27.97+42.42+61.52*2+29.925+47.265*2+13.44)/AL160</f>
        <v>2.6972077499185933E-2</v>
      </c>
      <c r="AN160" s="32">
        <f>+AH160/AL160</f>
        <v>2.6800309345490072E-2</v>
      </c>
      <c r="AO160" s="32"/>
      <c r="AP160" s="32">
        <f>+(9*264509+198410*8+132292*4)/21*AH160</f>
        <v>70499495.344523817</v>
      </c>
      <c r="AQ160" s="164">
        <v>1243529.4099999999</v>
      </c>
      <c r="AR160" s="32" t="s">
        <v>55</v>
      </c>
      <c r="AS160" s="34" t="s">
        <v>835</v>
      </c>
      <c r="AT160" s="35">
        <v>45652</v>
      </c>
      <c r="AU160" s="36"/>
      <c r="AV160" s="37">
        <v>45645</v>
      </c>
      <c r="AW160" s="38"/>
      <c r="AX160" s="38"/>
      <c r="AY160" s="38"/>
      <c r="AZ160" s="38"/>
      <c r="BA160" s="38"/>
      <c r="BB160" s="38"/>
      <c r="BC160" s="38"/>
      <c r="BD160" s="38"/>
      <c r="BE160" s="38"/>
      <c r="BF160" s="38"/>
      <c r="BG160" s="38"/>
      <c r="BH160" s="39"/>
      <c r="BI160" s="39"/>
      <c r="BJ160" s="39"/>
      <c r="BK160" s="39"/>
      <c r="BL160" s="39"/>
      <c r="BM160" s="39"/>
      <c r="BN160" s="39"/>
      <c r="BO160" s="39"/>
      <c r="BP160" s="39"/>
      <c r="BQ160" s="39"/>
      <c r="BR160" s="39"/>
      <c r="BS160" s="39"/>
      <c r="BT160" s="39"/>
      <c r="BU160" s="39"/>
      <c r="BV160" s="39"/>
      <c r="BW160" s="39"/>
      <c r="IQ160" s="39"/>
      <c r="IR160" s="39"/>
      <c r="IS160" s="39"/>
      <c r="IT160" s="39"/>
      <c r="IU160" s="39"/>
      <c r="IV160" s="39"/>
      <c r="IW160" s="39"/>
    </row>
    <row r="161" spans="1:257" s="40" customFormat="1" ht="38.25">
      <c r="A161" s="1"/>
      <c r="B161" s="151">
        <v>160</v>
      </c>
      <c r="C161" s="147">
        <v>566999</v>
      </c>
      <c r="D161" s="143">
        <v>45593</v>
      </c>
      <c r="E161" s="26" t="s">
        <v>48</v>
      </c>
      <c r="F161" s="27">
        <v>45500</v>
      </c>
      <c r="G161" s="27">
        <v>142715</v>
      </c>
      <c r="H161" s="27">
        <v>20851</v>
      </c>
      <c r="I161" s="28">
        <v>48</v>
      </c>
      <c r="J161" s="28"/>
      <c r="K161" s="28">
        <v>408</v>
      </c>
      <c r="L161" s="28">
        <v>12</v>
      </c>
      <c r="M161" s="28" t="s">
        <v>836</v>
      </c>
      <c r="N161" s="28" t="s">
        <v>837</v>
      </c>
      <c r="O161" s="28" t="s">
        <v>410</v>
      </c>
      <c r="P161" s="28"/>
      <c r="Q161" s="28" t="s">
        <v>154</v>
      </c>
      <c r="R161" s="28" t="s">
        <v>154</v>
      </c>
      <c r="S161" s="28" t="s">
        <v>154</v>
      </c>
      <c r="T161" s="28" t="s">
        <v>348</v>
      </c>
      <c r="U161" s="28"/>
      <c r="V161" s="29">
        <v>1</v>
      </c>
      <c r="W161" s="28"/>
      <c r="X161" s="28"/>
      <c r="Y161" s="28" t="s">
        <v>133</v>
      </c>
      <c r="Z161" s="30"/>
      <c r="AA161" s="31"/>
      <c r="AB161" s="30"/>
      <c r="AC161" s="31"/>
      <c r="AD161" s="30"/>
      <c r="AE161" s="31"/>
      <c r="AF161" s="28"/>
      <c r="AG161" s="28">
        <v>210</v>
      </c>
      <c r="AH161" s="28"/>
      <c r="AI161" s="28"/>
      <c r="AJ161" s="110"/>
      <c r="AK161" s="111">
        <v>210</v>
      </c>
      <c r="AL161" s="32">
        <v>624.4</v>
      </c>
      <c r="AM161" s="32">
        <f>+AK161/AL161</f>
        <v>0.33632286995515698</v>
      </c>
      <c r="AN161" s="32">
        <f>+(AG161+AK161)/AL161</f>
        <v>0.67264573991031396</v>
      </c>
      <c r="AO161" s="32"/>
      <c r="AP161" s="32">
        <v>37277578</v>
      </c>
      <c r="AQ161" s="164">
        <v>586237.36</v>
      </c>
      <c r="AR161" s="32" t="s">
        <v>39</v>
      </c>
      <c r="AS161" s="34" t="s">
        <v>838</v>
      </c>
      <c r="AT161" s="35">
        <v>45652</v>
      </c>
      <c r="AU161" s="36"/>
      <c r="AV161" s="37" t="s">
        <v>839</v>
      </c>
      <c r="AW161" s="38"/>
      <c r="AX161" s="38"/>
      <c r="AY161" s="38"/>
      <c r="AZ161" s="38"/>
      <c r="BA161" s="38"/>
      <c r="BB161" s="38"/>
      <c r="BC161" s="38"/>
      <c r="BD161" s="38"/>
      <c r="BE161" s="38"/>
      <c r="BF161" s="38"/>
      <c r="BG161" s="38"/>
      <c r="BH161" s="39"/>
      <c r="BI161" s="39"/>
      <c r="BJ161" s="39"/>
      <c r="BK161" s="39"/>
      <c r="BL161" s="39"/>
      <c r="BM161" s="39"/>
      <c r="BN161" s="39"/>
      <c r="BO161" s="39"/>
      <c r="BP161" s="39"/>
      <c r="BQ161" s="39"/>
      <c r="BR161" s="39"/>
      <c r="BS161" s="39"/>
      <c r="BT161" s="39"/>
      <c r="BU161" s="39"/>
      <c r="BV161" s="39"/>
      <c r="BW161" s="39"/>
      <c r="IQ161" s="39"/>
      <c r="IR161" s="39"/>
      <c r="IS161" s="39"/>
      <c r="IT161" s="39"/>
      <c r="IU161" s="39"/>
      <c r="IV161" s="39"/>
      <c r="IW161" s="39"/>
    </row>
    <row r="162" spans="1:257" s="40" customFormat="1" ht="76.5">
      <c r="A162" s="1"/>
      <c r="B162" s="151">
        <v>161</v>
      </c>
      <c r="C162" s="147">
        <v>568409</v>
      </c>
      <c r="D162" s="143">
        <v>45630</v>
      </c>
      <c r="E162" s="26" t="s">
        <v>42</v>
      </c>
      <c r="F162" s="27">
        <v>61729</v>
      </c>
      <c r="G162" s="27">
        <v>169506</v>
      </c>
      <c r="H162" s="27">
        <v>10602</v>
      </c>
      <c r="I162" s="28"/>
      <c r="J162" s="28"/>
      <c r="K162" s="28">
        <v>592</v>
      </c>
      <c r="L162" s="28">
        <v>8</v>
      </c>
      <c r="M162" s="28" t="s">
        <v>43</v>
      </c>
      <c r="N162" s="28" t="s">
        <v>840</v>
      </c>
      <c r="O162" s="28" t="s">
        <v>841</v>
      </c>
      <c r="P162" s="28"/>
      <c r="Q162" s="28" t="s">
        <v>639</v>
      </c>
      <c r="R162" s="28"/>
      <c r="S162" s="28"/>
      <c r="T162" s="28"/>
      <c r="U162" s="28">
        <v>2</v>
      </c>
      <c r="V162" s="29"/>
      <c r="W162" s="28"/>
      <c r="X162" s="28"/>
      <c r="Y162" s="28" t="s">
        <v>38</v>
      </c>
      <c r="Z162" s="30">
        <f>4*2</f>
        <v>8</v>
      </c>
      <c r="AA162" s="31"/>
      <c r="AB162" s="30">
        <f>+Z162+1+1</f>
        <v>10</v>
      </c>
      <c r="AC162" s="31"/>
      <c r="AD162" s="30">
        <f>+Z162*2</f>
        <v>16</v>
      </c>
      <c r="AE162" s="31"/>
      <c r="AF162" s="28"/>
      <c r="AG162" s="28"/>
      <c r="AH162" s="28">
        <f>85.48+22.4/2+106.34</f>
        <v>203.02</v>
      </c>
      <c r="AI162" s="28"/>
      <c r="AJ162" s="110"/>
      <c r="AK162" s="111"/>
      <c r="AL162" s="32">
        <v>243.12</v>
      </c>
      <c r="AM162" s="32">
        <f>+(85.48+22.4)/AL162</f>
        <v>0.44373149062191508</v>
      </c>
      <c r="AN162" s="32">
        <f>+AH162/AL162</f>
        <v>0.83506087528792372</v>
      </c>
      <c r="AO162" s="32">
        <f>+(6+15+4)/(3+5+1)</f>
        <v>2.7777777777777777</v>
      </c>
      <c r="AP162" s="32">
        <v>2502500</v>
      </c>
      <c r="AQ162" s="164">
        <v>853829.04</v>
      </c>
      <c r="AR162" s="32" t="s">
        <v>265</v>
      </c>
      <c r="AS162" s="34" t="s">
        <v>842</v>
      </c>
      <c r="AT162" s="35">
        <v>45653</v>
      </c>
      <c r="AU162" s="36"/>
      <c r="AV162" s="37">
        <v>45637</v>
      </c>
      <c r="AW162" s="38"/>
      <c r="AX162" s="38"/>
      <c r="AY162" s="38"/>
      <c r="AZ162" s="38"/>
      <c r="BA162" s="38"/>
      <c r="BB162" s="38"/>
      <c r="BC162" s="38"/>
      <c r="BD162" s="38"/>
      <c r="BE162" s="38"/>
      <c r="BF162" s="38"/>
      <c r="BG162" s="38"/>
      <c r="BH162" s="39"/>
      <c r="BI162" s="39"/>
      <c r="BJ162" s="39"/>
      <c r="BK162" s="39"/>
      <c r="BL162" s="39"/>
      <c r="BM162" s="39"/>
      <c r="BN162" s="39"/>
      <c r="BO162" s="39"/>
      <c r="BP162" s="39"/>
      <c r="BQ162" s="39"/>
      <c r="BR162" s="39"/>
      <c r="BS162" s="39"/>
      <c r="BT162" s="39"/>
      <c r="BU162" s="39"/>
      <c r="BV162" s="39"/>
      <c r="BW162" s="39"/>
      <c r="IQ162" s="39"/>
      <c r="IR162" s="39"/>
      <c r="IS162" s="39"/>
      <c r="IT162" s="39"/>
      <c r="IU162" s="39"/>
      <c r="IV162" s="39"/>
      <c r="IW162" s="39"/>
    </row>
    <row r="163" spans="1:257" s="40" customFormat="1" ht="51">
      <c r="A163" s="1"/>
      <c r="B163" s="151">
        <v>162</v>
      </c>
      <c r="C163" s="147" t="s">
        <v>843</v>
      </c>
      <c r="D163" s="143">
        <v>45525</v>
      </c>
      <c r="E163" s="26" t="s">
        <v>59</v>
      </c>
      <c r="F163" s="27">
        <v>21397</v>
      </c>
      <c r="G163" s="27">
        <v>110614</v>
      </c>
      <c r="H163" s="27">
        <v>1736</v>
      </c>
      <c r="I163" s="28"/>
      <c r="J163" s="28"/>
      <c r="K163" s="28">
        <v>776</v>
      </c>
      <c r="L163" s="28">
        <v>1</v>
      </c>
      <c r="M163" s="28" t="s">
        <v>43</v>
      </c>
      <c r="N163" s="28" t="s">
        <v>844</v>
      </c>
      <c r="O163" s="28" t="s">
        <v>845</v>
      </c>
      <c r="P163" s="28"/>
      <c r="Q163" s="28" t="s">
        <v>138</v>
      </c>
      <c r="R163" s="28" t="s">
        <v>138</v>
      </c>
      <c r="S163" s="28" t="s">
        <v>138</v>
      </c>
      <c r="T163" s="28" t="s">
        <v>846</v>
      </c>
      <c r="U163" s="28"/>
      <c r="V163" s="29"/>
      <c r="W163" s="28">
        <v>1</v>
      </c>
      <c r="X163" s="28"/>
      <c r="Y163" s="28" t="s">
        <v>38</v>
      </c>
      <c r="Z163" s="30"/>
      <c r="AA163" s="31"/>
      <c r="AB163" s="30"/>
      <c r="AC163" s="31"/>
      <c r="AD163" s="30"/>
      <c r="AE163" s="31"/>
      <c r="AF163" s="28">
        <f>540.1+64.7/2+29.57+34.6/2</f>
        <v>619.32000000000005</v>
      </c>
      <c r="AG163" s="28"/>
      <c r="AH163" s="28"/>
      <c r="AI163" s="28"/>
      <c r="AJ163" s="110">
        <f>305.94+290.15+164.47/2-AF163</f>
        <v>59.004999999999882</v>
      </c>
      <c r="AK163" s="111"/>
      <c r="AL163" s="32">
        <v>648</v>
      </c>
      <c r="AM163" s="32">
        <f>+(305.94+164.47)/AL163</f>
        <v>0.72594135802469129</v>
      </c>
      <c r="AN163" s="32">
        <f>+(AF163+AJ163)/AL163</f>
        <v>1.0467978395061728</v>
      </c>
      <c r="AO163" s="32"/>
      <c r="AP163" s="32">
        <v>16626922.25</v>
      </c>
      <c r="AQ163" s="164">
        <v>246659.98</v>
      </c>
      <c r="AR163" s="32" t="s">
        <v>39</v>
      </c>
      <c r="AS163" s="34" t="s">
        <v>847</v>
      </c>
      <c r="AT163" s="35">
        <v>45653</v>
      </c>
      <c r="AU163" s="36"/>
      <c r="AV163" s="37" t="s">
        <v>848</v>
      </c>
      <c r="AW163" s="38"/>
      <c r="AX163" s="39"/>
      <c r="AY163" s="38"/>
      <c r="AZ163" s="38"/>
      <c r="BA163" s="38"/>
      <c r="BB163" s="38"/>
      <c r="BC163" s="38"/>
      <c r="BD163" s="38"/>
      <c r="BE163" s="38"/>
      <c r="BF163" s="38"/>
      <c r="BG163" s="38"/>
      <c r="BH163" s="39"/>
      <c r="BI163" s="39"/>
      <c r="BJ163" s="39"/>
      <c r="BK163" s="39"/>
      <c r="BL163" s="39"/>
      <c r="BM163" s="39"/>
      <c r="BN163" s="39"/>
      <c r="BO163" s="39"/>
      <c r="BP163" s="39"/>
      <c r="BQ163" s="39"/>
      <c r="BR163" s="39"/>
      <c r="BS163" s="39"/>
      <c r="BT163" s="39"/>
      <c r="BU163" s="39"/>
      <c r="BV163" s="39"/>
      <c r="BW163" s="39"/>
      <c r="IQ163" s="39"/>
      <c r="IR163" s="39"/>
      <c r="IS163" s="39"/>
      <c r="IT163" s="39"/>
      <c r="IU163" s="39"/>
      <c r="IV163" s="39"/>
      <c r="IW163" s="39"/>
    </row>
    <row r="164" spans="1:257" s="40" customFormat="1" ht="76.5">
      <c r="A164" s="200"/>
      <c r="B164" s="206"/>
      <c r="C164" s="147"/>
      <c r="D164" s="143"/>
      <c r="E164" s="26"/>
      <c r="F164" s="27">
        <v>21079</v>
      </c>
      <c r="G164" s="27">
        <v>110413</v>
      </c>
      <c r="H164" s="27">
        <v>5009</v>
      </c>
      <c r="I164" s="28"/>
      <c r="J164" s="28"/>
      <c r="K164" s="28"/>
      <c r="L164" s="28">
        <v>15</v>
      </c>
      <c r="M164" s="28"/>
      <c r="N164" s="28"/>
      <c r="O164" s="36"/>
      <c r="P164" s="28"/>
      <c r="Q164" s="28"/>
      <c r="R164" s="28"/>
      <c r="S164" s="28"/>
      <c r="T164" s="28"/>
      <c r="U164" s="28"/>
      <c r="V164" s="29"/>
      <c r="W164" s="28"/>
      <c r="X164" s="28"/>
      <c r="Y164" s="28"/>
      <c r="Z164" s="30"/>
      <c r="AA164" s="31"/>
      <c r="AB164" s="30"/>
      <c r="AC164" s="31"/>
      <c r="AD164" s="30"/>
      <c r="AE164" s="31"/>
      <c r="AF164" s="28"/>
      <c r="AG164" s="28"/>
      <c r="AH164" s="28"/>
      <c r="AI164" s="28"/>
      <c r="AJ164" s="110">
        <f>210.99+107.41/2+95.7-AJ163</f>
        <v>301.3900000000001</v>
      </c>
      <c r="AK164" s="111"/>
      <c r="AL164" s="32">
        <v>502.84</v>
      </c>
      <c r="AM164" s="32">
        <f>+(210.99+107.41-AJ163)/AL163</f>
        <v>0.40030092592592609</v>
      </c>
      <c r="AN164" s="32">
        <f>+AJ164/AL164</f>
        <v>0.59937554689364436</v>
      </c>
      <c r="AO164" s="32"/>
      <c r="AP164" s="32"/>
      <c r="AQ164" s="152"/>
      <c r="AR164" s="32" t="s">
        <v>39</v>
      </c>
      <c r="AS164" s="34" t="s">
        <v>659</v>
      </c>
      <c r="AT164" s="35"/>
      <c r="AU164" s="36"/>
      <c r="AV164" s="37"/>
      <c r="AW164" s="38"/>
      <c r="AX164" s="38"/>
      <c r="AY164" s="38"/>
      <c r="AZ164" s="38"/>
      <c r="BA164" s="38"/>
      <c r="BB164" s="38"/>
      <c r="BC164" s="38"/>
      <c r="BD164" s="38"/>
      <c r="BE164" s="38"/>
      <c r="BF164" s="38"/>
      <c r="BG164" s="38"/>
      <c r="BH164" s="39"/>
      <c r="BI164" s="39"/>
      <c r="BJ164" s="39"/>
      <c r="BK164" s="39"/>
      <c r="BL164" s="39"/>
      <c r="BM164" s="39"/>
      <c r="BN164" s="39"/>
      <c r="BO164" s="39"/>
      <c r="BP164" s="39"/>
      <c r="BQ164" s="39"/>
      <c r="BR164" s="39"/>
      <c r="BS164" s="39"/>
      <c r="BT164" s="39"/>
      <c r="BU164" s="39"/>
      <c r="BV164" s="39"/>
      <c r="BW164" s="39"/>
      <c r="IQ164" s="39"/>
      <c r="IR164" s="39"/>
      <c r="IS164" s="39"/>
      <c r="IT164" s="39"/>
      <c r="IU164" s="39"/>
      <c r="IV164" s="39"/>
      <c r="IW164" s="39"/>
    </row>
    <row r="165" spans="1:257" s="165" customFormat="1" ht="12.75">
      <c r="A165" s="166"/>
      <c r="B165" s="167"/>
      <c r="C165" s="168"/>
      <c r="D165" s="169"/>
      <c r="O165" s="170"/>
      <c r="AQ165" s="171"/>
      <c r="AV165" s="172"/>
    </row>
    <row r="166" spans="1:257" s="165" customFormat="1" ht="12.75">
      <c r="A166" s="173"/>
      <c r="B166" s="167"/>
      <c r="C166" s="168"/>
      <c r="D166" s="169"/>
      <c r="O166" s="170"/>
      <c r="AQ166" s="171"/>
      <c r="AV166" s="172"/>
    </row>
    <row r="167" spans="1:257" s="165" customFormat="1" ht="12.75">
      <c r="A167" s="173"/>
      <c r="B167" s="167"/>
      <c r="C167" s="168"/>
      <c r="D167" s="169"/>
      <c r="O167" s="170"/>
      <c r="AQ167" s="171"/>
      <c r="AV167" s="172"/>
    </row>
    <row r="168" spans="1:257" s="165" customFormat="1">
      <c r="A168" s="174"/>
      <c r="B168" s="175"/>
      <c r="C168" s="176"/>
      <c r="D168" s="177"/>
      <c r="E168"/>
      <c r="F168"/>
      <c r="G168"/>
      <c r="H168"/>
      <c r="I168"/>
      <c r="J168"/>
      <c r="K168"/>
      <c r="L168"/>
      <c r="M168"/>
      <c r="N168" s="178"/>
      <c r="O168" s="179"/>
      <c r="P168"/>
      <c r="Q168"/>
      <c r="R168"/>
      <c r="S168"/>
      <c r="T168"/>
      <c r="U168"/>
      <c r="V168"/>
      <c r="W168"/>
      <c r="X168"/>
      <c r="Y168"/>
      <c r="Z168"/>
      <c r="AA168"/>
      <c r="AB168"/>
      <c r="AC168"/>
      <c r="AD168"/>
      <c r="AE168"/>
      <c r="AF168"/>
      <c r="AG168"/>
      <c r="AH168"/>
      <c r="AI168"/>
      <c r="AJ168"/>
      <c r="AK168"/>
      <c r="AL168"/>
      <c r="AM168"/>
      <c r="AN168"/>
      <c r="AO168"/>
      <c r="AP168"/>
      <c r="AQ168" s="180"/>
      <c r="AR168"/>
      <c r="AS168"/>
      <c r="AT168"/>
      <c r="AU168"/>
      <c r="AV168" s="181"/>
    </row>
    <row r="169" spans="1:257" s="165" customFormat="1">
      <c r="A169" s="174"/>
      <c r="B169" s="175"/>
      <c r="C169" s="176"/>
      <c r="D169" s="177"/>
      <c r="E169"/>
      <c r="F169"/>
      <c r="G169"/>
      <c r="H169"/>
      <c r="I169"/>
      <c r="J169"/>
      <c r="K169"/>
      <c r="L169"/>
      <c r="M169"/>
      <c r="N169" s="178"/>
      <c r="O169" s="179"/>
      <c r="P169"/>
      <c r="Q169"/>
      <c r="R169"/>
      <c r="S169"/>
      <c r="T169"/>
      <c r="U169"/>
      <c r="V169"/>
      <c r="W169"/>
      <c r="X169"/>
      <c r="Y169"/>
      <c r="Z169"/>
      <c r="AA169"/>
      <c r="AB169"/>
      <c r="AC169"/>
      <c r="AD169"/>
      <c r="AE169"/>
      <c r="AF169"/>
      <c r="AG169"/>
      <c r="AH169"/>
      <c r="AI169"/>
      <c r="AJ169"/>
      <c r="AK169"/>
      <c r="AL169"/>
      <c r="AM169"/>
      <c r="AN169"/>
      <c r="AO169"/>
      <c r="AP169"/>
      <c r="AQ169" s="180"/>
      <c r="AR169"/>
      <c r="AS169"/>
      <c r="AT169"/>
      <c r="AU169"/>
      <c r="AV169" s="181"/>
    </row>
    <row r="170" spans="1:257" s="165" customFormat="1">
      <c r="A170" s="174"/>
      <c r="B170" s="175"/>
      <c r="C170" s="176"/>
      <c r="D170" s="177"/>
      <c r="E170"/>
      <c r="F170"/>
      <c r="G170"/>
      <c r="H170"/>
      <c r="I170"/>
      <c r="J170"/>
      <c r="K170"/>
      <c r="L170"/>
      <c r="M170"/>
      <c r="N170" s="178"/>
      <c r="O170" s="179"/>
      <c r="P170"/>
      <c r="Q170"/>
      <c r="R170"/>
      <c r="S170"/>
      <c r="T170"/>
      <c r="U170"/>
      <c r="V170"/>
      <c r="W170"/>
      <c r="X170"/>
      <c r="Y170"/>
      <c r="Z170"/>
      <c r="AA170"/>
      <c r="AB170"/>
      <c r="AC170"/>
      <c r="AD170"/>
      <c r="AE170"/>
      <c r="AF170"/>
      <c r="AG170"/>
      <c r="AH170"/>
      <c r="AI170"/>
      <c r="AJ170"/>
      <c r="AK170"/>
      <c r="AL170"/>
      <c r="AM170"/>
      <c r="AN170"/>
      <c r="AO170"/>
      <c r="AP170"/>
      <c r="AQ170" s="180"/>
      <c r="AR170"/>
      <c r="AS170"/>
      <c r="AT170"/>
      <c r="AU170"/>
      <c r="AV170" s="181"/>
    </row>
    <row r="171" spans="1:257" s="165" customFormat="1">
      <c r="A171" s="174"/>
      <c r="B171" s="175"/>
      <c r="C171" s="176"/>
      <c r="D171" s="177"/>
      <c r="E171"/>
      <c r="F171"/>
      <c r="G171"/>
      <c r="H171"/>
      <c r="I171"/>
      <c r="J171"/>
      <c r="K171"/>
      <c r="L171"/>
      <c r="M171"/>
      <c r="N171" s="178"/>
      <c r="O171" s="179"/>
      <c r="P171"/>
      <c r="Q171"/>
      <c r="R171"/>
      <c r="S171"/>
      <c r="T171"/>
      <c r="U171"/>
      <c r="V171"/>
      <c r="W171"/>
      <c r="X171"/>
      <c r="Y171"/>
      <c r="Z171"/>
      <c r="AA171"/>
      <c r="AB171"/>
      <c r="AC171"/>
      <c r="AD171"/>
      <c r="AE171"/>
      <c r="AF171"/>
      <c r="AG171"/>
      <c r="AH171"/>
      <c r="AI171"/>
      <c r="AJ171"/>
      <c r="AK171"/>
      <c r="AL171"/>
      <c r="AM171"/>
      <c r="AN171"/>
      <c r="AO171"/>
      <c r="AP171"/>
      <c r="AQ171" s="180"/>
      <c r="AR171"/>
      <c r="AS171"/>
      <c r="AT171"/>
      <c r="AU171"/>
      <c r="AV171" s="181"/>
    </row>
    <row r="172" spans="1:257" s="165" customFormat="1">
      <c r="A172" s="174"/>
      <c r="B172" s="175"/>
      <c r="C172" s="176"/>
      <c r="D172" s="177"/>
      <c r="E172"/>
      <c r="F172"/>
      <c r="G172"/>
      <c r="H172"/>
      <c r="I172"/>
      <c r="J172"/>
      <c r="K172"/>
      <c r="L172"/>
      <c r="M172"/>
      <c r="N172" s="178"/>
      <c r="O172" s="179"/>
      <c r="P172"/>
      <c r="Q172"/>
      <c r="R172"/>
      <c r="S172"/>
      <c r="T172"/>
      <c r="U172"/>
      <c r="V172"/>
      <c r="W172"/>
      <c r="X172"/>
      <c r="Y172"/>
      <c r="Z172"/>
      <c r="AA172"/>
      <c r="AB172"/>
      <c r="AC172"/>
      <c r="AD172"/>
      <c r="AE172"/>
      <c r="AF172"/>
      <c r="AG172"/>
      <c r="AH172"/>
      <c r="AI172"/>
      <c r="AJ172"/>
      <c r="AK172"/>
      <c r="AL172"/>
      <c r="AM172"/>
      <c r="AN172"/>
      <c r="AO172"/>
      <c r="AP172"/>
      <c r="AQ172" s="180"/>
      <c r="AR172"/>
      <c r="AS172"/>
      <c r="AT172"/>
      <c r="AU172"/>
      <c r="AV172" s="181"/>
    </row>
    <row r="173" spans="1:257" s="165" customFormat="1">
      <c r="A173" s="174"/>
      <c r="B173" s="175"/>
      <c r="C173" s="176"/>
      <c r="D173" s="177"/>
      <c r="E173"/>
      <c r="F173"/>
      <c r="G173"/>
      <c r="H173"/>
      <c r="I173"/>
      <c r="J173"/>
      <c r="K173"/>
      <c r="L173"/>
      <c r="M173"/>
      <c r="N173" s="178"/>
      <c r="O173" s="179"/>
      <c r="P173"/>
      <c r="Q173"/>
      <c r="R173"/>
      <c r="S173"/>
      <c r="T173"/>
      <c r="U173"/>
      <c r="V173"/>
      <c r="W173"/>
      <c r="X173"/>
      <c r="Y173"/>
      <c r="Z173"/>
      <c r="AA173"/>
      <c r="AB173"/>
      <c r="AC173"/>
      <c r="AD173"/>
      <c r="AE173"/>
      <c r="AF173"/>
      <c r="AG173"/>
      <c r="AH173"/>
      <c r="AI173"/>
      <c r="AJ173"/>
      <c r="AK173"/>
      <c r="AL173"/>
      <c r="AM173"/>
      <c r="AN173"/>
      <c r="AO173"/>
      <c r="AP173"/>
      <c r="AQ173" s="180"/>
      <c r="AR173"/>
      <c r="AS173"/>
      <c r="AT173"/>
      <c r="AU173"/>
      <c r="AV173" s="181"/>
    </row>
    <row r="174" spans="1:257" s="165" customFormat="1">
      <c r="A174" s="174"/>
      <c r="B174" s="175"/>
      <c r="C174" s="176"/>
      <c r="D174" s="177"/>
      <c r="E174"/>
      <c r="F174"/>
      <c r="G174"/>
      <c r="H174"/>
      <c r="I174"/>
      <c r="J174"/>
      <c r="K174"/>
      <c r="L174"/>
      <c r="M174"/>
      <c r="N174" s="178"/>
      <c r="O174" s="179"/>
      <c r="P174"/>
      <c r="Q174"/>
      <c r="R174"/>
      <c r="S174"/>
      <c r="T174"/>
      <c r="U174"/>
      <c r="V174"/>
      <c r="W174"/>
      <c r="X174"/>
      <c r="Y174"/>
      <c r="Z174"/>
      <c r="AA174"/>
      <c r="AB174"/>
      <c r="AC174"/>
      <c r="AD174"/>
      <c r="AE174"/>
      <c r="AF174"/>
      <c r="AG174"/>
      <c r="AH174"/>
      <c r="AI174"/>
      <c r="AJ174"/>
      <c r="AK174"/>
      <c r="AL174"/>
      <c r="AM174"/>
      <c r="AN174"/>
      <c r="AO174"/>
      <c r="AP174"/>
      <c r="AQ174" s="180"/>
      <c r="AR174"/>
      <c r="AS174"/>
      <c r="AT174"/>
      <c r="AU174"/>
      <c r="AV174" s="181"/>
    </row>
    <row r="175" spans="1:257" s="165" customFormat="1">
      <c r="A175" s="174"/>
      <c r="B175" s="175"/>
      <c r="C175" s="176"/>
      <c r="D175" s="177"/>
      <c r="E175"/>
      <c r="F175"/>
      <c r="G175"/>
      <c r="H175"/>
      <c r="I175"/>
      <c r="J175"/>
      <c r="K175"/>
      <c r="L175"/>
      <c r="M175"/>
      <c r="N175" s="178"/>
      <c r="O175" s="179"/>
      <c r="P175"/>
      <c r="Q175"/>
      <c r="R175"/>
      <c r="S175"/>
      <c r="T175"/>
      <c r="U175"/>
      <c r="V175"/>
      <c r="W175"/>
      <c r="X175"/>
      <c r="Y175"/>
      <c r="Z175"/>
      <c r="AA175"/>
      <c r="AB175"/>
      <c r="AC175"/>
      <c r="AD175"/>
      <c r="AE175"/>
      <c r="AF175"/>
      <c r="AG175"/>
      <c r="AH175"/>
      <c r="AI175"/>
      <c r="AJ175"/>
      <c r="AK175"/>
      <c r="AL175"/>
      <c r="AM175"/>
      <c r="AN175"/>
      <c r="AO175"/>
      <c r="AP175"/>
      <c r="AQ175" s="180"/>
      <c r="AR175"/>
      <c r="AS175"/>
      <c r="AT175"/>
      <c r="AU175"/>
      <c r="AV175" s="181"/>
    </row>
    <row r="176" spans="1:257" s="165" customFormat="1">
      <c r="A176" s="174"/>
      <c r="B176" s="175"/>
      <c r="C176" s="176"/>
      <c r="D176" s="177"/>
      <c r="E176"/>
      <c r="F176"/>
      <c r="G176"/>
      <c r="H176"/>
      <c r="I176"/>
      <c r="J176"/>
      <c r="K176"/>
      <c r="L176"/>
      <c r="M176"/>
      <c r="N176" s="178"/>
      <c r="O176" s="179"/>
      <c r="P176"/>
      <c r="Q176"/>
      <c r="R176"/>
      <c r="S176"/>
      <c r="T176"/>
      <c r="U176"/>
      <c r="V176"/>
      <c r="W176"/>
      <c r="X176"/>
      <c r="Y176"/>
      <c r="Z176"/>
      <c r="AA176"/>
      <c r="AB176"/>
      <c r="AC176"/>
      <c r="AD176"/>
      <c r="AE176"/>
      <c r="AF176"/>
      <c r="AG176"/>
      <c r="AH176"/>
      <c r="AI176"/>
      <c r="AJ176"/>
      <c r="AK176"/>
      <c r="AL176"/>
      <c r="AM176"/>
      <c r="AN176"/>
      <c r="AO176"/>
      <c r="AP176"/>
      <c r="AQ176" s="180"/>
      <c r="AR176"/>
      <c r="AS176"/>
      <c r="AT176"/>
      <c r="AU176"/>
      <c r="AV176" s="181"/>
    </row>
    <row r="177" spans="1:48" s="165" customFormat="1">
      <c r="A177" s="174"/>
      <c r="B177" s="175"/>
      <c r="C177" s="176"/>
      <c r="D177" s="177"/>
      <c r="E177"/>
      <c r="F177"/>
      <c r="G177"/>
      <c r="H177"/>
      <c r="I177"/>
      <c r="J177"/>
      <c r="K177"/>
      <c r="L177"/>
      <c r="M177"/>
      <c r="N177" s="178"/>
      <c r="O177" s="179"/>
      <c r="P177"/>
      <c r="Q177"/>
      <c r="R177"/>
      <c r="S177"/>
      <c r="T177"/>
      <c r="U177"/>
      <c r="V177"/>
      <c r="W177"/>
      <c r="X177"/>
      <c r="Y177"/>
      <c r="Z177"/>
      <c r="AA177"/>
      <c r="AB177"/>
      <c r="AC177"/>
      <c r="AD177"/>
      <c r="AE177"/>
      <c r="AF177"/>
      <c r="AG177"/>
      <c r="AH177"/>
      <c r="AI177"/>
      <c r="AJ177"/>
      <c r="AK177"/>
      <c r="AL177"/>
      <c r="AM177"/>
      <c r="AN177"/>
      <c r="AO177"/>
      <c r="AP177"/>
      <c r="AQ177" s="180"/>
      <c r="AR177"/>
      <c r="AS177"/>
      <c r="AT177"/>
      <c r="AU177"/>
      <c r="AV177" s="181"/>
    </row>
    <row r="178" spans="1:48" s="165" customFormat="1">
      <c r="A178" s="174"/>
      <c r="B178" s="175"/>
      <c r="C178" s="176"/>
      <c r="D178" s="177"/>
      <c r="E178"/>
      <c r="F178"/>
      <c r="G178"/>
      <c r="H178"/>
      <c r="I178"/>
      <c r="J178"/>
      <c r="K178"/>
      <c r="L178"/>
      <c r="M178"/>
      <c r="N178" s="178"/>
      <c r="O178" s="179"/>
      <c r="P178"/>
      <c r="Q178"/>
      <c r="R178"/>
      <c r="S178"/>
      <c r="T178"/>
      <c r="U178"/>
      <c r="V178"/>
      <c r="W178"/>
      <c r="X178"/>
      <c r="Y178"/>
      <c r="Z178"/>
      <c r="AA178"/>
      <c r="AB178"/>
      <c r="AC178"/>
      <c r="AD178"/>
      <c r="AE178"/>
      <c r="AF178"/>
      <c r="AG178"/>
      <c r="AH178"/>
      <c r="AI178"/>
      <c r="AJ178"/>
      <c r="AK178"/>
      <c r="AL178"/>
      <c r="AM178"/>
      <c r="AN178"/>
      <c r="AO178"/>
      <c r="AP178"/>
      <c r="AQ178" s="180"/>
      <c r="AR178"/>
      <c r="AS178"/>
      <c r="AT178"/>
      <c r="AU178"/>
      <c r="AV178" s="181"/>
    </row>
    <row r="179" spans="1:48" s="165" customFormat="1">
      <c r="A179" s="174"/>
      <c r="B179" s="175"/>
      <c r="C179" s="176"/>
      <c r="D179" s="177"/>
      <c r="E179"/>
      <c r="F179"/>
      <c r="G179"/>
      <c r="H179"/>
      <c r="I179"/>
      <c r="J179"/>
      <c r="K179"/>
      <c r="L179"/>
      <c r="M179"/>
      <c r="N179" s="178"/>
      <c r="O179" s="179"/>
      <c r="P179"/>
      <c r="Q179"/>
      <c r="R179"/>
      <c r="S179"/>
      <c r="T179"/>
      <c r="U179"/>
      <c r="V179"/>
      <c r="W179"/>
      <c r="X179"/>
      <c r="Y179"/>
      <c r="Z179"/>
      <c r="AA179"/>
      <c r="AB179"/>
      <c r="AC179"/>
      <c r="AD179"/>
      <c r="AE179"/>
      <c r="AF179"/>
      <c r="AG179"/>
      <c r="AH179"/>
      <c r="AI179"/>
      <c r="AJ179"/>
      <c r="AK179"/>
      <c r="AL179"/>
      <c r="AM179"/>
      <c r="AN179"/>
      <c r="AO179"/>
      <c r="AP179"/>
      <c r="AQ179" s="180"/>
      <c r="AR179"/>
      <c r="AS179"/>
      <c r="AT179"/>
      <c r="AU179"/>
      <c r="AV179" s="181"/>
    </row>
    <row r="180" spans="1:48" s="165" customFormat="1">
      <c r="A180" s="174"/>
      <c r="B180" s="175"/>
      <c r="C180" s="176"/>
      <c r="D180" s="177"/>
      <c r="E180"/>
      <c r="F180"/>
      <c r="G180"/>
      <c r="H180"/>
      <c r="I180"/>
      <c r="J180"/>
      <c r="K180"/>
      <c r="L180"/>
      <c r="M180"/>
      <c r="N180" s="178"/>
      <c r="O180" s="179"/>
      <c r="P180"/>
      <c r="Q180"/>
      <c r="R180"/>
      <c r="S180"/>
      <c r="T180"/>
      <c r="U180"/>
      <c r="V180"/>
      <c r="W180"/>
      <c r="X180"/>
      <c r="Y180"/>
      <c r="Z180"/>
      <c r="AA180"/>
      <c r="AB180"/>
      <c r="AC180"/>
      <c r="AD180"/>
      <c r="AE180"/>
      <c r="AF180"/>
      <c r="AG180"/>
      <c r="AH180"/>
      <c r="AI180"/>
      <c r="AJ180"/>
      <c r="AK180"/>
      <c r="AL180"/>
      <c r="AM180"/>
      <c r="AN180"/>
      <c r="AO180"/>
      <c r="AP180"/>
      <c r="AQ180" s="180"/>
      <c r="AR180"/>
      <c r="AS180"/>
      <c r="AT180"/>
      <c r="AU180"/>
      <c r="AV180" s="181"/>
    </row>
    <row r="181" spans="1:48" s="165" customFormat="1">
      <c r="A181" s="174"/>
      <c r="B181" s="175"/>
      <c r="C181" s="176"/>
      <c r="D181" s="177"/>
      <c r="E181"/>
      <c r="F181"/>
      <c r="G181"/>
      <c r="H181"/>
      <c r="I181"/>
      <c r="J181"/>
      <c r="K181"/>
      <c r="L181"/>
      <c r="M181"/>
      <c r="N181" s="178"/>
      <c r="O181" s="179"/>
      <c r="P181"/>
      <c r="Q181"/>
      <c r="R181"/>
      <c r="S181"/>
      <c r="T181"/>
      <c r="U181"/>
      <c r="V181"/>
      <c r="W181"/>
      <c r="X181"/>
      <c r="Y181"/>
      <c r="Z181"/>
      <c r="AA181"/>
      <c r="AB181"/>
      <c r="AC181"/>
      <c r="AD181"/>
      <c r="AE181"/>
      <c r="AF181"/>
      <c r="AG181"/>
      <c r="AH181"/>
      <c r="AI181"/>
      <c r="AJ181"/>
      <c r="AK181"/>
      <c r="AL181"/>
      <c r="AM181"/>
      <c r="AN181"/>
      <c r="AO181"/>
      <c r="AP181"/>
      <c r="AQ181" s="180"/>
      <c r="AR181"/>
      <c r="AS181"/>
      <c r="AT181"/>
      <c r="AU181"/>
      <c r="AV181" s="181"/>
    </row>
    <row r="182" spans="1:48" s="165" customFormat="1">
      <c r="A182" s="174"/>
      <c r="B182" s="175"/>
      <c r="C182" s="176"/>
      <c r="D182" s="177"/>
      <c r="E182"/>
      <c r="F182"/>
      <c r="G182"/>
      <c r="H182"/>
      <c r="I182"/>
      <c r="J182"/>
      <c r="K182"/>
      <c r="L182"/>
      <c r="M182"/>
      <c r="N182" s="178"/>
      <c r="O182" s="179"/>
      <c r="P182"/>
      <c r="Q182"/>
      <c r="R182"/>
      <c r="S182"/>
      <c r="T182"/>
      <c r="U182"/>
      <c r="V182"/>
      <c r="W182"/>
      <c r="X182"/>
      <c r="Y182"/>
      <c r="Z182"/>
      <c r="AA182"/>
      <c r="AB182"/>
      <c r="AC182"/>
      <c r="AD182"/>
      <c r="AE182"/>
      <c r="AF182"/>
      <c r="AG182"/>
      <c r="AH182"/>
      <c r="AI182"/>
      <c r="AJ182"/>
      <c r="AK182"/>
      <c r="AL182"/>
      <c r="AM182"/>
      <c r="AN182"/>
      <c r="AO182"/>
      <c r="AP182"/>
      <c r="AQ182" s="180"/>
      <c r="AR182"/>
      <c r="AS182"/>
      <c r="AT182"/>
      <c r="AU182"/>
      <c r="AV182" s="181"/>
    </row>
  </sheetData>
  <pageMargins left="0.78749999999999998" right="0.78749999999999998" top="1.1513888888888899" bottom="1.1513888888888899" header="0.78749999999999998" footer="0.78749999999999998"/>
  <pageSetup paperSize="9" firstPageNumber="0" orientation="portrait" horizontalDpi="300" verticalDpi="300" r:id="rId1"/>
  <headerFooter>
    <oddHeader>&amp;C&amp;"Times New Roman1,Normal"&amp;12&amp;A</oddHeader>
    <oddFooter>&amp;C&amp;"Times New Roman1,Normal"&amp;12Página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2024</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dc:creator>
  <cp:lastModifiedBy>Pamela</cp:lastModifiedBy>
  <dcterms:created xsi:type="dcterms:W3CDTF">2025-10-06T02:46:42Z</dcterms:created>
  <dcterms:modified xsi:type="dcterms:W3CDTF">2025-10-06T03:05:58Z</dcterms:modified>
</cp:coreProperties>
</file>