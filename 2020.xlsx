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90" windowWidth="28515" windowHeight="11835"/>
  </bookViews>
  <sheets>
    <sheet name="2020" sheetId="1" r:id="rId1"/>
  </sheets>
  <calcPr calcId="125725"/>
</workbook>
</file>

<file path=xl/calcChain.xml><?xml version="1.0" encoding="utf-8"?>
<calcChain xmlns="http://schemas.openxmlformats.org/spreadsheetml/2006/main">
  <c r="AO136" i="1"/>
  <c r="AL136"/>
  <c r="AF136"/>
  <c r="AM136" s="1"/>
  <c r="AL135"/>
  <c r="AH135"/>
  <c r="AM135" s="1"/>
  <c r="AK134"/>
  <c r="AL134" s="1"/>
  <c r="AJ134"/>
  <c r="AO132"/>
  <c r="AN132"/>
  <c r="AL132"/>
  <c r="AI132"/>
  <c r="AM132" s="1"/>
  <c r="AD132"/>
  <c r="AB132"/>
  <c r="AN131"/>
  <c r="AL131"/>
  <c r="AI131"/>
  <c r="AO131" s="1"/>
  <c r="Z131"/>
  <c r="AB131" s="1"/>
  <c r="AL130"/>
  <c r="AG130"/>
  <c r="AO130" s="1"/>
  <c r="AE130"/>
  <c r="Y130"/>
  <c r="AC130" s="1"/>
  <c r="AM129"/>
  <c r="AL129"/>
  <c r="AG129"/>
  <c r="AO129" s="1"/>
  <c r="AE129"/>
  <c r="AD129"/>
  <c r="AC129"/>
  <c r="AB129"/>
  <c r="AA129"/>
  <c r="AN128"/>
  <c r="AL128"/>
  <c r="AG128"/>
  <c r="AO128" s="1"/>
  <c r="AE128"/>
  <c r="AC128"/>
  <c r="Y128"/>
  <c r="AA128" s="1"/>
  <c r="AL127"/>
  <c r="AI127"/>
  <c r="AM127" s="1"/>
  <c r="AD127"/>
  <c r="AB127"/>
  <c r="AN126"/>
  <c r="AL126"/>
  <c r="AI126"/>
  <c r="AM126" s="1"/>
  <c r="AD126"/>
  <c r="AB126"/>
  <c r="AL125"/>
  <c r="AI125"/>
  <c r="AM125" s="1"/>
  <c r="Z125"/>
  <c r="AB125" s="1"/>
  <c r="AL124"/>
  <c r="AM124" s="1"/>
  <c r="AL123"/>
  <c r="AI123"/>
  <c r="AO123" s="1"/>
  <c r="AG123"/>
  <c r="AA123"/>
  <c r="AN122"/>
  <c r="AL122"/>
  <c r="AI122"/>
  <c r="AM122" s="1"/>
  <c r="AD122"/>
  <c r="AB122"/>
  <c r="AO121"/>
  <c r="AI121"/>
  <c r="AM121" s="1"/>
  <c r="AD121"/>
  <c r="AC121"/>
  <c r="AB121"/>
  <c r="AO120"/>
  <c r="AM120"/>
  <c r="AL120"/>
  <c r="AM119"/>
  <c r="AL119"/>
  <c r="AH119"/>
  <c r="AO119" s="1"/>
  <c r="AF119"/>
  <c r="AH118"/>
  <c r="AG118" s="1"/>
  <c r="AL118" s="1"/>
  <c r="AM118" s="1"/>
  <c r="AC118"/>
  <c r="AA118"/>
  <c r="AL117"/>
  <c r="AI117"/>
  <c r="AO117" s="1"/>
  <c r="AD117"/>
  <c r="AB117"/>
  <c r="AO116"/>
  <c r="AL116"/>
  <c r="AE116"/>
  <c r="AF116" s="1"/>
  <c r="AD116"/>
  <c r="AC116"/>
  <c r="AO115"/>
  <c r="AL115"/>
  <c r="AH115"/>
  <c r="AG115" s="1"/>
  <c r="AM115" s="1"/>
  <c r="AA115"/>
  <c r="Y115"/>
  <c r="AC115" s="1"/>
  <c r="AL114"/>
  <c r="AI114"/>
  <c r="AM114" s="1"/>
  <c r="AD114"/>
  <c r="AB114"/>
  <c r="AO113"/>
  <c r="AG113"/>
  <c r="AD113"/>
  <c r="AM112"/>
  <c r="AE112"/>
  <c r="AL112" s="1"/>
  <c r="AC112"/>
  <c r="AA112"/>
  <c r="AO111"/>
  <c r="AL111"/>
  <c r="AM111" s="1"/>
  <c r="AL110"/>
  <c r="AI110"/>
  <c r="AM110" s="1"/>
  <c r="AD110"/>
  <c r="AB110"/>
  <c r="AL109"/>
  <c r="AI109"/>
  <c r="AM109" s="1"/>
  <c r="AD109"/>
  <c r="AB109"/>
  <c r="AL108"/>
  <c r="AJ108"/>
  <c r="AO108" s="1"/>
  <c r="AD108"/>
  <c r="AB108"/>
  <c r="AN107"/>
  <c r="AL107"/>
  <c r="AI107"/>
  <c r="AM107" s="1"/>
  <c r="AD107"/>
  <c r="AB107"/>
  <c r="AL106"/>
  <c r="AG106"/>
  <c r="AM106" s="1"/>
  <c r="AC106"/>
  <c r="AA106"/>
  <c r="AK105"/>
  <c r="AL105" s="1"/>
  <c r="AI105"/>
  <c r="AO105" s="1"/>
  <c r="AG105"/>
  <c r="AE105"/>
  <c r="AD105"/>
  <c r="AC105"/>
  <c r="AB105"/>
  <c r="AA105"/>
  <c r="AL104"/>
  <c r="AI104"/>
  <c r="AM104" s="1"/>
  <c r="AL103"/>
  <c r="AI103"/>
  <c r="AM103" s="1"/>
  <c r="AD103"/>
  <c r="AB103"/>
  <c r="U103"/>
  <c r="AL102"/>
  <c r="AI102"/>
  <c r="AM102" s="1"/>
  <c r="AD102"/>
  <c r="AB102"/>
  <c r="AN101"/>
  <c r="AL101"/>
  <c r="AI101"/>
  <c r="AM101" s="1"/>
  <c r="AD101"/>
  <c r="AB101"/>
  <c r="AN100"/>
  <c r="AL100"/>
  <c r="AJ100"/>
  <c r="AO100" s="1"/>
  <c r="AL99"/>
  <c r="AI99"/>
  <c r="AM99" s="1"/>
  <c r="Z99"/>
  <c r="AB99" s="1"/>
  <c r="AL98"/>
  <c r="AJ98"/>
  <c r="AM98" s="1"/>
  <c r="AL97"/>
  <c r="AH97"/>
  <c r="AM97" s="1"/>
  <c r="AL96"/>
  <c r="AI96"/>
  <c r="AM96" s="1"/>
  <c r="AD96"/>
  <c r="AB96"/>
  <c r="AL95"/>
  <c r="AI95"/>
  <c r="AO95" s="1"/>
  <c r="AD95"/>
  <c r="AB95"/>
  <c r="AL94"/>
  <c r="AJ94"/>
  <c r="AM94" s="1"/>
  <c r="AI93"/>
  <c r="AO93" s="1"/>
  <c r="AE93"/>
  <c r="AL93" s="1"/>
  <c r="AN92"/>
  <c r="AL92"/>
  <c r="AI92"/>
  <c r="AM92" s="1"/>
  <c r="AD92"/>
  <c r="AB92"/>
  <c r="AN91"/>
  <c r="AL91"/>
  <c r="AH91"/>
  <c r="AM91" s="1"/>
  <c r="AO90"/>
  <c r="AL90"/>
  <c r="AE90"/>
  <c r="AF90" s="1"/>
  <c r="AB90"/>
  <c r="U90"/>
  <c r="AO89"/>
  <c r="AL89"/>
  <c r="AI89"/>
  <c r="AM89" s="1"/>
  <c r="AD89"/>
  <c r="AB89"/>
  <c r="AL88"/>
  <c r="AG88"/>
  <c r="AO88" s="1"/>
  <c r="AE88"/>
  <c r="Y88"/>
  <c r="AC88" s="1"/>
  <c r="AL87"/>
  <c r="AI87"/>
  <c r="AO87" s="1"/>
  <c r="AD87"/>
  <c r="AB87"/>
  <c r="AO86"/>
  <c r="AM86"/>
  <c r="AL86"/>
  <c r="AD86"/>
  <c r="AB86"/>
  <c r="AL85"/>
  <c r="AH85"/>
  <c r="AG85"/>
  <c r="AE85"/>
  <c r="Y85"/>
  <c r="AC85" s="1"/>
  <c r="AL84"/>
  <c r="AI84"/>
  <c r="AO84" s="1"/>
  <c r="Z84"/>
  <c r="AD84" s="1"/>
  <c r="AN83"/>
  <c r="AL83"/>
  <c r="AI83"/>
  <c r="AM83" s="1"/>
  <c r="AD83"/>
  <c r="AB83"/>
  <c r="AN82"/>
  <c r="AL82"/>
  <c r="AI82"/>
  <c r="AM82" s="1"/>
  <c r="AD82"/>
  <c r="AB82"/>
  <c r="AN81"/>
  <c r="AL81"/>
  <c r="AH81"/>
  <c r="AM81" s="1"/>
  <c r="AN80"/>
  <c r="AM80"/>
  <c r="AL80"/>
  <c r="AL79"/>
  <c r="AI79"/>
  <c r="AM79" s="1"/>
  <c r="AD79"/>
  <c r="AB79"/>
  <c r="AO78"/>
  <c r="AN78"/>
  <c r="AM78"/>
  <c r="AL78"/>
  <c r="AN77"/>
  <c r="AL77"/>
  <c r="AG77"/>
  <c r="AO77" s="1"/>
  <c r="AD77"/>
  <c r="AA77"/>
  <c r="AN76"/>
  <c r="AL76"/>
  <c r="AG76"/>
  <c r="AE76"/>
  <c r="Y76"/>
  <c r="AC76" s="1"/>
  <c r="T76"/>
  <c r="AN75"/>
  <c r="AL75"/>
  <c r="AG75"/>
  <c r="AO75" s="1"/>
  <c r="AC75"/>
  <c r="AA75"/>
  <c r="AN74"/>
  <c r="AL74"/>
  <c r="AG74"/>
  <c r="AO74" s="1"/>
  <c r="AC74"/>
  <c r="AA74"/>
  <c r="AN73"/>
  <c r="AL73"/>
  <c r="AI73"/>
  <c r="AM73" s="1"/>
  <c r="AD73"/>
  <c r="AB73"/>
  <c r="AL72"/>
  <c r="AI72"/>
  <c r="AM72" s="1"/>
  <c r="AB72"/>
  <c r="Z72"/>
  <c r="AD72" s="1"/>
  <c r="AL71"/>
  <c r="AI71"/>
  <c r="AG71"/>
  <c r="AE71"/>
  <c r="AC71"/>
  <c r="Z71"/>
  <c r="AD71" s="1"/>
  <c r="AL70"/>
  <c r="AG70"/>
  <c r="AM70" s="1"/>
  <c r="AC70"/>
  <c r="AA70"/>
  <c r="AL69"/>
  <c r="AH69"/>
  <c r="AO69" s="1"/>
  <c r="AE69"/>
  <c r="AC69"/>
  <c r="AA69"/>
  <c r="T69"/>
  <c r="AM68"/>
  <c r="AL68"/>
  <c r="AI68"/>
  <c r="AO68" s="1"/>
  <c r="AD68"/>
  <c r="AB68"/>
  <c r="AN67"/>
  <c r="AL67"/>
  <c r="AI67"/>
  <c r="AO67" s="1"/>
  <c r="AD67"/>
  <c r="AB67"/>
  <c r="AN66"/>
  <c r="AL66"/>
  <c r="AG66"/>
  <c r="AM66" s="1"/>
  <c r="AC66"/>
  <c r="AA66"/>
  <c r="AL65"/>
  <c r="AI65"/>
  <c r="AM65" s="1"/>
  <c r="AD65"/>
  <c r="AB65"/>
  <c r="AM64"/>
  <c r="AL64"/>
  <c r="AJ64"/>
  <c r="AO64" s="1"/>
  <c r="AL63"/>
  <c r="AI63"/>
  <c r="AM63" s="1"/>
  <c r="AD63"/>
  <c r="AB63"/>
  <c r="AL62"/>
  <c r="AI62"/>
  <c r="AM62" s="1"/>
  <c r="AD62"/>
  <c r="AB62"/>
  <c r="AH61"/>
  <c r="AL61" s="1"/>
  <c r="AG61"/>
  <c r="AC61"/>
  <c r="AA61"/>
  <c r="T61"/>
  <c r="AO60"/>
  <c r="AL60"/>
  <c r="AE60"/>
  <c r="AM60" s="1"/>
  <c r="Y60"/>
  <c r="AA60" s="1"/>
  <c r="T60"/>
  <c r="AM59"/>
  <c r="AL59"/>
  <c r="AJ59"/>
  <c r="AO59" s="1"/>
  <c r="AL58"/>
  <c r="AH58"/>
  <c r="AM58" s="1"/>
  <c r="AK57"/>
  <c r="AL57" s="1"/>
  <c r="AH57"/>
  <c r="AO57" s="1"/>
  <c r="AF57"/>
  <c r="AO56"/>
  <c r="AL56"/>
  <c r="AI56"/>
  <c r="AM56" s="1"/>
  <c r="AD56"/>
  <c r="AB56"/>
  <c r="AL55"/>
  <c r="AG55"/>
  <c r="AM55" s="1"/>
  <c r="Y55"/>
  <c r="AA55" s="1"/>
  <c r="AO54"/>
  <c r="AL54"/>
  <c r="AM54" s="1"/>
  <c r="AL53"/>
  <c r="AI53"/>
  <c r="AO53" s="1"/>
  <c r="AE53"/>
  <c r="Z53"/>
  <c r="AB53" s="1"/>
  <c r="AN52"/>
  <c r="AL52"/>
  <c r="AI52"/>
  <c r="AO52" s="1"/>
  <c r="Z52"/>
  <c r="AD52" s="1"/>
  <c r="AO51"/>
  <c r="AN51"/>
  <c r="AM51"/>
  <c r="AL51"/>
  <c r="AN50"/>
  <c r="AL50"/>
  <c r="AI50"/>
  <c r="AM50" s="1"/>
  <c r="AB50"/>
  <c r="AL49"/>
  <c r="AG49"/>
  <c r="AM49" s="1"/>
  <c r="AC49"/>
  <c r="AA49"/>
  <c r="AL48"/>
  <c r="AG48"/>
  <c r="AM48" s="1"/>
  <c r="AA48"/>
  <c r="AO47"/>
  <c r="AL47"/>
  <c r="AG47"/>
  <c r="AM47" s="1"/>
  <c r="AA47"/>
  <c r="AO46"/>
  <c r="AN46"/>
  <c r="AL46"/>
  <c r="AI46"/>
  <c r="AM46" s="1"/>
  <c r="AL45"/>
  <c r="AG45"/>
  <c r="AM45" s="1"/>
  <c r="Y45"/>
  <c r="T45"/>
  <c r="AN44"/>
  <c r="AM44"/>
  <c r="AL44"/>
  <c r="AI44"/>
  <c r="AD44"/>
  <c r="AB44"/>
  <c r="AO43"/>
  <c r="AL43"/>
  <c r="AI43"/>
  <c r="AE43"/>
  <c r="AL42"/>
  <c r="AH42"/>
  <c r="AG42"/>
  <c r="Y42"/>
  <c r="AA42" s="1"/>
  <c r="T42"/>
  <c r="AH41"/>
  <c r="AM41" s="1"/>
  <c r="AM40"/>
  <c r="AL40"/>
  <c r="AH40"/>
  <c r="AO40" s="1"/>
  <c r="AG40"/>
  <c r="AE40"/>
  <c r="AC40"/>
  <c r="AA40"/>
  <c r="T40"/>
  <c r="AO39"/>
  <c r="AI39"/>
  <c r="AE39"/>
  <c r="AA39"/>
  <c r="AL38"/>
  <c r="AG38"/>
  <c r="AO38" s="1"/>
  <c r="AE38"/>
  <c r="Y38"/>
  <c r="AA38" s="1"/>
  <c r="AL37"/>
  <c r="AI37"/>
  <c r="AO37" s="1"/>
  <c r="AB37"/>
  <c r="AO36"/>
  <c r="AM36"/>
  <c r="AL36"/>
  <c r="AO35"/>
  <c r="AL35"/>
  <c r="AM35" s="1"/>
  <c r="AC35"/>
  <c r="AA35"/>
  <c r="AL34"/>
  <c r="AG34"/>
  <c r="AM34" s="1"/>
  <c r="AC34"/>
  <c r="AA34"/>
  <c r="AO33"/>
  <c r="AN33"/>
  <c r="AK33"/>
  <c r="AM33" s="1"/>
  <c r="AN32"/>
  <c r="AL32"/>
  <c r="AI32"/>
  <c r="AM32" s="1"/>
  <c r="AD32"/>
  <c r="AB32"/>
  <c r="AO31"/>
  <c r="AL31"/>
  <c r="AI31"/>
  <c r="AM31" s="1"/>
  <c r="Z31"/>
  <c r="AB31" s="1"/>
  <c r="AL30"/>
  <c r="AH30"/>
  <c r="AG30" s="1"/>
  <c r="AE30"/>
  <c r="AA30"/>
  <c r="T30"/>
  <c r="AN29"/>
  <c r="AL29"/>
  <c r="AI29"/>
  <c r="AM29" s="1"/>
  <c r="AB29"/>
  <c r="AM28"/>
  <c r="AL28"/>
  <c r="AJ28"/>
  <c r="AO28" s="1"/>
  <c r="AB28"/>
  <c r="AA28"/>
  <c r="AN27"/>
  <c r="AL27"/>
  <c r="AI27"/>
  <c r="AM27" s="1"/>
  <c r="Z27"/>
  <c r="AB27" s="1"/>
  <c r="AL26"/>
  <c r="AI26"/>
  <c r="AG26"/>
  <c r="AE26"/>
  <c r="AA26"/>
  <c r="AO25"/>
  <c r="AN25"/>
  <c r="AB25"/>
  <c r="AL24"/>
  <c r="AG24"/>
  <c r="AM24" s="1"/>
  <c r="AC24"/>
  <c r="AA24"/>
  <c r="AL23"/>
  <c r="AI23"/>
  <c r="AM23" s="1"/>
  <c r="AB23"/>
  <c r="AN22"/>
  <c r="AL22"/>
  <c r="AI22"/>
  <c r="AM22" s="1"/>
  <c r="T22"/>
  <c r="AN21"/>
  <c r="AM21"/>
  <c r="AJ21"/>
  <c r="AL21" s="1"/>
  <c r="AL20"/>
  <c r="AG20"/>
  <c r="AO20" s="1"/>
  <c r="AE20"/>
  <c r="AA20"/>
  <c r="Y20"/>
  <c r="T20"/>
  <c r="AL19"/>
  <c r="AI19"/>
  <c r="AJ19" s="1"/>
  <c r="AO19" s="1"/>
  <c r="AB19"/>
  <c r="U19"/>
  <c r="AL18"/>
  <c r="AG18"/>
  <c r="AO18" s="1"/>
  <c r="AI17"/>
  <c r="AG17"/>
  <c r="AE17"/>
  <c r="AB17"/>
  <c r="AA17"/>
  <c r="Y17"/>
  <c r="AO16"/>
  <c r="AL16"/>
  <c r="AG16"/>
  <c r="AE16"/>
  <c r="AA16"/>
  <c r="Z16"/>
  <c r="T16"/>
  <c r="AN15"/>
  <c r="AL15"/>
  <c r="AG15"/>
  <c r="AM15" s="1"/>
  <c r="AN14"/>
  <c r="AL14"/>
  <c r="AG14"/>
  <c r="AM14" s="1"/>
  <c r="AA14"/>
  <c r="AL13"/>
  <c r="AG13"/>
  <c r="AO13" s="1"/>
  <c r="AE13"/>
  <c r="Y13"/>
  <c r="AA13" s="1"/>
  <c r="T13"/>
  <c r="AO12"/>
  <c r="AM12"/>
  <c r="AL12"/>
  <c r="Y12"/>
  <c r="AA12" s="1"/>
  <c r="AL11"/>
  <c r="AG11"/>
  <c r="AM11" s="1"/>
  <c r="Y11"/>
  <c r="AC11" s="1"/>
  <c r="AM10"/>
  <c r="AL10"/>
  <c r="AF10"/>
  <c r="AE10" s="1"/>
  <c r="AA10"/>
  <c r="T10"/>
  <c r="AO9"/>
  <c r="AN9"/>
  <c r="AL9"/>
  <c r="AI9"/>
  <c r="AM9" s="1"/>
  <c r="AD9"/>
  <c r="AB9"/>
  <c r="AL8"/>
  <c r="AH8"/>
  <c r="AG8"/>
  <c r="AA8"/>
  <c r="T8"/>
  <c r="AO7"/>
  <c r="AL7"/>
  <c r="AI7"/>
  <c r="AM7" s="1"/>
  <c r="AD7"/>
  <c r="AB7"/>
  <c r="AO6"/>
  <c r="AM6"/>
  <c r="AL6"/>
  <c r="AG6"/>
  <c r="AC6"/>
  <c r="AM5"/>
  <c r="AJ5"/>
  <c r="AL5" s="1"/>
  <c r="AO4"/>
  <c r="AN4"/>
  <c r="AL4"/>
  <c r="AG4"/>
  <c r="AA4"/>
  <c r="Y4"/>
  <c r="AC4" s="1"/>
  <c r="AO3"/>
  <c r="AF3"/>
  <c r="AE3" s="1"/>
  <c r="AA3"/>
  <c r="Y3"/>
  <c r="AO2"/>
  <c r="AM2"/>
  <c r="AL2"/>
  <c r="AM100" l="1"/>
  <c r="AC60"/>
  <c r="AO14"/>
  <c r="AO85"/>
  <c r="AM38"/>
  <c r="AA85"/>
  <c r="AO92"/>
  <c r="AA11"/>
  <c r="AD131"/>
  <c r="AM13"/>
  <c r="AO71"/>
  <c r="AM75"/>
  <c r="AM69"/>
  <c r="AO72"/>
  <c r="AO79"/>
  <c r="AM20"/>
  <c r="AM108"/>
  <c r="AM42"/>
  <c r="AM53"/>
  <c r="AO21"/>
  <c r="AD53"/>
  <c r="AM84"/>
  <c r="AM67"/>
  <c r="AM8"/>
  <c r="AO61"/>
  <c r="AO17"/>
  <c r="AM134"/>
  <c r="AM52"/>
  <c r="AO83"/>
  <c r="AC55"/>
  <c r="AM88"/>
  <c r="AM117"/>
  <c r="AA88"/>
  <c r="AO26"/>
  <c r="AM90"/>
  <c r="AM17"/>
  <c r="AO126"/>
  <c r="AO49"/>
  <c r="AM77"/>
  <c r="AM130"/>
  <c r="AL33"/>
  <c r="AM57"/>
  <c r="AM123"/>
  <c r="AA130"/>
  <c r="AB52"/>
  <c r="AM71"/>
  <c r="AO122"/>
  <c r="AM128"/>
  <c r="AM131"/>
  <c r="AM19"/>
  <c r="AB71"/>
  <c r="AB84"/>
  <c r="AM95"/>
  <c r="AO101"/>
  <c r="AM61"/>
  <c r="AM76"/>
  <c r="AO81"/>
  <c r="AO103"/>
  <c r="AL17"/>
  <c r="AO55"/>
  <c r="AM74"/>
  <c r="AM87"/>
  <c r="AM18"/>
  <c r="AO23"/>
  <c r="AM37"/>
  <c r="AO63"/>
  <c r="AM16"/>
  <c r="AM26"/>
  <c r="AO42"/>
  <c r="AA76"/>
  <c r="AM85"/>
  <c r="AL3"/>
  <c r="AM3"/>
  <c r="AM30"/>
  <c r="AM4"/>
  <c r="AB16"/>
  <c r="AO27"/>
  <c r="AO29"/>
  <c r="AO70"/>
  <c r="AO73"/>
  <c r="AO76"/>
  <c r="AO94"/>
  <c r="AO96"/>
  <c r="AO8"/>
  <c r="AC42"/>
  <c r="AO48"/>
  <c r="AO50"/>
  <c r="AO62"/>
  <c r="AD99"/>
  <c r="AO106"/>
  <c r="AO110"/>
  <c r="AO135"/>
  <c r="AC12"/>
  <c r="AO32"/>
  <c r="AO58"/>
  <c r="AO66"/>
  <c r="AO127"/>
  <c r="AO15"/>
  <c r="AO22"/>
  <c r="AO30"/>
  <c r="AO34"/>
  <c r="AO45"/>
  <c r="AO82"/>
  <c r="AO91"/>
  <c r="AO98"/>
  <c r="AO102"/>
  <c r="AO118"/>
  <c r="AO125"/>
  <c r="AO11"/>
  <c r="AO24"/>
  <c r="AM93"/>
  <c r="AO134"/>
  <c r="AO107"/>
  <c r="AM116"/>
  <c r="AO97"/>
  <c r="AM105"/>
  <c r="AO114"/>
  <c r="AD125"/>
</calcChain>
</file>

<file path=xl/sharedStrings.xml><?xml version="1.0" encoding="utf-8"?>
<sst xmlns="http://schemas.openxmlformats.org/spreadsheetml/2006/main" count="1438" uniqueCount="805">
  <si>
    <t>LEGAJO</t>
  </si>
  <si>
    <t>EXPEDIENTE</t>
  </si>
  <si>
    <t>INGRESO</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</si>
  <si>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</si>
  <si>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</si>
  <si>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</si>
  <si>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</si>
  <si>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</si>
  <si>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</si>
  <si>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</si>
  <si>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</si>
  <si>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</si>
  <si>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</si>
  <si>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</si>
  <si>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</si>
  <si>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</si>
  <si>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</si>
  <si>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</si>
  <si>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</si>
  <si>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</si>
  <si>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</si>
  <si>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</si>
  <si>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</si>
  <si>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</si>
  <si>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</si>
  <si>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</si>
  <si>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</si>
  <si>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</si>
  <si>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</si>
  <si>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</si>
  <si>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ENERO</t>
  </si>
  <si>
    <t>Urbana 1</t>
  </si>
  <si>
    <t>M. Moreno Nº esq. Florentina Gómez Miranda</t>
  </si>
  <si>
    <t>LOPEZ Darío Alberto y BOCHKARIOV Patricia Beatriz</t>
  </si>
  <si>
    <t>Nolasco Joaquina</t>
  </si>
  <si>
    <t>Galpón, depósito</t>
  </si>
  <si>
    <t>ARQ.</t>
  </si>
  <si>
    <t>relevamiento de galpón, depósito, Bajo Ord 27/10, art 1, punto 2, inc 2, Infracción art 5, 27, 141, 151, 152, 179, 202,233 del Código de Edificación</t>
  </si>
  <si>
    <t>conforme a planos, inspeccón 30/12/19</t>
  </si>
  <si>
    <t>Núcleo Urbano Ampliado</t>
  </si>
  <si>
    <t>Bvrad. Fresno s/Nº e/Crespín y calle pública</t>
  </si>
  <si>
    <t>CORDONE, Daniel y Franciso</t>
  </si>
  <si>
    <t>Bidal, Arnoldo F.</t>
  </si>
  <si>
    <t>Lescano Carlos María</t>
  </si>
  <si>
    <t>Vivienda unifamiliar</t>
  </si>
  <si>
    <t>relevamiento de ampliación en PA, nuevo Monoambiente y dormitorio de vivienda existente, en PB local comercial en esquina y vivienda unifamiliar existente con planos, Bajo Ord 27/10, art 1, punto 2, inc 2 y 3, Bajo Ord 58/06, Infracción Ord 71/96, art 2, infracción art 5, 27, 130, 166, 176, 179, 201, 202, 226, 230, 232, 247 del Cod de Edi, Infracción Ord 71/96, art 2, Bajo ord 58/06</t>
  </si>
  <si>
    <t>Urbanizada – Area 1</t>
  </si>
  <si>
    <t>Las Piedras N.º 390</t>
  </si>
  <si>
    <t>VERNAY Carlos Alberto</t>
  </si>
  <si>
    <t>MARTIN Melisa P</t>
  </si>
  <si>
    <t>relevamiento de ampliación de vivienda unifamiliar en PB, Bajo  Ord 27/10, art 1, punto 2, inc 2 y 3, Infracción art. 5, 27, 144, 146, 149, 152, 178, 179, 182, 202, 232, 233 del Cod de Edificación, (excede FOS)</t>
  </si>
  <si>
    <t>conforme a planos, inspeccón 10/01/20</t>
  </si>
  <si>
    <t>Urbana 2</t>
  </si>
  <si>
    <t>Alberdi N.º</t>
  </si>
  <si>
    <t>CAPUTTO Alicia Noemí</t>
  </si>
  <si>
    <t>Rodríguez Luís Miguel</t>
  </si>
  <si>
    <t>Viollaz José Alberto</t>
  </si>
  <si>
    <t>Local comercial</t>
  </si>
  <si>
    <t>dos locales comerciales a construir, barrio El Ombú, plantea 4 cocheras en el interior</t>
  </si>
  <si>
    <t>lote baldío, inspección 10/12/19</t>
  </si>
  <si>
    <t>518378, 518904</t>
  </si>
  <si>
    <t>Ampliación Turística Norte</t>
  </si>
  <si>
    <t>Juan Manuel de Rosas s/N° (Loteo Blanc)</t>
  </si>
  <si>
    <t>MINATTA Sebastián Augusto Enrique</t>
  </si>
  <si>
    <t>DAL MOLIN Anabella</t>
  </si>
  <si>
    <t>ING. CIVIL</t>
  </si>
  <si>
    <t>relevamiento de vivienda unifamiliar en etapa final de terminaciones, Bajo Ord 27/10, art 1, punto 2, INC 1 Y 2, Infracción Ord 62/13, art 30 (retiro obligatorio); infracción art 5, 27, 37,179, 202, 238, 247 del Código de Edificación. Vivienda en PB y PA, dos dormitorios</t>
  </si>
  <si>
    <t>de acuerdo a lo presentado, inspección 23/1/20</t>
  </si>
  <si>
    <t>M. Rebord N.º 132 e/M. Moreno y Noailles</t>
  </si>
  <si>
    <t>GALLICET Irma Lucía y BOCHATAY Juan Jorge</t>
  </si>
  <si>
    <t>ARGUET Daniela</t>
  </si>
  <si>
    <t>RUIZ DIAZ Marcelo J</t>
  </si>
  <si>
    <t>vivienda a construir, tres dormitorios, baño completo, cocina desayunador comedor estar, lavadero semicubierto</t>
  </si>
  <si>
    <t>Zona de Quintas</t>
  </si>
  <si>
    <t>Ruta Nac. Nª 14, km</t>
  </si>
  <si>
    <t>BACCON, Miguel Aníbal  y otros</t>
  </si>
  <si>
    <t>Rossier Betiana C.</t>
  </si>
  <si>
    <t>Vivienda unifamiliar + Local comercial + Galpones</t>
  </si>
  <si>
    <t>relevamiento vivienda unifamiliar, local comercial parrilla, galpones de pollo en mal estado, galpón depósito, Bajo Ord 27/10, art 1, punto 2; infracción art 5, 27, 37, 176, 179, 201, 236, 238, 240, 243, 247, 258, 264 del C. E. - de aplicación  art 267, 287 del C. E. (5, 27, 37, 130, 166, 176, 179, 201, 202, 226, 230, 232, 247) del Cod de Edificación</t>
  </si>
  <si>
    <t>FEBRERO</t>
  </si>
  <si>
    <t>Alberdi N.º 1255</t>
  </si>
  <si>
    <t>PITER Rubén Amalio</t>
  </si>
  <si>
    <t>JACQUET Ariel Norberto</t>
  </si>
  <si>
    <t>MAQUIAVELO Raúl Esteban</t>
  </si>
  <si>
    <t>vivienda unifamiliar a construir, tres dormitorios, dos baños completos, lavadero cubierto, cocina comedor estar , cochera cubierta</t>
  </si>
  <si>
    <t>obra no comenzada, inspección 26/12/19</t>
  </si>
  <si>
    <t>Centro</t>
  </si>
  <si>
    <t>Esteva Berga N.º 137</t>
  </si>
  <si>
    <t>BLANC Juan Cruz</t>
  </si>
  <si>
    <t>PERNO RENZI María José</t>
  </si>
  <si>
    <t>no necesario</t>
  </si>
  <si>
    <t>Vivienda unifamiliar + Local comercial + Instituto de enseñanza</t>
  </si>
  <si>
    <t>cambio de uso, vivienda unifamiliar antigua existente con antecedentes al frente, junto con un local comercial, al fondo, vivienda unifamiliar declarada con antecedentes, con dos dormitorios, baño, cocina comedor estar y lavadero que pasará a ser un Instituto de enseñanza de Idiamo, los dormitorios y el estar pasaran a ser aulas, el lavadero se reconvertirá en un baño nuevo, quedan entonces dos baños, una cocina y tres aulas, se visa sin necesidad de constructor por ser trabajos menores, Bajo Ord 27/10, art 1, punto 2, inc 2, Infracción art 178, 179, 232 del C.E.</t>
  </si>
  <si>
    <t>Inspección 31/1/20, trabajos no comenzados</t>
  </si>
  <si>
    <t>Primera Junta N.º 508, 510</t>
  </si>
  <si>
    <t>BOURLOT Ana María</t>
  </si>
  <si>
    <t>Vivienda multifamiliar</t>
  </si>
  <si>
    <t>relevamiento de dos unidades de vivienda apareadas, terreno rrelenado, fondo bajo en estado natural, cocheras al frente semicubiertas, dos dormitorios c/u, cocina comedor estar, sobre dormitorios espacio de deposito en pequeño entrepiso inaccesible, Bajo Ord 27/10, art 1, punto 2, inc 1 y 2, Infracción art 5, 27, 118, 119, 136, 152, 178, 179, 181, 182, 201, 202, 226, 232, 233 del C. E.</t>
  </si>
  <si>
    <t>Inspección 26/12/19</t>
  </si>
  <si>
    <t>Residencial Norte</t>
  </si>
  <si>
    <t>Alberdi N.º 230 y 236</t>
  </si>
  <si>
    <t>PACCOT Francisco Conrado</t>
  </si>
  <si>
    <t>PENON Luciano Daniel</t>
  </si>
  <si>
    <t>Vivienda multifamiliar + Galpón depósito</t>
  </si>
  <si>
    <t>relevamiento de galpón depósito y dos viviendas unifamiliares, una antigua reutilizada en parte para instituto de enseñanza de baile y gimnasia que cuenta con un SUM baño y sector anexo al SUM, comedor, cocina , lavadero, dos dormitorios y baño completo, patio , la otra un depto mínimo “en el Galpón” con dos dormitorios (hay que pasar por uno para llegar al otro y al baño) y un baño completo en PA, cocina comedor y depósito en PB, el galpón posee fosa y esta en comunicación con el patio de la vivienda antigua, Bajo Ord 27/10, Art 1, punto 2, inc 2 y 3,Infraccion art 5, 27, 37, 176, 179, 181, 182, 202, 214 223, 232, 233, 254, 260 del C.E., Infraccion ORd 62/13, art 12 y 13</t>
  </si>
  <si>
    <t>inspección 11/02/20</t>
  </si>
  <si>
    <t>518905, 51961</t>
  </si>
  <si>
    <t>RELEVAMIENTO</t>
  </si>
  <si>
    <t>Residencial Sur</t>
  </si>
  <si>
    <t>Martín Reibel N.º 621</t>
  </si>
  <si>
    <t>BOUVET Jorge Luís</t>
  </si>
  <si>
    <t>Viviemda multifamiliar</t>
  </si>
  <si>
    <t>tres unidades de vivienda existentes, dos monoambientes y una de un dormitorio al frente del lote, se releva ahora un monoambiente al fondo, uno al frente en PA y una vivienda con dos dormitorios en PA al frente, BAJO ord 27/10, art 1, punto 2, inc 2 y 3, Infracción art 5, 27, 37, 149, 150, 176, 178, 179, 181, 182, 202, 223, 226, 232 , DEL CODIGO DE EDIFICACION, infracción ORD 29/10, ART 1</t>
  </si>
  <si>
    <t>MARZO</t>
  </si>
  <si>
    <t>Rocamora N.º 1118</t>
  </si>
  <si>
    <t>POLLIAND Cristhian María</t>
  </si>
  <si>
    <t>SERRANO María Laura y VIOLLAZ Carolina</t>
  </si>
  <si>
    <t>relevamiento de vivienda unifamiliar “en construcción” , sólo ejecutado y parcialmente la PB, estructura. Mamposteria sin revocar, aberturas, BAJO Ord 27/10, art 1, punto 2, inc 2, Infracción art 5, 27, 37, 144, 146, 161, 207 del C.E.- DEBERA PEDIR PERMISO Y PRESENTAR PLANOS PARA CONTINUAR CON LA OBRA</t>
  </si>
  <si>
    <t>Craviotto N.º 1111 e/ Las Piedras y M. Rebord</t>
  </si>
  <si>
    <t>GALLEGOS José David</t>
  </si>
  <si>
    <t>relevamiento de vivienda unifamiliar pequeña, en PB, dos dormitorios, baño completo, cocina comedor, estar, cochera semicubierta, BAJO Ord 27/10, art 1, punto 2, inc 2, Infracción art 5, 27, 37,144, 146, 232, 235, 236, del C.E. y Ord 5/2011</t>
  </si>
  <si>
    <t>Núcleo Urbano Amplado</t>
  </si>
  <si>
    <t>Calle Colibrí s/N° e/ Ruta N° 135 y Calle Pública (Loteo BESSON)</t>
  </si>
  <si>
    <t>GASSMAN Osvaldo Fabián y PRIORE Mónica Beatríz</t>
  </si>
  <si>
    <t>RIOS Marianela</t>
  </si>
  <si>
    <t>relevamiento de grupo de cabañas de un dormitorio y un semicubierto tipo quincho, pileta, vivienda en dos plantas existente con antecedente, BAJO Ord 27/10, art 1, punto 2, inc 2, infraccion art 5, 27, 37, 176, 178, 181, 182, 198, 201, 223, 227, 236 Del C.E.; sujeto al cumplimiento de los art 266 , 267, 289 del C.E., la Ord 49/12 y 05/11</t>
  </si>
  <si>
    <t>inspección 20/02/20</t>
  </si>
  <si>
    <t>ABRIL</t>
  </si>
  <si>
    <t>Bvard. Gaillard N.º 429</t>
  </si>
  <si>
    <t>LALLANA Sandra Guadalupe y DE FRANCESCO Angel Daniel</t>
  </si>
  <si>
    <t>DE LA FUENTE Natalia</t>
  </si>
  <si>
    <t>HUERTA Oscar</t>
  </si>
  <si>
    <t>quincho al fondo existente, vivienda al frente en PB a terminar y Vivienda a construir en PA, Quincho al fondo con un dormitorio y baño completo, vivienda en PB con dos dormitorios, baño completo, cocina lavadero, estar comedor y cochera semicubierta, vivienda en PA con dos dormitorios, baño completo compartimentado, cocina lavadero pequeña, estar comedor y terraza balcon al frente, Bajo Ord 27/10, art 1, punto 2, inc 2, Infraccion Art 5, 27, 37, 176, 202, 232, del Cod de Edif</t>
  </si>
  <si>
    <t>ampliación no comenzada, inspección 11/02/20</t>
  </si>
  <si>
    <t>Araujo Penón N° 367 e/ Bvard Gaillard y Rocamora</t>
  </si>
  <si>
    <t>DE ROSA Elena Beatriz</t>
  </si>
  <si>
    <t>LEMA Carolina Isabel</t>
  </si>
  <si>
    <t>vivienda unifamiliar de madera, tipo cabaña, dos dormitorios, cocina comedor estar, baño completo, elevad del terreno natura, BAJO Ord 27/10, art 1, punto 2, inc 2, Infracción art 5, 27, 37, 176, 198, 202, 232 Del C.E.</t>
  </si>
  <si>
    <t>inspección 03/03/20</t>
  </si>
  <si>
    <t>Santa Cruz N.º 375 e/ Rocamora y Bvard. Gaillard</t>
  </si>
  <si>
    <t>CAIRE María Cecilia</t>
  </si>
  <si>
    <t>MOYANO María Laura</t>
  </si>
  <si>
    <t>GOMEZ Iris Rocío</t>
  </si>
  <si>
    <t>RUIZ DIAZ Javier Marcelo</t>
  </si>
  <si>
    <t>Vivienda unifamiliar + Consultorios</t>
  </si>
  <si>
    <t>vivienda unifamiliar a construir, adosada a consultorioas, salón de rehabilitación, con sanitario accesible, tres consultorios al frente con baño de servicio común, sala de espera y patio interno, no posee cocheras. - VER DIMENSIONES Y VENTILACION DE CONSULTORIOS</t>
  </si>
  <si>
    <t>obra no comenzada, inspección 06/01/20</t>
  </si>
  <si>
    <t>Combatiente de Malvinas N° 130</t>
  </si>
  <si>
    <t>MARTINEZ Rubén Mario y SCALESE Elisabet</t>
  </si>
  <si>
    <t>relevamiento de ampliaciones realizadas sin permiso en dos pequeñas viviendas existentes, trasnformadas ahora para alquiler turísitico, viivenda frente con un domritorio cocina comedor estar semicubierto de accose y entrepiso sobre cocina, vivined medio un dormitorio cocina comedor y baño, fondo depósito y lateral un semicubierto  con parrillas el resto libre jadín. BAJO ORD 27/10, art 1, punto 2, inc 2, Infracción art 5, 27, 37, 178, 179,</t>
  </si>
  <si>
    <t>INSPECCIÓN 03/03/20</t>
  </si>
  <si>
    <t>Calle Pública s/Nº</t>
  </si>
  <si>
    <t>PERRON Jorge Aníbal</t>
  </si>
  <si>
    <t>JACQUET Ariel N.</t>
  </si>
  <si>
    <t>Instituto de enseñanza</t>
  </si>
  <si>
    <t>instituto de enseñanza de idioma, galpón al fondo depósito</t>
  </si>
  <si>
    <t>inspección 10/01/20, lote baldío</t>
  </si>
  <si>
    <t>Ramírez N° 145, esq. Gouchón</t>
  </si>
  <si>
    <t>REQUELME Fabiana Alejandra</t>
  </si>
  <si>
    <t>GUTIERREZ Fernando Marcelo</t>
  </si>
  <si>
    <t>MANZANARES Carlos Roberto</t>
  </si>
  <si>
    <t>Vivienda unifamiliar + Local comercial</t>
  </si>
  <si>
    <t>se demuele antigua vivienda y en su lugar se construye nueva (con proyecccion a PA), se releva una vivienda existente y un local con planos antecedentes en la esquina, Bajo Ord 27/10, art 1, punto 2, inc 2, Infracción art 5, 27, 37, 130, 179, 230 del C.E.</t>
  </si>
  <si>
    <t>obra no comenzada, inspección 10/03/20</t>
  </si>
  <si>
    <t>MAYO</t>
  </si>
  <si>
    <t>Bvard. Sanguinetti N.º 386, 388</t>
  </si>
  <si>
    <t>BARACAT Juan Carlos</t>
  </si>
  <si>
    <t>vivienda unifamiliar sencilla a construir al fodo del lote en PB, dos dormitorios, baño completo, cocina comedor estar, cochera semicubierta, al frente local comercial con acceso diferenciado para público en espacio separado y acceso vehicular al salón, con baño.</t>
  </si>
  <si>
    <t>obra no comenzada, inspección 15/04/20</t>
  </si>
  <si>
    <t>Calle Pública s/N° (Loteo Papurello)</t>
  </si>
  <si>
    <t>GEREVICH Benjamin Daniel y MARTURELLO Rosana</t>
  </si>
  <si>
    <t>relevamiento de viivenda unifamiliar, dos dormitorios, baño completo compartimentado, baño con ducha, cocina comedor estar, galería semicubierta cochera y parrilla, BAJO ORD 27/10, art 1, punto 2, inc 2, Infracción art 5, 27, 37, 176, 201 del C.-E.</t>
  </si>
  <si>
    <t>inspección 10/03/20</t>
  </si>
  <si>
    <t>JUNIO</t>
  </si>
  <si>
    <t>Bolívar N° 563</t>
  </si>
  <si>
    <t>BASTIAN Gustavo Javier</t>
  </si>
  <si>
    <t>ARLETTAZ Osiel Guillermo, María Rosa, Victor Hugo, Marcos Eduardo, Jorge Alfredo, BAENA Lionel Alberto, Sergio Alfredo,</t>
  </si>
  <si>
    <t>CAIRE Marcelo</t>
  </si>
  <si>
    <t>DE SANTIAGO Francisco Daniel</t>
  </si>
  <si>
    <t>Salas Velatorias y Vivienda unifamiliar</t>
  </si>
  <si>
    <t>demolición de viivenda existente (con planos visados 18/09/…) contrucción de vivienda unifamiliar nueva y salas velatorias de la empresa BASTIAN, cocheras existentes a declarar al fondo del lote, vivienda unifamiliar en PA al fondo también existente a declarar, tiene dormitorio, vestidor, baño completo, cocina comedor estar, galería semicubierta en comuicación con la PA de las cocheras que es un depósito, a las cocheras en PB se le agregaran veztuarios para mujeres y hombres,  BAJO Ord 27/10, art 1, punto 2, inc  2, Infracción art 5, 27, 37, 179 del C.E., Infracción Ord 56/07, art 3, A</t>
  </si>
  <si>
    <t>obra iniciada, en etapa de cimentaciones, demolición concluída, inspección 04/12/19</t>
  </si>
  <si>
    <t>Avda Paysandú N.º 1198 esq. Araujo Penón</t>
  </si>
  <si>
    <t>LASCANO Nicolás Pablo</t>
  </si>
  <si>
    <t>DANTAS Gabriel E.</t>
  </si>
  <si>
    <t>ACOSTA Oscar R</t>
  </si>
  <si>
    <t>vivienda existente, ampliación en PA a construir, 4 dormitorios y un baño completo, existente en PB estar ,cocina, comedor, baño completo, dos dormitorios, cochera semicubierta, quincho al fondo separado</t>
  </si>
  <si>
    <t>ampliación no comenzada, inspección 11/04/20</t>
  </si>
  <si>
    <t>Rocamora N.º 803 y Ramírez N.º 406, 410</t>
  </si>
  <si>
    <t>PITER Mario Gustavo</t>
  </si>
  <si>
    <t>JACQUET Ariel N</t>
  </si>
  <si>
    <t>ZABATTO Javier</t>
  </si>
  <si>
    <t>ING. CiVIL</t>
  </si>
  <si>
    <t>tres departamentos a construir, dos dormitorios en PA cada uno, con baño en PA, en PB cocina comedor, estar, cochera descubierta, lavadero semicubierto</t>
  </si>
  <si>
    <t>lote baldío, inspección 25/06/20</t>
  </si>
  <si>
    <t>Bolívar N° 180</t>
  </si>
  <si>
    <t>DOLAZ de ALI Edith Inés</t>
  </si>
  <si>
    <t>no identificado</t>
  </si>
  <si>
    <t>Galpón depósito, Local comercial</t>
  </si>
  <si>
    <t>Depósito , galpón con oficina existente al fondo, ya declarado en plano antecedente de 2006, se proyecta ejecutar local comercial al frente sobre una estructuras de fundaciones existentes (creeria destinadas a una vivienda que nunca se construyo), Bajo Ord 27/10, art 1, punto 2, inc 2; infracción art 5, 27, 37, 179, del C.E., sujeto a la aplicación de los art 263, 264, 266, 267 del C.E.</t>
  </si>
  <si>
    <t>no comenzado, inspección 15/2/20</t>
  </si>
  <si>
    <t>Calle Pública s/N° (Loteo San Juan)</t>
  </si>
  <si>
    <t>ROMERO Adrian Omar</t>
  </si>
  <si>
    <t>MARTIN Melisa Paola</t>
  </si>
  <si>
    <t>BUFFET Hugo</t>
  </si>
  <si>
    <t>vivienda unifamiliar a construir en PB y PA, en PB dormitorio con baño completo, cocina desayunador, estar comedor, galeria semicubierta quincho, cochera semicubierta para dos autos, acceso, lavadero, sanitario de servicio para el exterior y depósito, en PA dormitorio ppal en suite con vestidor dos dormitorios, baño completo compartimentado, paso ancho forma escritorio o estudio intimo , A VERIFICAR INSTALACION SANITARIA</t>
  </si>
  <si>
    <t>obra no comenzada, inspección 13/03/20</t>
  </si>
  <si>
    <t>JULIO</t>
  </si>
  <si>
    <t>Calle Pte. Illía N° 97, esq Bolívar</t>
  </si>
  <si>
    <t>VERNAZ Aníbal Francisco</t>
  </si>
  <si>
    <t>PERNO Rubén Alberto</t>
  </si>
  <si>
    <t>ING. CONST.</t>
  </si>
  <si>
    <t>dos viviendas existentes con planos antecedentes, algo reformada una de ellas paso de tener dos dormitorios a uno y agrego una galeria que era semicubierta ahora como espacio cubierto, la otra sigue igual, además existia tambien con planos antecedentes un local comercial en la esquina, ahora, se hace el relevamiento de otro local comercial sobre calle Illía ubicado donde antes era jespacio de jardines. BAJO Ord 27/10, art 1, punto 2, inc 2; Infracción art 5, 27, 37, 176, 178, 179, 201, 214, 238, 247 del CE, Infracción Ord 56/07, art 3, inc I, sub inc a), 3 –</t>
  </si>
  <si>
    <t>INSPECCIÓN 05/03/20</t>
  </si>
  <si>
    <t>Chacabuco N° 155 esquina 3 de Febrero</t>
  </si>
  <si>
    <t>RAMAT Fernando Leonel</t>
  </si>
  <si>
    <t>CABRERA Noel Javier</t>
  </si>
  <si>
    <t>DRAY Daniel Alberto</t>
  </si>
  <si>
    <t>Vivienda unifamiliar a construir, demolición de lo existente, utilizado como local comercial restaurante, la nueva vivienda sera en PB y PA, en PB dormitorio ppal en suite con baño completo compartimentado y vestidor, baño de servicio, cochera cubierta para dos autos, cocina comedor diario, comedor ppal y estar, en PA dos dormitorios dobles con baño completo compartimentado y balcón terraza para 3 de Febrero, Bajo ord 27/10, art 1, punto 2, inc 2, Infracción art 5, 27, 37 del C.E.</t>
  </si>
  <si>
    <t>demolición completa, obra nueva no comenzada, inspección 13/02/20</t>
  </si>
  <si>
    <t>Calle Pública s/N°</t>
  </si>
  <si>
    <t>RUBA Milton David</t>
  </si>
  <si>
    <t>ARGUET Daniela Alejandra</t>
  </si>
  <si>
    <t>vivienda unifamiliar a construir en PB, dos dormitorios,cocina comedor estar, cochera semicubierta, baño completo, acceso semicubierto</t>
  </si>
  <si>
    <t>Inspección 10/03/20, lote baldío</t>
  </si>
  <si>
    <t>DESISTIDO</t>
  </si>
  <si>
    <t>RELEVAMIENTO y AMPLIACION</t>
  </si>
  <si>
    <t>Ampliación turística norte</t>
  </si>
  <si>
    <t>Luís Federico Leloir N.º e/J. M. de Rosas y Artalaz (Loteo Heis de Bogado)</t>
  </si>
  <si>
    <t>MAULELLA DOTI Juan Jose, MAULELLA DURE Juan Martín, ROSSANO LOPEZ de HARO Lucía</t>
  </si>
  <si>
    <t>relevamiento de dos unidades de vivienda de alquiler adosadas, en PB, con cochera semicubierta, un dormitorio, baño, cocina comedor. En el semicubierto de la cochera tiene una parrilla. Bajo Ord 27/10, art 1, punto 2, inc 2 y 3, Infracción  5, 27, 37, 178, 179, 214, 223, 236, 238, 247 del C.E.; infraccion ORd 53/07 (cocheras), Infracción ORd.62/13, art 30 (retiro). Durante la inspección se constató avance en la ejecuci{on de un nuevo grupo de dos viviendas (aparentemente) sobre una platea existente detrás del grupo existente</t>
  </si>
  <si>
    <t>Tratado del Pilar N.º 226</t>
  </si>
  <si>
    <t>CACERES Mauro Andrés</t>
  </si>
  <si>
    <t>relevamiento de vivienda unifamiliar, medianeras a ejecutar, dos dormitorios, baño, cocina comedor estar, cocheras descubierta, Bajo Ord 27/10, art 1, punto 2, inc 2 y 3; Infracción Ord 62/13, art 12, Infracción art 5, 27, 37, 201 del C.E.</t>
  </si>
  <si>
    <t>Cabo Pereyra N° 226</t>
  </si>
  <si>
    <t>CABRERA Claudio O y SPOSITO Lucrecia J</t>
  </si>
  <si>
    <t>ROSSIER Betianan Carolina</t>
  </si>
  <si>
    <t>relevamiento de ampliaciones realizadas en vivienda del IAPV, ampliación de un dormitorio, ampliación del estar, construcción de cochera cubierta, BAJO ORD 27/10, art 1, punto 2, inc 3, infracción art 5, 27, 37, 179 del C.E.; Infracción Ord 62/13, art 26, inc a</t>
  </si>
  <si>
    <t>Inspección 10/03/20</t>
  </si>
  <si>
    <t>Urbana</t>
  </si>
  <si>
    <t>San Martín N° 1211</t>
  </si>
  <si>
    <t>ADAMI Rubén Francisco</t>
  </si>
  <si>
    <t>CABRAL Fernando Antonio</t>
  </si>
  <si>
    <t>Local comercial a construir, demolición del galpón precario existente, VISADO PREVIO, sin autorización de inicio de obra, SUJETO a la Aplicación de los art 198, 260, 264, 266, 267 del C.E.</t>
  </si>
  <si>
    <t>obra no comenzada, inspección 13/02/20</t>
  </si>
  <si>
    <t>Ampliación turística</t>
  </si>
  <si>
    <t>Los Bretes</t>
  </si>
  <si>
    <t>RICHARD Martín Fabrticio</t>
  </si>
  <si>
    <t>GRANE Carolina</t>
  </si>
  <si>
    <t xml:space="preserve">COT César Mauricio </t>
  </si>
  <si>
    <t>vivienda a construir, tres dormitorios, uno en suite con baño compartimentado y vestidor, además baño completo compartimentado en PA, terraza accesible, cocina comedor, estar comedor ppal, sala de juegos, baño completo, lavadero cubierto, baño de servicio al exterior, galería semicubierta con quincho parrilla enorme cocina completa exterior, cochera para dos vehículos descubierta, piscina y espacio para cancha de basquet</t>
  </si>
  <si>
    <t>Inspección 08/07/20</t>
  </si>
  <si>
    <t>Rocamora N° 819</t>
  </si>
  <si>
    <t>GALIUSSI Georgina Soledad y Dalila Gisel</t>
  </si>
  <si>
    <t>MALGOR José Manuel</t>
  </si>
  <si>
    <t>vivienda unifamiliar senciclla existente, relevamiento de dos unidades más, una en PA sobre la existente y otra al fondo del lote, con un dormitorio c/u, cocina comedor y baño, cochera para la existente al frente semicubierta, BAJO Ord 27/10, art 1, punto 2, inc 2, Infracción Art 5, 27, 37, 144, 176, 178, 179, 181, 202, 214, 223, 226 del C.E.</t>
  </si>
  <si>
    <t>inspección 06/07/20</t>
  </si>
  <si>
    <t>Bolívar N.º 724</t>
  </si>
  <si>
    <t>MONTONATI Claudia Viviana y BATLLE Carlos E</t>
  </si>
  <si>
    <t>AREVALO Rogelio Enrique</t>
  </si>
  <si>
    <t>ampliación de vivienda unifamiliar existente con planos visados, pileta y quincho al fondo, ampliación de dormitorio en PB y baño, refacción y ampliación de cocina estar comedor en PB, y cochera cerrada, Bajo Ord 27/10, art 1, punto 2, inc 2, Infracción art 5, 27, 37, del C.E. - tiene ACTA por obra iniciada sin permiso</t>
  </si>
  <si>
    <t>Agustín Craviotto N° 1208</t>
  </si>
  <si>
    <t>GUARDAMINO ALVAREZ Carla Antoinette</t>
  </si>
  <si>
    <t>SERRANO María Laura y VIOLLAZ Carolina M. E.</t>
  </si>
  <si>
    <t>Vivienda unifamiliar + GALPON</t>
  </si>
  <si>
    <t>vivienda unifamiliar existente en Pb estar comedor, cocina comedor diario, baño lavadero, habitación, en PA 4 habitaciones, estudio, 2 baños, Relevamiento de galpón depósito en PB con baño, y vivienda un dormitorio, baño, cocina comedor estar, BAJO ORD 27/10, art 1, Punto 2, inc 2, INFRACCION art 5, 27, 37, 176, 179, 202, 226 del C.E.</t>
  </si>
  <si>
    <t>Artigas N.º 211, esq. Reibel</t>
  </si>
  <si>
    <t>S.M.Q.</t>
  </si>
  <si>
    <t>SANATORIO MEDICO QUIRURGICO</t>
  </si>
  <si>
    <t>Paccot Javier Humberto</t>
  </si>
  <si>
    <t>Sanatorio</t>
  </si>
  <si>
    <t>relevamiento de ampliación ejecutada en el sanatorio, depósito en el vértice del patio, se anexará al plano visado anterior de Septiembre de 2019, BAJO ORD 27/10, Art 1, Punto 1, inc 9, Punto 2, inc 2, Infracci+on art 5, 27, 37, del C.E.</t>
  </si>
  <si>
    <t xml:space="preserve">acorde a lo existente, obra terminada, </t>
  </si>
  <si>
    <t>Bvard. Ferrari N° 1101, 1103</t>
  </si>
  <si>
    <t>VIOLLAZ Leandro Fabián</t>
  </si>
  <si>
    <t>Vivienda multifamiliar + Locales comerciales</t>
  </si>
  <si>
    <t>relevamiento de dos locales comerciales en la esquina y tres unidades de vivienda, un monoambiente, una de dos dormitorios ambas en PB, y otra desarrlodada en PB y PA con tres dormitorios, BAJO ORD 27/10, art 1, punto 2, inc 1, 2 y 3, Infracción art 5, 27, 37, 141, 144, 179, 181, 191, 201, 202, 223, 233 del C.E.; infracción ORd 53/07, Infracción ORd 56/07, art 3</t>
  </si>
  <si>
    <t>Gouchón N° 667, 669</t>
  </si>
  <si>
    <t>BRITOS Lucía Ester</t>
  </si>
  <si>
    <t>ROSSIER Betiana Carolina</t>
  </si>
  <si>
    <t>ORTAGUEZ Jorge</t>
  </si>
  <si>
    <t>PRESENTACION NUEVA DE PLANOS tras la REVOCATORIA del VISADO ANTERIOR, Vivienda unifamiliar exstente sobre cocheras al fondo, vivienda antigua a demoler al frente y en su lugar se construirá una vivienda unifamiliar nueva de PB y PA, BAJO Ord 27/10, art 1, punto 2, inc 2 y 3, Infracción Ord 62/13, art 24, Infracción art 5, 27, 37, 232 del C.E:</t>
  </si>
  <si>
    <t>inspección 16/07/20, en mampostería de PA, de acuerdo a planos</t>
  </si>
  <si>
    <t>mail, 522088</t>
  </si>
  <si>
    <t>Calle Paraiso s/N° (Loteo Ayres de 1872)</t>
  </si>
  <si>
    <t>NATTERO Alan Exequiel</t>
  </si>
  <si>
    <t>DANTAS Gabriel Eduardo</t>
  </si>
  <si>
    <t>GODOY Raúl Alberto</t>
  </si>
  <si>
    <t>vivienda unifamiliar a construir, PB oficina, estar comedor cocina y desayunador, hall de acceso, lavadero cubierto, depósito de cochera, baño completo, dormitorio en suite con baño compartimentado y vestidor, en PA dos dormitorios con baño completo cada uno, SUM, en PB piscina y quincho con galería semicubierta con parrilla, cochera semicubierta para 4 vehículos</t>
  </si>
  <si>
    <t>inspección, cerco de obra 15/07/20</t>
  </si>
  <si>
    <t>AGOSTO</t>
  </si>
  <si>
    <t>mail, 522879</t>
  </si>
  <si>
    <t>Maipú N° 541</t>
  </si>
  <si>
    <t>MEYER Elbio Hermen</t>
  </si>
  <si>
    <t>vivienda existente demolida, en su lugar se relevaron tres unidades de vivienda, una de tres dormitorios con cocina comedor, estar y baño, con cochera semicubierta, otra de un dormitorio, cocina y baño con cochera cubierta, otra en PA monoambiente con cochera descubierta, quincho semicubierto con parrilla, depósitos cubiertos en el sector del patio y piscina pequeña, Bajo ORd 27/10, art 1, punto 2, inc 1, 2 y 3. Infracción 5, 27, 37, 151, 176, 178, 179, 181, 202, 214, 226, 247 de CE, Infraccion ORd 62/13, art 12, Infraccion Ord 53/07</t>
  </si>
  <si>
    <t>inspección 6/7/20</t>
  </si>
  <si>
    <t>Chacabuco N.º 875</t>
  </si>
  <si>
    <t>PARRA Roxana Mabel</t>
  </si>
  <si>
    <t>FERRUA Patricio</t>
  </si>
  <si>
    <t>vivienda unifamiliar a construir, demolición de existente, (sup cochera 3,55*6,3=20,365m2+18,40m2 de semicub=40,765m2 semicub totales, computables para liquidar son 20,38m2</t>
  </si>
  <si>
    <t>no comenzada</t>
  </si>
  <si>
    <t>Emilio Gouchón N.º 479</t>
  </si>
  <si>
    <t>BAZZURI Miguel Angel</t>
  </si>
  <si>
    <t>Perno Rubén Alberto</t>
  </si>
  <si>
    <t>relevamiento de vivienda antigua dividida y transformada en dos deptos de un dormitorio c/u, Bajo Ord 27/10, art 1, punto 2, inc 2, Infracción art 5, 27. 37, 178,179, 202 del C.E., infracción Ord 56/07, art 3, I), a) 3; Infracción Ord 53/07</t>
  </si>
  <si>
    <t>Inspección 26/06/20</t>
  </si>
  <si>
    <t>mail, 522886</t>
  </si>
  <si>
    <t>María Isabel Fernández N° 141</t>
  </si>
  <si>
    <t>WEISS Jaqueline</t>
  </si>
  <si>
    <t>Vivienda Multifamiliar</t>
  </si>
  <si>
    <t>relevamiento tres unidades de vivienda mínima, ubicadas al fondo del lote, Bajo Ord 27/10, art 1, punto 2, inc 2, Infracción art 5, 27, 37, 176, 178, 179, 202, 237 del C.E., Infracción Ord 56/07, art 3</t>
  </si>
  <si>
    <t>inspección 12/8/20</t>
  </si>
  <si>
    <t>518728, 522975</t>
  </si>
  <si>
    <t>Calle Salsipuedes s/N°</t>
  </si>
  <si>
    <t>GOYENECHE María de las Nieves y SILVA Jorge Andrés</t>
  </si>
  <si>
    <t>BLANC Maximiliano</t>
  </si>
  <si>
    <t>relevamiento y terminación de vivienda unifamiliar, BAJO ORD 27/10, art 1, punto 2 inc 2, Infracción art 5, 27, 37 del C.E.</t>
  </si>
  <si>
    <t>inspección 28/01/20</t>
  </si>
  <si>
    <t>MAIL, 522667</t>
  </si>
  <si>
    <t>Reibel N° e/ Leguizamón y Monteagudo</t>
  </si>
  <si>
    <t>CARRUEGA Gisela Vanesa</t>
  </si>
  <si>
    <t>GOMEZ Erika</t>
  </si>
  <si>
    <t>CHINELLATO Damián</t>
  </si>
  <si>
    <t>GOMEZ Erika - CHINELLATO Damian</t>
  </si>
  <si>
    <t>vivienda unifamiliar a construir, vivienda al frente, quincho al fondo con cochera cubierta, depósito y baño, vivienda con dormitorio ppal en suite, vestidor y baño, dos dormitorios simples, bañoi ppal, lavadero cubierto, cocina desayunador, comedor, estar, recibidor hall de acceso, acceso exterior semicubierto, cochera doble semicubierta, BAJO Ord 27/10, art 1, punto 1, inc 9, Infraccióin art 5, 27, 37 del C.E.</t>
  </si>
  <si>
    <t>inspección 4/8/20, bases ejecutadas, instalación cloacas y agua, encadenaddo inferior, armado de columnas</t>
  </si>
  <si>
    <t>mail, 522587</t>
  </si>
  <si>
    <t>MARTINEZ Miguel Angel y VIOLLAZ Olga Mabel</t>
  </si>
  <si>
    <t>local comecial a construir, galpón, servicios por duplicaco (probable división futura en dos locales iguales)</t>
  </si>
  <si>
    <t>522374, 523080</t>
  </si>
  <si>
    <t>AGUARA CONSTRUCTORA S.A.</t>
  </si>
  <si>
    <t>seis unidades de vivienda a construir, estar comedor cocina, baño, dos dormitorios, cochera y parrilla semicubierta</t>
  </si>
  <si>
    <t>inspección 29/7/20, acopio de materiales</t>
  </si>
  <si>
    <t>SEPTIEMBRE</t>
  </si>
  <si>
    <t>3 de Febrero N° 520</t>
  </si>
  <si>
    <t>ANSALDI Juan Manuel y otros</t>
  </si>
  <si>
    <t>SANTOS Alicia Beatriz</t>
  </si>
  <si>
    <t>RODRIGUEZ Luís Miguel</t>
  </si>
  <si>
    <t>VIOLLAZ José Alberto</t>
  </si>
  <si>
    <t>Viviwnda multifamiliar</t>
  </si>
  <si>
    <t>plano conforme a obra de edificio de deptos a constuir, se ejecutó una ampliación en planta 1 y 2 piso sobre una servidumbre de paso, habitaciones, el plano fue visado en 25/11/2015 (se observan faltas no señaladas ni corregidas en los planos), Actualmente tiene 10 propietario dferencites, se vendieron los deptos, Bajo Ord 27/10, art 1, punto 2, inc 2, Infraccion art 5, 10, 27, 37, 179, 191, 202 del C.E., Infraccion Ord 56/07, art 3</t>
  </si>
  <si>
    <t>inspección, 21/07/20</t>
  </si>
  <si>
    <t>3 de Febrero N° 319 e/ Paso de los Andes y Bvard Gaillard</t>
  </si>
  <si>
    <t>GOWLAND Agustín Horacio</t>
  </si>
  <si>
    <t>ZARAGOZA Víctor Andrés</t>
  </si>
  <si>
    <t>BORUSKO Marcelo</t>
  </si>
  <si>
    <t>Quincho</t>
  </si>
  <si>
    <t>quincho a construir, sobre un lateral del terreno, sólo PB, toilete</t>
  </si>
  <si>
    <t>Celia Pellenc N° 124</t>
  </si>
  <si>
    <t>NUÑEZ Graciela Beatríz</t>
  </si>
  <si>
    <t>NEGREIRA Gustavo Daniel</t>
  </si>
  <si>
    <t>dos viviendas existentes a relevar, una con dos dormitorios estar, cocina comedor y baño completo, otra con un dormitorio baño y cocina comedor, cochera con mediasombra y otra semicubierta. Bajo Ord  27/10, art 1, punto 2, inc 2. Infracción art 5, 27, 37, 176, 178, 179, 202, 223, 233 del C. E.</t>
  </si>
  <si>
    <t xml:space="preserve">Urbana </t>
  </si>
  <si>
    <t>Padre Duce N° 104</t>
  </si>
  <si>
    <t>SMIETANA Tadeo Manuel Ramón y MORELLI Rita Graciela</t>
  </si>
  <si>
    <t>demolición de vivienda existente y vivienda unifamiliar a construir, dos dormitorios a construir en PA y baño, en PB cochera cubierta para dos autos, lavadero, cocina desayunadro comedsor estar , acceso semicubierto, dormitorio en suite con baño compartimentado</t>
  </si>
  <si>
    <t>obra no comenzada, inspección 14/8/20</t>
  </si>
  <si>
    <t>Cabo Pereyra N° ..</t>
  </si>
  <si>
    <t>VAZQUEZ Juan Manuel</t>
  </si>
  <si>
    <t>Cancha Fútbol 5</t>
  </si>
  <si>
    <t>conforme a obra, pequeña diferencia de m2, plano antecedente obra Visado 31/01/19, NO CUMPLE ORD 67/2014, Bajo ord 27/10, art 1, punto 2, inc 2, infraccion art 10, 37, 144, 223, 230, 233, 246, 247 del C.E., Infracción Ord 67/2014, art 3, b), d); art 5</t>
  </si>
  <si>
    <t>inspección 31/8/20</t>
  </si>
  <si>
    <t>519506, 523250</t>
  </si>
  <si>
    <t>Bolívar N° 177</t>
  </si>
  <si>
    <t>MARZIALE Gabriel y BIGARZOLI Patricia</t>
  </si>
  <si>
    <t>CHINELLATO Pablo A.</t>
  </si>
  <si>
    <t>Local Comercial</t>
  </si>
  <si>
    <t>relevamiento de obra nueva en terminación, local comercial y chocera cubierta, Bajo ord 27/10, art 1, punto 1, inc 9; Art 1, punto 2, inc 2; Infracción art 5, 27, 37, 152, 202, 223, 233 del C.E. - Sujeto al cumplimiento de los Art 237, 260, 266, 267, 289 del C.E.</t>
  </si>
  <si>
    <t>12 de Abril N° 385</t>
  </si>
  <si>
    <t>FREI Federico Humberto</t>
  </si>
  <si>
    <t>ACUÑA Raúl Enrique - PAIRONE Juan Ramón</t>
  </si>
  <si>
    <t>BOGADO BENI]TEZ Wilfrido</t>
  </si>
  <si>
    <t>local comercial a construir, demolición de la vivienda  unifamiliar existente, Optica</t>
  </si>
  <si>
    <t>demolición concluída, inspección 2/7/20</t>
  </si>
  <si>
    <t>se demuele antigua vivienda y en su lugar se construye nueva (con proyecccion a PA), se releva una vivienda existente y un local con planos antecedentes en la esquina, Bajo Ord 27/10, art 1, punto 2, inc 2, Infracción art 5, 27, 37, 130, 179, 230 del C.E. - ahora SE PRESENTA PARA SU VISACIÓN LA PLANTA ALTA DE LA VIVIENDA</t>
  </si>
  <si>
    <t>en ejecución la PB con planos visados el 19/05/20, ampliación PA no comenzada, inspección 14/9/20</t>
  </si>
  <si>
    <t>M. Moreno N° 831, 833</t>
  </si>
  <si>
    <t>MORELLI Oscar Alberto, ROTUNDO Marta Luján</t>
  </si>
  <si>
    <t>relevamiento de local comercial y vivienda unifamiliar, dos dormitorios, baño, cocina comedor, estar. Acceso semicubierto y lavadero descubierto, Bajo Ord 27/10, art 1, punto 2, inc 1, 2 y 3, Infraccionn art 5, 27, 37, 176, 179, 181, 182, 201, 202, 223, 232, 233 del C.E., infraccion Ord 62/13, art 24 ( FOS), infraccion Ord 37/07, art 1 (ocupacion via publica, techo en vereda, soportes verticales)</t>
  </si>
  <si>
    <t>inspección 08/09/20</t>
  </si>
  <si>
    <t>mail, 523685</t>
  </si>
  <si>
    <t>Amplaición Actividad Turístia Sur</t>
  </si>
  <si>
    <t>Calle Privada (Ibirá Pita) s/N°</t>
  </si>
  <si>
    <t>BERNA Hernán Guillermo</t>
  </si>
  <si>
    <t>MEDAIL Sergio A</t>
  </si>
  <si>
    <t>RUIZ DIAZ Marcelo Javier</t>
  </si>
  <si>
    <t>M.M.O.</t>
  </si>
  <si>
    <t>vivienda unifamiliar a construir</t>
  </si>
  <si>
    <t>lote baldío, inspección 22/9/20</t>
  </si>
  <si>
    <t>Monteagudo N° e/ Avda Urquiza y Moreno</t>
  </si>
  <si>
    <t>FIORILLO Marisa Raquel y MAZZOLI Marco Antonio</t>
  </si>
  <si>
    <t>VALLARINO Guillermo Daniel - MARIN Jorge Fabricio</t>
  </si>
  <si>
    <t>PEREZ Patricio Olmedo</t>
  </si>
  <si>
    <t>vivienda unifamiliar a construir, tres dormitorios, uno con baño propio, baño, estar comedor cocina desayunador, cochera semicubierta</t>
  </si>
  <si>
    <t>obra no comenzada, inspección 20/8/20</t>
  </si>
  <si>
    <t>12 de Abril N° 383</t>
  </si>
  <si>
    <t>JACQUET Ariel H.</t>
  </si>
  <si>
    <t>locsl comercial a construir, demolición de vivienda unifamiliar existente, Farmacia</t>
  </si>
  <si>
    <t>mail, 524016</t>
  </si>
  <si>
    <t>Amplaición Actividad Turístia Norte</t>
  </si>
  <si>
    <t>Calle Artalaz s/N°</t>
  </si>
  <si>
    <t>MARINI Facundo Leonelo y SAGARDOY María Lilian</t>
  </si>
  <si>
    <t>NOLASCO Joaquina</t>
  </si>
  <si>
    <t>Bvard Gaillard esq. Salta N° 346</t>
  </si>
  <si>
    <t>SPIAZZI Carlos Alberto</t>
  </si>
  <si>
    <t>BERTOLDI Fabían A</t>
  </si>
  <si>
    <t>vivienda unifamiliar existente con antecedentes, relevamiento de ampliaciones, cochera a construir, Deberá adecuar el cerramiento de la ochava</t>
  </si>
  <si>
    <t>inspección 02/12/19, no comenzada</t>
  </si>
  <si>
    <t>Bolívar N° 1017 e/ Santa Cruz y Vergniaud</t>
  </si>
  <si>
    <t>ROBIN Jorge Daniel</t>
  </si>
  <si>
    <t>MORARD Manuel A</t>
  </si>
  <si>
    <t>ING</t>
  </si>
  <si>
    <t>vivienda unifamiliar a cosntruir, planta baja, hall acceso, estar, comedor, cocona, baño de servicio, lavadero cerrado, cochera galería semicubierta, planta alta dos domritorios, uno con vestidor y terraza, baño completo</t>
  </si>
  <si>
    <t>lote baldío, inspección 04/09/20</t>
  </si>
  <si>
    <t>M. L. Fernández N° 277</t>
  </si>
  <si>
    <t>SPIAZZI Luís Ricardo</t>
  </si>
  <si>
    <t>SOLIS Carlos Gustavo</t>
  </si>
  <si>
    <t xml:space="preserve">SCHAB Juan </t>
  </si>
  <si>
    <t>Vivienda unifamiliar y Galpón</t>
  </si>
  <si>
    <t>Galpón existente al fonde del lote, con antecedente, vivienda unifamiliar a construir al frente, dos dormitorios, baño completo, cocina comedor estar, cochera descubierta, Bajo Ord 27/10, art 1, punto 1, inc 9, Infracción Art 5, 27, 37 del C.E.</t>
  </si>
  <si>
    <t>obra en etapa de ejecuciónde columnas y mampostería de PB, inspección 18/9/20</t>
  </si>
  <si>
    <t>Chacabuco N° 353</t>
  </si>
  <si>
    <t>DA SILVA Luís Alberto</t>
  </si>
  <si>
    <t>SALDAÑA María Guadalupe, DA SILVA Brian</t>
  </si>
  <si>
    <t>Vivienda unifamiliar + Local comercial + Depósito</t>
  </si>
  <si>
    <t>relevamiento de vivenda unifamiliar con antecedentes, local comercial y gapón depósito, BAJO Ord 27/10, art 1, punto 2, inc 2 y 3, Infracción Art 5, 27, 37, 151, 179, 230 del C. E.; Infracción Ord 62/13, art 12</t>
  </si>
  <si>
    <t>inspección 19/9/20</t>
  </si>
  <si>
    <t>Paso de los Andes N° 170 (antes 162)</t>
  </si>
  <si>
    <t>PIÑEIRO Luisian Emilia</t>
  </si>
  <si>
    <t>Vivienda unifamilliar</t>
  </si>
  <si>
    <t>relevamiento de vivienda unifamiliar, dos dormitorios, cocina, comedor, estar, baño completo, cochera en cuerpo separado cubierta, BAJO ORD 27/10, art 1, punto 2, inc 2 y 3, Infracción art 5, 27, 37, 152, 179, 223, 233 del C.E., infracción Ord 05/11, art 16  (RETIRO y FOS)</t>
  </si>
  <si>
    <t>Inspección, 02/03/20</t>
  </si>
  <si>
    <t>OCTUBRE</t>
  </si>
  <si>
    <t>Moreno Nº 1170, 1172 y 1174</t>
  </si>
  <si>
    <t>MIRET Emanuel</t>
  </si>
  <si>
    <t>BLANC Maximiliano G.</t>
  </si>
  <si>
    <t>PACCOT Javier Humberto</t>
  </si>
  <si>
    <t>BLANC Maximiliano G</t>
  </si>
  <si>
    <t>BOGADO Ery Wilfrido</t>
  </si>
  <si>
    <t>plano conforme a obra, dos viviendas (1 PB y otra PA)  al frente del lote y dos dptos al fondo del lote, BAJO Ord 27/10, art 1,punto 2, inc 9 y punto 2, inc 2, Infracción Art 5, 27, 37, 179, 226 del CE, Infracción Ord 56/07, art 3</t>
  </si>
  <si>
    <t>obra terminada, inspección 27/1/20</t>
  </si>
  <si>
    <t>Nùcleo Urbano Ampliado</t>
  </si>
  <si>
    <t>Salsipuedes s/N°</t>
  </si>
  <si>
    <t>BERON Eduardo Horacio</t>
  </si>
  <si>
    <t>dos unidades de vivienda de alquiler a construir, apareadas, dos dormitorios, baño, cocina comecor estar, cochera descubierta al frente,</t>
  </si>
  <si>
    <t>inspección 10/9/20, lote baldío</t>
  </si>
  <si>
    <t>9 de Mayo N° 253 y Tucumán s/N°</t>
  </si>
  <si>
    <t>BENITEZ Brian Nicolás y GUZARDO Maira Alejandra</t>
  </si>
  <si>
    <t>vivienda unifamiliar a construir, ds dormitorios, baño completo, cochera cubierta, cocina comedor estar, Bajo Ord 27/10, art 1, punto 1, inc 9, Infracción Art 5, 27, 37, del C.E.</t>
  </si>
  <si>
    <t>inspección, 21/08/20, fundaciones y encadenado inf terminado</t>
  </si>
  <si>
    <t>Bvard. Ferrari N° 1173</t>
  </si>
  <si>
    <t>SALAZAR Ernesto</t>
  </si>
  <si>
    <t>relevamiento de vivienda unifamiliar, dos dormitorios, cocina comedor estar, baño, Bajo ord 27/10, art 1, punto 2, inc 2, Infracción Art 5, 27, 37, 147, 176, 179, 181, 182, 202 del C.E.</t>
  </si>
  <si>
    <t>inspección 19/8/20</t>
  </si>
  <si>
    <t>APARICIO Celia Mercedes, ROMEO Domingo Antonio</t>
  </si>
  <si>
    <t>relevamiento de vivienda unifamiliar, dos dormitorios, cocina comedor estar, baño, Bajo ord 27/10, art 1, punto 2, inc 2, Infracción Art 5, 27, 37,236 del C.E.</t>
  </si>
  <si>
    <t>inspección 17/9/20</t>
  </si>
  <si>
    <t>SILVA María Alejandra, DURAND Aníbal José</t>
  </si>
  <si>
    <t>vivienda unifamiliar existente con planos visados, dos unidades apareadas relevadas con un domritorio, cocina comedor y baño todo minimo, BAJO Ord 27/10, art 1, punto 2, inc 2, infracción art 5, 27, 37, 178 del C.E:</t>
  </si>
  <si>
    <t>mail, 523023</t>
  </si>
  <si>
    <t>Vieytes N° 397 AyB, Craviotto N° 661</t>
  </si>
  <si>
    <t>CARVALHO ROSSINI Andrea Itatí</t>
  </si>
  <si>
    <t>GONZALEZ Juan María</t>
  </si>
  <si>
    <t>vivienda unifamiliar exitente en PB relevada en terminación con dos dormitorios, cocina, comedor estar, cochera semicubierta, baño completo, lavadero cubierto, en PA dos monoambientes a construir, con terraza y pasobalcon de acceso semicubierto, cocheras descubiertas, BAJO Ord 27/10, art 1, punto 2, inc 2 y 3, Infraccion Art 5, 27, 37, 179, 226 del CE, Infracción ORd 62/13, art 16, Infracción ORd 53/07, art 3</t>
  </si>
  <si>
    <t>inspección 26/8/20, PB en revoques y escalera terminada, no inicio PA</t>
  </si>
  <si>
    <t>MAIL, 523987</t>
  </si>
  <si>
    <t>Avda. Paysandú N° 1104, Conte Grand Nª 440</t>
  </si>
  <si>
    <t>GUIFFREY Carina María</t>
  </si>
  <si>
    <t>local comercial existente, uno nuevo a acostruir, no aclra destino, Sujeto a la aplicaciòn de los art 260, 262, 266, 267 del C.E.</t>
  </si>
  <si>
    <t>inspecciòn 25/9/20, obra no comenzada</t>
  </si>
  <si>
    <t>523621, 524346</t>
  </si>
  <si>
    <t>Bvard. Ferrari N° 1235 e/ Gomez Miranda y Lantelme</t>
  </si>
  <si>
    <t>BESSON Juan Carlos</t>
  </si>
  <si>
    <t>vivienda unifamiliar a construir, dos dormitorios, uno con vestidor anexo, otro con baño tipo toilete, baño completo, cocina comedor estar, lavadero semicubierto, cochera descubierta - 17/11/20 MARIN y VALLARINO se desvinculan de la DIRECCION DE OBRA</t>
  </si>
  <si>
    <t>en ejecución, fundaciones contrapisos, mampostería, inspección 18/9/20</t>
  </si>
  <si>
    <t>A CONSTRUIR</t>
  </si>
  <si>
    <t>A. Peyret N° 522</t>
  </si>
  <si>
    <t>Prioridad Turística</t>
  </si>
  <si>
    <t>GUERRERO - SANDOVAL</t>
  </si>
  <si>
    <t>LOPEZ Jorge</t>
  </si>
  <si>
    <t>Cocheras</t>
  </si>
  <si>
    <t>cochera a cosntuir, plano antecedente visado 2015 sin firmar por lo que se revocó la visación y se solicitó nueva presentación, se Visa ahora como obra nueva y relevamiento, BAJO Ord 27/10, art 1, punto 1, inc 9, Art 1, Punto 2, inc 1, 2 y 3, Infracción Ord 62/13, art 15 (FOS y retiro), Infracción art 5, 27, 37, 129, 136, 146, 149, 150, 151, 179, 187 del C.E., Sujeto a los art 222, 230, 232, 237, 260, 266, 267 del CE - Techo en vereda</t>
  </si>
  <si>
    <t>inspección 11/9/20, terminado</t>
  </si>
  <si>
    <t>12 de Abril N.º 262</t>
  </si>
  <si>
    <t>ALVAREZ GIRARD María Josefina</t>
  </si>
  <si>
    <t>Bertoldi Fabián A.</t>
  </si>
  <si>
    <t>relevamiento de local comercial, BAJO Ord 27/10, art 1, punto 2, inc 2</t>
  </si>
  <si>
    <t>inspección  (cuarentena)</t>
  </si>
  <si>
    <t>MAIL, 524210</t>
  </si>
  <si>
    <t>Calle Privada "Ibirá Pitá"s/N°, Los Bretes</t>
  </si>
  <si>
    <t>FORCLAZ Juan Cristian</t>
  </si>
  <si>
    <t>GOMEZ WICKY Diamela y LEONARDI Jerónimo</t>
  </si>
  <si>
    <t>BOGADO BENITEZ, Eric Wilfrido</t>
  </si>
  <si>
    <t>inspección 28/9/20, lote baldío</t>
  </si>
  <si>
    <t>Karay Yamandú s/N° , y Calle Pública</t>
  </si>
  <si>
    <t>TOTORICA Martín</t>
  </si>
  <si>
    <t>TOTORICA Jorge</t>
  </si>
  <si>
    <t>AGUARA CONSTRUCTORA SA</t>
  </si>
  <si>
    <t>vivienda unifamiliar a construir totalmente en PB</t>
  </si>
  <si>
    <t>lote baldío, Inspección 10/09/20</t>
  </si>
  <si>
    <t>MAIL, 524160</t>
  </si>
  <si>
    <t>Alberdi N° 934 / 936 e/ Pellenc y Pte. Illía</t>
  </si>
  <si>
    <t>BORZOMI Daiana Soledad</t>
  </si>
  <si>
    <t>MEDAIL Sergio Enrique</t>
  </si>
  <si>
    <t>dos duplex a construir, dos dormitorios, baño completo en PA, cocina comedor estar y baño de servicio en Pb c/u, cocheras descubiertas al frente</t>
  </si>
  <si>
    <t>inspección 9/10/20, lote baldío</t>
  </si>
  <si>
    <t>mail, 524387</t>
  </si>
  <si>
    <t>Avda. Paysandú N° 539</t>
  </si>
  <si>
    <t>BROSSARD Stella Maris</t>
  </si>
  <si>
    <t>Vviienda multifamiliar + Local comercial</t>
  </si>
  <si>
    <t>relevamiento de ampliaciones sin permiso, vivienda unifamiliar pequeña existente, se amplió en PB quedando una vivi de dos dormitorios, estar, cocina, comedor, cochera cubierta, baño completo, depósito, lavadero semicubierto y patio al fondo, se ejecutó local comercial con baño y depósito al frente, y se construyó viviend aunifamiliar de dos dormitorios, cocina comedor, baño completo y terraza al frente en PA, BAJO Ord 27/10, art 1, Punto 2, inc 2 y 3, Infracción Ord 62/13, art 12 (retiro, FOS), infracción art 5, 27, 37, 152, 166, 179, 223, 232, 233 del C.E.</t>
  </si>
  <si>
    <t>inspección 13/10/20, planta alta sin terminar, etapa de obra gruesa, parcialemente cerrada con aberturas</t>
  </si>
  <si>
    <t>Ampliación de Actividad Turística Norte</t>
  </si>
  <si>
    <t>PEREZ CARDOSO Gabriela Lorena</t>
  </si>
  <si>
    <t>NEGREIRA Gustavo Daniel0</t>
  </si>
  <si>
    <t xml:space="preserve">vivinda a consruir, tres dormitorios uno en suite con baño completo compartimentado pero sin vestidor, estar comedor cocina, baño completo compartimentado, cochera en pèrgola, depòsito cubieto exterior, galerìa quincho </t>
  </si>
  <si>
    <t>inspecciòn 07/10/20, lote baldìo</t>
  </si>
  <si>
    <t>523496, 524616</t>
  </si>
  <si>
    <t>GIOVENALE Emanuel Maximiliano</t>
  </si>
  <si>
    <t>MALAGRIDA Gastón</t>
  </si>
  <si>
    <t>vivienda unifamiliar a cosntruir, desarrollada en PB, con tres dormitorios, uno en suite con vestidor, baño principal completo sectorizado, hall acceso interior, semicubireto acceso, estar, comedor cocina, lavadero , galería semicubierta y cochera semicubierta para dos vehículos</t>
  </si>
  <si>
    <t>inspección 10/09/20, lote baldío</t>
  </si>
  <si>
    <t>MAIL, 524146, 524898</t>
  </si>
  <si>
    <t>Rocamora N° 943</t>
  </si>
  <si>
    <t>TOURNOUR María de las Nieves</t>
  </si>
  <si>
    <t>relevamiento de ampliación en PA realizada en vivienda unifamiliar existente y con planos antecedentes que consta de un domitorio, baño, cocina, estar comedor en PB y espacio para cochera semicubierta, se releva dos dormitorios en PA y un estudio escritorio, se releva en PB una unidad de vivienda mínima con un dormitorio, baño, cocina comedor y un espacio semicubierto, BAJO Ord 27/10, art 1, punto 2, inc 2 y 3, Infracción Ord 62/13, art 24 (FOS), Infraccion Ord 53/07 (cochera), Infracción art. 5, 27, 37, 181, 182, 227 DEL C.E.</t>
  </si>
  <si>
    <t>inspección 13/10/20</t>
  </si>
  <si>
    <t>523620, 524516</t>
  </si>
  <si>
    <t>Rocamora 1182 N° e/ Piamonte y                           Penón</t>
  </si>
  <si>
    <t>GULERMONE Eliana Soledad, CORREA DROZ Fabián Ismael</t>
  </si>
  <si>
    <t>inspecciòn 18/09/20, lote baldìo</t>
  </si>
  <si>
    <t>GOMEZ Iris Rocío (RELEV)</t>
  </si>
  <si>
    <t xml:space="preserve">PLANO CONFORME, vivienda unifamiliar a construir, adosada a consultorioas, salón de rehabilitación, con sanitario accesible, tres consultorios al frente con baño de servicio común, sala de espera y patio interno, no posee cocheras. - PLANO CONFORME A OBRA, realizó divisiones interiores en el Salón destnado a 4 Boxes, se ejecutó un kitchinet, se adjunta presupuesto de reformas </t>
  </si>
  <si>
    <t>obra terminada, inspección 19/10/20</t>
  </si>
  <si>
    <t>MAIL, 524521</t>
  </si>
  <si>
    <t>12 de Abril Nº 264, 266</t>
  </si>
  <si>
    <t>BONNIN Guillermo Vìctor y GABIOUD Vilma Elisabeth</t>
  </si>
  <si>
    <t>relevamiento de dos locales comerciales, salòn y depòsito con sanitario mìnimo cada uno de los locales, BAJO ORD 27/10, art 1, punto 2, inc 2 , Infracción art 5, 27, 37, 176, 179, 187, 233  DEL C.E.</t>
  </si>
  <si>
    <t>mail, 524842</t>
  </si>
  <si>
    <t>PAMPARANA Mauro</t>
  </si>
  <si>
    <t xml:space="preserve">vivienda unifamiliar a construir, desarrollada en PB, tres dormitorios, uno en suite con vestidor, baño completo compartimentado, lavadero cubierto, patio de servicio, baño de servicio compartimentado, hall de ingreso cubierto, cocina con isla, comedor estar, cochera para dos vehículos descubierta </t>
  </si>
  <si>
    <t>inspección 21/10/20, lote baldío</t>
  </si>
  <si>
    <t>MAIL, 524697</t>
  </si>
  <si>
    <t>Avda Urquiza N° 1042</t>
  </si>
  <si>
    <t>BENITEZ Rita Ana Carla</t>
  </si>
  <si>
    <t>ARGUET Daniela A.</t>
  </si>
  <si>
    <t>RAMOS Omar Ricardo</t>
  </si>
  <si>
    <t>ampliación, relevamiento de vivienda existente, se amplía la cocina, se demuele parte de un semicubierto al frente (11,98m2), se construye un nuevo dormitorio en PA, queda entonces una vivienda de tres dormitorios, un baño completo, cocina comedor estar, baño completo en PB, baño de servicio, quincho cochera cerrado, parrilla y lavadero semicubiertos, cochera semicubierta, BAJO Ord 27/10, art 1, punto 2, inc 2, Infracción art 5, 27, 37, 149, 179, 232, 247 del C.E.</t>
  </si>
  <si>
    <t>inspección 16/10/20, ampliación no comenzada</t>
  </si>
  <si>
    <t>MAIL, 523687</t>
  </si>
  <si>
    <t>Andrade N° 355</t>
  </si>
  <si>
    <t>RIOS Sandra Esther</t>
  </si>
  <si>
    <t>quincho a construir en baldío lendero a la vivienda</t>
  </si>
  <si>
    <t>inspección 11/09/20, aún no iniciada</t>
  </si>
  <si>
    <t>MAIL, 524748</t>
  </si>
  <si>
    <t>Paso de los Andes N° 871</t>
  </si>
  <si>
    <t>HASSELSTROM Rossana Elizabeth y PIROVANI Nestor Javier</t>
  </si>
  <si>
    <t>ORCELLET Carlos</t>
  </si>
  <si>
    <t>VIVIENDAS 2002</t>
  </si>
  <si>
    <t>vivienda 2002 a ejecutar,  tres dormitorios, uno con vestidor, baño completo, estar cocina comedor,  cochera descubierta, BAJO ORD 27/10, art 1, punto 1, inc 9, Infracción art 5, 27, 37 del C.E.</t>
  </si>
  <si>
    <t>inspección 16/10/20, en etapa de platea y contrapisos</t>
  </si>
  <si>
    <t>mail, 524804</t>
  </si>
  <si>
    <t>Arturo Illía N° 78 e/ Bolívar y San Martín</t>
  </si>
  <si>
    <t>DOMINGUEZ Ana María</t>
  </si>
  <si>
    <t>vivienda 2002 a ejecutar,  dos dormitorios, baño completo, estar cocina comedor, lavadero cubierto, cochera descubierta, oficina con baño</t>
  </si>
  <si>
    <t>inspección 19/10/20, lote baldío</t>
  </si>
  <si>
    <t>mail, 524521</t>
  </si>
  <si>
    <t>12 de Abril N° 264, 266</t>
  </si>
  <si>
    <t>BONNIN Guillermo V y GABIOUD Vilma E</t>
  </si>
  <si>
    <t>GRANE Carolina - DANTAS Gabriel E.</t>
  </si>
  <si>
    <t>relevamiento de dos locales comerciales, BAJO Ord 27/10, art 1, punto 2, inc 2; Infracción art 5, 27, 37, 175, 179, 187, 233 del C.E.</t>
  </si>
  <si>
    <t>inspección 15/10/20</t>
  </si>
  <si>
    <t>mail, 523894</t>
  </si>
  <si>
    <t>San Martín N° 1302</t>
  </si>
  <si>
    <t>DEYMONNAZ Carlos y DEYMONNAZ Oscar</t>
  </si>
  <si>
    <t>BASTO Edwin</t>
  </si>
  <si>
    <t>local comercal a construir, galpón gran superficie, pb y entrepiso en el fondo</t>
  </si>
  <si>
    <t>inspección 22/09/20</t>
  </si>
  <si>
    <t xml:space="preserve">Bvard. Gaillard N° </t>
  </si>
  <si>
    <t>LUCIANI Ana María</t>
  </si>
  <si>
    <t>MARONE Leandro E</t>
  </si>
  <si>
    <t>ZIEGLER Carlos D</t>
  </si>
  <si>
    <t>vivienda multifamiliar, dos "monoambientes" a construir en PB y una vivienda de un dormitorio (o dos) en PA, cochera cerrada, balcón al fondo, estar comedor cocina, dormitorio, baño</t>
  </si>
  <si>
    <t>en etapa de obra gruesa, mampostería hasta alturqa de VE Sup de PB, Inspección 9/9/20</t>
  </si>
  <si>
    <t>mail, 521882, 522634, MAIL, 523150, MAIL,</t>
  </si>
  <si>
    <t>Bolívar N° 623</t>
  </si>
  <si>
    <t>BORDET, Guillermo</t>
  </si>
  <si>
    <t>LOPEZ Jorge Daniel</t>
  </si>
  <si>
    <t>Consultorios médicos</t>
  </si>
  <si>
    <t>demolición sin permiso de vivienda unifamiliar existente, titne ACTA, consultorios médicos a cosntruir, edificio de PB y PA, un total de 7 consultorios, con ascensor, baño para discapacitados, etc, una sala de rayos, quirófano, secretaría</t>
  </si>
  <si>
    <t>inspección 20/07/20 , demolición ejecutada,</t>
  </si>
  <si>
    <t>Mitre N° 972</t>
  </si>
  <si>
    <t>CORONEL Héctor Miguel</t>
  </si>
  <si>
    <t>MORARD Manuel Arturo</t>
  </si>
  <si>
    <t>MORA Carlos María</t>
  </si>
  <si>
    <t>ING.</t>
  </si>
  <si>
    <t>vivienda unifamiliar a construir, BAJO Ord 27/10, art 1,, punto 1, inc 9, Infracción art 5, 27, 37 del C.E.</t>
  </si>
  <si>
    <t>inspécción 21/10/20, obra techada, sin revoques ext</t>
  </si>
  <si>
    <t>NOVIEMBRE</t>
  </si>
  <si>
    <t>Juan Carlos POZZI esq El Mojón</t>
  </si>
  <si>
    <t>VADINO Danilo Ariel y PONDE DE LEON Mariel</t>
  </si>
  <si>
    <t>inspección 01/10/20, lote baldío</t>
  </si>
  <si>
    <t>mail, 522899, 516691</t>
  </si>
  <si>
    <t>Avda Urquiza N° 379</t>
  </si>
  <si>
    <t>DEYMONNAZ Juan Pablo y otros</t>
  </si>
  <si>
    <t>PERNO Ruben Alberto</t>
  </si>
  <si>
    <t>Vivienda multifamiliar + Local comercial</t>
  </si>
  <si>
    <t>local comercial en PB a concstruir y tres deptos en PB, nueva presentación tras la REVOCACION del visado del plano anterior visado en …. 2019, no hiso caso a la paralización, se revocó y paralizo la obra previo al inicio de la demolición, pero nunca se efectivizó la paralización, BAJO Ord 27/10, art 1, punt 1, inc 9, infracción art 5, 27, 37 del C. E. - (Paga sólo parte administrativa)</t>
  </si>
  <si>
    <t>inspección 12/08/20, obra avanzada, fundaciones terminadas, contrapiso, armado de columnas de PB</t>
  </si>
  <si>
    <t>519606, 525067</t>
  </si>
  <si>
    <t>Rocamora y Primera Junta s/N°</t>
  </si>
  <si>
    <t>JACQUET Rubén Gregorio</t>
  </si>
  <si>
    <t>SOTO Lorena Paola</t>
  </si>
  <si>
    <t>vivienda unifamiliar a construir, en PB, un dormitorio, baño, cocina comedor</t>
  </si>
  <si>
    <t>obra no comenzada, inspección 19/20/20</t>
  </si>
  <si>
    <t>MAIL, 521676</t>
  </si>
  <si>
    <t>Reibel N° 172</t>
  </si>
  <si>
    <t>DELAOIE Cristian José</t>
  </si>
  <si>
    <t>vivienda unifamiliar existente, relevamiento de ampliación, a construir ampliación de la vivienda en lote anexado, zanjón encausado por lote "pasante" de manzana al fondo con salidas a calles Laprida y Lugones, BAJO Ord 27/10, art 1, punto 2, inc 2 y 3, Infracción art 1, punto 1, inc 9, Infracción art 5, 27, 37, 223, 233 del CE, Infracción Ord 62/13, art 16</t>
  </si>
  <si>
    <t>inspección 16/07/20, en etapa de fundaciones</t>
  </si>
  <si>
    <t>Bvard Ferrari N° 768 - 772</t>
  </si>
  <si>
    <t>MICHELET Guillermo Leonel</t>
  </si>
  <si>
    <t>relevamiento de local comercial con baño y depósito, y vivienda unifamiliar de dos dormitorios, baño, cocina comedor estar y lavadero cubierto, sin cochera. BAJO Ord 27/10, art 1, punto 2 inc 2, infracción art 5, 27, 37, 144, 147, 151, 179, 187, 223, 233, del C.E.</t>
  </si>
  <si>
    <t>inspección 21/10/20</t>
  </si>
  <si>
    <t>mail, 524755</t>
  </si>
  <si>
    <t>25/9/20</t>
  </si>
  <si>
    <t>DAMI Claudio Andrès</t>
  </si>
  <si>
    <t>SERRANO Marìa Laura - VIOLLAZ Carolina M. E.</t>
  </si>
  <si>
    <t>vivienda unifamiliar a construir, en PB, un dormitorio, baño completo, estar comedor, cocina, estudio sem,cubierto de acceso, en alta, dos dormitorios, baño completo</t>
  </si>
  <si>
    <t>inspección 30/10/20, lote baldío</t>
  </si>
  <si>
    <t>Cantón de Valais N° 37 esq Avda Urquiza N° 951</t>
  </si>
  <si>
    <t>PITER Mauro Gonzalo</t>
  </si>
  <si>
    <t>MAQUIAVELO Raul Esteban</t>
  </si>
  <si>
    <t>local comercial a construir a en PB, vivienda unifamiliar en PA, dos dormitorios, baño completo, terraza con parrilla, lavadero cubierto, baño de servicio, cocina, comedor estar, pequeños balcones, cochera descubierta</t>
  </si>
  <si>
    <t>inspección 2/10/20, lote baldío</t>
  </si>
  <si>
    <t>mail, 525143</t>
  </si>
  <si>
    <t>Ampliación Actividad Turística Sur</t>
  </si>
  <si>
    <t>Ibirá Pitá s/N° - Los Bretes</t>
  </si>
  <si>
    <t>GUY Mariano Gemán Alfredo</t>
  </si>
  <si>
    <t>BORDET Germán</t>
  </si>
  <si>
    <t>vivienda unifamiliar existente con antecedentes, piscina a construir</t>
  </si>
  <si>
    <t>inspección 03/11/20, trabajos no iniciados</t>
  </si>
  <si>
    <t>Calle Favaloro N° 410</t>
  </si>
  <si>
    <t>REY Pablo Roberto</t>
  </si>
  <si>
    <t>ARQ</t>
  </si>
  <si>
    <t>vivienda unifamiliar a construir en PB</t>
  </si>
  <si>
    <t>lote baldío</t>
  </si>
  <si>
    <t>Rufino Mir N° 265</t>
  </si>
  <si>
    <t>CAIRE Cristobal Rolando</t>
  </si>
  <si>
    <t>plano foncorme y relevamiento de ampliación realizada en local comercial( se desconoce uso), BAJO Ord 27/10, art 1, punto 2, inc 2, infraccion art 5, 27, 37, 144, 147, 151, 179, 187, 223, 233  del C.E., Deberá asegurar el escurrimiento del terreno conforme art 233 del CE</t>
  </si>
  <si>
    <t>inspección 26/10/20</t>
  </si>
  <si>
    <t>Ampliaciòn actividad Turìstica Sur</t>
  </si>
  <si>
    <t>Avda. Los Lapachos s/Nº - Los Bretes</t>
  </si>
  <si>
    <t>PELLANDINO Sebastiàn y PRINO Natalia Soledad</t>
  </si>
  <si>
    <t>vivienda unifamiliar existente con antecedente, a cosntruir piscina</t>
  </si>
  <si>
    <t>inspecciòn 06/11/20, obra no comenzada</t>
  </si>
  <si>
    <t>506780, mail, 522638, 523431, 524630</t>
  </si>
  <si>
    <t>Laprida N° 335</t>
  </si>
  <si>
    <t>FIDEICOMISO QUIROS</t>
  </si>
  <si>
    <t>edificio de departamentos, a construir 19 unidades, plano antecedente con VISADO REVOCADO, BAJO ORD 27/10, art 1, punto 2, inc 2 , Infracción Ord 56/07, art 3,1,a, Infracción Art 37, 178, 179, 191, 202 del C.E.</t>
  </si>
  <si>
    <t>en etapa de obra gruesa, terminación de estructura en terraza y por llenar losa de TR</t>
  </si>
  <si>
    <t>MAIL, 523061, 525329</t>
  </si>
  <si>
    <t>Brovatti José s/N°</t>
  </si>
  <si>
    <t>MOREL María Andrea</t>
  </si>
  <si>
    <t>GERMANIER  (varios)</t>
  </si>
  <si>
    <t>Vviienda unifamiliar</t>
  </si>
  <si>
    <t>vivienda a construir, en PB estar comedor, cocina desayunador, baño completo, galería semicubierta cochera y parrilla quincho, en PA dormitorio, baño completo, escritorio o segundo dormitorio, balcón</t>
  </si>
  <si>
    <t>inspección 18/11/20, terreno baldío</t>
  </si>
  <si>
    <t>523838, 524970</t>
  </si>
  <si>
    <t>Bvard. Gaillard N° 653 esq Primera Junta</t>
  </si>
  <si>
    <t>CARABALLO Alberto Ismael</t>
  </si>
  <si>
    <t>relevamiento de 5 unidades de vivienda y local comericial, BAJO ORD 27/10, art 1, punto 2, inc 2 y 3, Infraccion Ord 6213, art 26, Infraccion art 5, 27. 37, 130, 144, 146, 151, 176, 178, 179, 181, 182, 202, 226, 230, 232, 233, 247, 248 del C.E.</t>
  </si>
  <si>
    <t>inspección 18/9/20</t>
  </si>
  <si>
    <t>Bvard. Sanguinetti N.º 420</t>
  </si>
  <si>
    <t>SIMIAN Gabriela María</t>
  </si>
  <si>
    <t>Vivienda Multifamiliar + Local comercial</t>
  </si>
  <si>
    <t>dos locales comerciales existente al frente, un departamento de un dormitorio pegado hacia atrás, galería semicubierta, en el fondo, un quincho ahora convertido en Estar comedor cocina del depto del fondo, se proyectan dos dormitorios y un baño en PA al fondo, VER ALTURA LIMITE FONDO, BAJO ORd 27/10, art 1, punto 2, inc 2, infracción art 5, 27, 37, 178, 179, 182, 226 del C.-E.</t>
  </si>
  <si>
    <t>Inspección 10/02/20, ampliación no comenzada</t>
  </si>
  <si>
    <t>mail, 525257</t>
  </si>
  <si>
    <t>Nucleo Urbano ampliado</t>
  </si>
  <si>
    <t>Calle Pùblica s/Nº</t>
  </si>
  <si>
    <t>LEDESMA Silvina Raquel</t>
  </si>
  <si>
    <t>vivienda unifamiliar a construir, un dormitorio en suite, con baño u vestidor, cocina desayunador, comedor estar, baño de servicio, cochera galeria y quincho semicubierto</t>
  </si>
  <si>
    <t>inspección 17/11/20, en consolidación de medianera</t>
  </si>
  <si>
    <t>Ruta Nac N° 135, km 11</t>
  </si>
  <si>
    <t>JACQUET Gabriela Marisol</t>
  </si>
  <si>
    <t>MARIN Jorge Fabricio</t>
  </si>
  <si>
    <t>relevamiento de vivienda unifamiliar con local comercial adosado (sin baño), dos dormitorios, baño completo, cocina comedor estar, BAJO ORD 27/10, art 1, ´punto 2, inc 2 y 3, infracción art 5, 27, 37, 152, 176, 179, 201, 223, 230, 236 Del C.E., infracción Ord 62/13, art 30, Infraccion Ord 05/11(RETIRO)</t>
  </si>
  <si>
    <t>inspección 02/03/20</t>
  </si>
  <si>
    <t>Paso de los Andes Nº esq. Piamonte</t>
  </si>
  <si>
    <t>BOUVET Neri Josè</t>
  </si>
  <si>
    <t>plano conforme a Obra, de tres locales comerciales, relevamiento de ampliaciòn realizada en el local de la esquina, BAJO ORD 27/10, art 1, punto 2, inc 2, y 3, Infraccion Ord 62/13, art (FOS), Infraccio art 10, 27, 37, 141, 146, 149, 179, 187, 264 del CE</t>
  </si>
  <si>
    <t>inspecciòn 30/10/20, obra terminada</t>
  </si>
  <si>
    <t>MAIL, 524294, MAIL,</t>
  </si>
  <si>
    <t>Avda. Urquiza N° 668</t>
  </si>
  <si>
    <t>JAIMOVICH Leopoldo Salomón</t>
  </si>
  <si>
    <t>SALDAÑA María Guadalupe</t>
  </si>
  <si>
    <t>remodelación, vivienda existente a demoler, local comerical a construir</t>
  </si>
  <si>
    <t>inspección 07/10/20trabajos no iniciados</t>
  </si>
  <si>
    <t>DICIEMBRE</t>
  </si>
  <si>
    <t>mail, 524612</t>
  </si>
  <si>
    <t>Lavalle N.º 35</t>
  </si>
  <si>
    <t>RAVIOL de FERREYRA Martha Ethel y otros</t>
  </si>
  <si>
    <t>PENNON Luciano Daniel</t>
  </si>
  <si>
    <t>CAROS´S RAMOS Construcciones</t>
  </si>
  <si>
    <t>Apart hotel</t>
  </si>
  <si>
    <t>antigua casona a demoler, conserva sólo fachada, apart hotel a cosntruir, con subsuelo, rampa automatizada para acceso vehicular y … pisos de altura - PLANO 140/19 (6/11/19) con Visado Revocado, esta es la nueva presentación</t>
  </si>
  <si>
    <t>MAIL, 524643</t>
  </si>
  <si>
    <t>José Brovatti s/N°</t>
  </si>
  <si>
    <t>NOLASCO Mariana Alejandra</t>
  </si>
  <si>
    <t>SAINTE MARIE RENZI Alexander Lionel</t>
  </si>
  <si>
    <t>vivienda unifamiliar a construir, dos dormitorios, uno en suite con vestidor, baño compartimentado, baño de servicio, despensa, cocina comedor diario comedor principal y estar, hall de acceso cubierto, galería cochera semicubierta, galpón depósito existente relevado</t>
  </si>
  <si>
    <t>inspección 15/10/20, obra no comenzada</t>
  </si>
  <si>
    <t>Combatientes de Malvinas N° 982</t>
  </si>
  <si>
    <t>NUÑEZ Mariela Margarita</t>
  </si>
  <si>
    <t>vivienda unifamiliar existente a terminar en PB, dos dormitorios, baño, cocina comedor estar, en planta alta dos depstos a construir, tiene cerco de frente construido fuera del lote (en vereda) no tiene muro medianero y la escalera esta "apoyada" en la línea del eje, etc, Bajo Ord 27/10, art 1, punto 2, inc 2, Infraccion art 5, 27, 37, 144, 146, 179, 181, 182, 189, 202, 235 del C.E., Infracción Ord 53/07, Infraccion Ord 56/07</t>
  </si>
  <si>
    <t>inspección 02/10/20, actualmente no se encuentran trabajando, en PA altura encadenado mampostería</t>
  </si>
  <si>
    <t>524719, mail</t>
  </si>
  <si>
    <t>51777 Y 51776</t>
  </si>
  <si>
    <t>33042 Y 33043</t>
  </si>
  <si>
    <t>Ampliación Actividad Turística Norte</t>
  </si>
  <si>
    <t>Juan Manuel de Rosas s/Nº</t>
  </si>
  <si>
    <t>LATORRE Alejandro , VAZQUEZ Fernando Daniel, GOROSITO Jorge Daniel</t>
  </si>
  <si>
    <t>GUIFFRE Ana Delia</t>
  </si>
  <si>
    <t>CHAIRES Sebastián</t>
  </si>
  <si>
    <t>Chanca fútbol 5</t>
  </si>
  <si>
    <t>canchas de futbol 5 a construir, dos lotes de la misma sup, LOS BAÑOS SE CONSTRUIRAN EN EL LOTE CON Partida Municipal Nº 33042</t>
  </si>
  <si>
    <t>inspección 16/10/20, lote baldío</t>
  </si>
  <si>
    <t>mail, 525963</t>
  </si>
  <si>
    <t>Blacarce N° 576</t>
  </si>
  <si>
    <t>SAINTE MARIE Alexander</t>
  </si>
  <si>
    <t>RUIZ DIAZ J Marcelo</t>
  </si>
  <si>
    <t>dos unidades de vivienda apareadas a construir (probablemente de alquiler turístico), con dos dormitorios, baño completo, living comedor cocina, semicubierto con lavadero y parrilla, cocheras semicubiertas al frente</t>
  </si>
  <si>
    <t>inspección 3/12/20, lote baldío</t>
  </si>
  <si>
    <t>Calle Pública "El Mojón" s/N°, (Loteo San Juan 1)</t>
  </si>
  <si>
    <t>JOANNAS Danilo y RAVIOL M José</t>
  </si>
  <si>
    <t>MARTIN Sergio</t>
  </si>
  <si>
    <t>Vivienda unifamiliar a construir, tres dormitorios, uno con vestidor, uno en suite con baño compartimentado y vestidor, baño completo, lavadero, cocina desayunador, comedor estar, galería semicubierta, cochera descubierta, piscina</t>
  </si>
  <si>
    <t>inspección 17/11/20, lote baldío</t>
  </si>
  <si>
    <t>526363, 526363</t>
  </si>
  <si>
    <t>GARCIA Nancy Gloria</t>
  </si>
  <si>
    <t>NOLASCO Joaquina María José</t>
  </si>
  <si>
    <t>vivienda unifamiloiar a construir, dos dormitorios, uno con vestidor, baño completo, lavadero, cocina, estar comedor, galería y cochera semicubiertas</t>
  </si>
  <si>
    <t>inspección 26/10/20, lote baldío</t>
  </si>
  <si>
    <t>Gouchón Nº 652 esq. Primera Junta</t>
  </si>
  <si>
    <t>MORALES Norma Ines y MORALES Luis Osvaldo</t>
  </si>
  <si>
    <t>relevamiento de ampliaciòn en vivienda unifamiliar con planos antecedentes visados, Plan Eva Peròn, dos dormitorios, cocina comedor, estar, cochera semicubierta, lavadero, relevan depòsito, BAJO Ord 27/10, art 1, punto 2, inc 2, Infraccion Art 5, 27, 37, 179, 202, 223, 233 del C.E.</t>
  </si>
  <si>
    <t>inspecciòn 9/12/20</t>
  </si>
  <si>
    <t>524490, 526445</t>
  </si>
  <si>
    <t>Avda Paysandú N° 1123</t>
  </si>
  <si>
    <t>CATELOTTI Ricardo Daniel</t>
  </si>
  <si>
    <t>relevamiento de ampliación de vivienda unifamiliar existente con antecedente, dos dormnitorios en PB, baño completo con bañera, baño completo con ducha, cocina comedor estar, en PA escritorio y depósito accesibles ambos desde el dormitorio en PB, agrega en PB cochera cubierta, piscina, tiene anterior un baño y un depósito en PB ya declarado, BAJO ORD 27/10, art 1, punto 2, inc 1, 2 y 3, Infracción art 5, 27, 37, 176, 227, 236, 246, 247, 248, del CE, Infraccion ORd 62/13, art 26</t>
  </si>
  <si>
    <t>inspección 09/10/20, obra finalizada</t>
  </si>
  <si>
    <t>MAIL, 526362</t>
  </si>
  <si>
    <t>Sub Urbana - AREA 2</t>
  </si>
  <si>
    <t>Juana Azurduy s/N°</t>
  </si>
  <si>
    <t>TRIPOLI Alberto</t>
  </si>
  <si>
    <t>relevamiento de ampliación en grupo de dos viviendas apareadas con antecedente visado, cada una con dos dormitorios en PA, baño, cocina comedor estar en PB y galería semicubierta agregada ahora para declarar, piscina tipo tanque australiano de 31,66m2</t>
  </si>
  <si>
    <t>inspección 15/12/20</t>
  </si>
  <si>
    <t>mail, 526161</t>
  </si>
  <si>
    <t>GONZALEZ Abel María</t>
  </si>
  <si>
    <t>vivienda unifamiliar a construir, dos dormitorios, uno en suite con vestidor y baño completo, en PA estudio y estar intimo, en PB Estar comedor, cocina, baño completo con ducha, cochera semicubierta</t>
  </si>
  <si>
    <t xml:space="preserve">inspección 14/12/20, </t>
  </si>
  <si>
    <t>Gouchón N° e/ Salta y Primera Junta</t>
  </si>
  <si>
    <t>CAPUMA ARCE Juan Carlos</t>
  </si>
  <si>
    <t>vivienda unifamiliar a cosntruir, cuatro dormitorios, uno en suite con baño completo y vestidor, baños completo en PA, hall intimo en PA, balcón terraza, balcón, doble altura en estar, en PB un dormitorio más, baño completo, cocina comedor diario lavadero cubierto, comedor, estar, galeria semicubierta quincho parrilla, cochera semicubierta para dos autos</t>
  </si>
  <si>
    <t>inspección 18/11/20, lote baldío</t>
  </si>
  <si>
    <t>mail, 526525</t>
  </si>
  <si>
    <t xml:space="preserve"> EO11322</t>
  </si>
  <si>
    <t>Cementerio</t>
  </si>
  <si>
    <t>NATTERO, Mauricio Antonio</t>
  </si>
  <si>
    <t>SALDAÑA, Guadalupe</t>
  </si>
  <si>
    <t>Panteón Familiar</t>
  </si>
  <si>
    <t>panteón familiar a construir</t>
  </si>
  <si>
    <t>mail, 524208</t>
  </si>
  <si>
    <t>Avda. Paysandú N° 1118 Y 1120</t>
  </si>
  <si>
    <t>SANTA CRUZ Mario Oscar (CAMBIO CONSTRUCTOR) bonvin Runèn Eloy (Actual)</t>
  </si>
  <si>
    <t>local comercial a construir</t>
  </si>
  <si>
    <t>INSPECCIÓN 02/10/20, lote baldío</t>
  </si>
  <si>
    <t>CHEVALLIET Carlos Alberto</t>
  </si>
  <si>
    <t>Galpón, Depósito, Taller</t>
  </si>
  <si>
    <t>relevamiento local comercial, Taller depósito, BAJO ORD 27/10, art 1, punto 2, inc 2, Infracción art 5, 27, 37, 141, 144, 146, 151, 179, 202, 233 del C.E.</t>
  </si>
  <si>
    <t>525177, 524862, 526236</t>
  </si>
  <si>
    <t>Eduardo Torrieri Nº (Ex 24),  Alberdi N° 1334</t>
  </si>
  <si>
    <t>BOUVET Vanesa Victoria</t>
  </si>
  <si>
    <t>ROSSIER Vanesa Victoria</t>
  </si>
  <si>
    <t>DEGENEVE, Ruben Dario</t>
  </si>
  <si>
    <t>relevamiento y terminación de local comercial, de uno pasan a ser dos locales comerciales, hay modificaciones en superficie y distribución. Tiene planos antecedentes. Bajo Ord 27/10, art 1, punto 2, inc 1 y 2, Infracción Ord 62/13, art (FOS), Infraccion art 179, 200 del C.E.</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</si>
  <si>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</si>
  <si>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</si>
  <si>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</si>
  <si>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</si>
  <si>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</si>
  <si>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</si>
  <si>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</si>
  <si>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</si>
  <si>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</si>
  <si>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</si>
  <si>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</si>
  <si>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</si>
  <si>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VISADO</t>
  </si>
  <si>
    <t>FINAL OBRA</t>
  </si>
  <si>
    <t>USO</t>
  </si>
  <si>
    <t>TITULO PROFESIONAL</t>
  </si>
  <si>
    <t>MES</t>
  </si>
</sst>
</file>

<file path=xl/styles.xml><?xml version="1.0" encoding="utf-8"?>
<styleSheet xmlns="http://schemas.openxmlformats.org/spreadsheetml/2006/main">
  <numFmts count="4">
    <numFmt numFmtId="164" formatCode="[$-2C0A]dd/mm/yyyy"/>
    <numFmt numFmtId="168" formatCode="[$€-2C0A]#,##0.00\ ;[$€-2C0A]\-#,##0.00\ ;[$€-2C0A]\-#\ "/>
    <numFmt numFmtId="169" formatCode="&quot;$&quot;#,##0.00"/>
    <numFmt numFmtId="171" formatCode="dd/mm/yy;@"/>
  </numFmts>
  <fonts count="41">
    <font>
      <sz val="11"/>
      <color rgb="FF000000"/>
      <name val="Arial1"/>
      <charset val="1"/>
    </font>
    <font>
      <sz val="11"/>
      <color theme="1"/>
      <name val="Calibri"/>
      <family val="2"/>
      <scheme val="minor"/>
    </font>
    <font>
      <sz val="11"/>
      <color rgb="FF000000"/>
      <name val="Arial1"/>
      <charset val="1"/>
    </font>
    <font>
      <b/>
      <sz val="10"/>
      <color rgb="FF000000"/>
      <name val="Arial"/>
      <family val="2"/>
      <charset val="1"/>
    </font>
    <font>
      <sz val="10"/>
      <color rgb="FF000000"/>
      <name val="Arial"/>
      <family val="2"/>
      <charset val="1"/>
    </font>
    <font>
      <sz val="10"/>
      <color rgb="FF000000"/>
      <name val="Arial1"/>
      <charset val="1"/>
    </font>
    <font>
      <i/>
      <sz val="10"/>
      <color rgb="FF000000"/>
      <name val="Arial"/>
      <family val="2"/>
      <charset val="1"/>
    </font>
    <font>
      <sz val="10"/>
      <color rgb="FF000000"/>
      <name val="Arial1"/>
    </font>
    <font>
      <b/>
      <sz val="10"/>
      <name val="Arial"/>
      <family val="2"/>
      <charset val="1"/>
    </font>
    <font>
      <i/>
      <sz val="10"/>
      <name val="Arial"/>
      <family val="2"/>
      <charset val="1"/>
    </font>
    <font>
      <sz val="10"/>
      <name val="Arial"/>
      <family val="2"/>
      <charset val="1"/>
    </font>
    <font>
      <sz val="10"/>
      <color rgb="FFFF0000"/>
      <name val="Arial"/>
      <family val="2"/>
      <charset val="1"/>
    </font>
    <font>
      <b/>
      <sz val="10"/>
      <color rgb="FF000000"/>
      <name val="Arial1"/>
    </font>
    <font>
      <b/>
      <sz val="10"/>
      <color rgb="FF000000"/>
      <name val="Arial"/>
      <family val="2"/>
    </font>
    <font>
      <i/>
      <sz val="10"/>
      <color rgb="FF000000"/>
      <name val="Arial"/>
      <family val="2"/>
    </font>
    <font>
      <sz val="10"/>
      <color rgb="FF000000"/>
      <name val="Arial"/>
      <family val="2"/>
    </font>
    <font>
      <b/>
      <sz val="10"/>
      <name val="Arial"/>
      <family val="2"/>
    </font>
    <font>
      <sz val="10"/>
      <color rgb="FFFF0000"/>
      <name val="Arial"/>
      <family val="2"/>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
      <sz val="10"/>
      <name val="Arial"/>
      <family val="2"/>
    </font>
  </fonts>
  <fills count="15">
    <fill>
      <patternFill patternType="none"/>
    </fill>
    <fill>
      <patternFill patternType="gray125"/>
    </fill>
    <fill>
      <patternFill patternType="solid">
        <fgColor rgb="FFAFD095"/>
        <bgColor rgb="FFC0C0C0"/>
      </patternFill>
    </fill>
    <fill>
      <patternFill patternType="gray125">
        <fgColor rgb="FFFF0000"/>
      </patternFill>
    </fill>
    <fill>
      <patternFill patternType="gray125">
        <fgColor rgb="FFFF0000"/>
        <bgColor auto="1"/>
      </patternFill>
    </fill>
    <fill>
      <patternFill patternType="solid">
        <fgColor rgb="FFFFFFA6"/>
        <bgColor rgb="FFFFFF99"/>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
      <patternFill patternType="solid">
        <fgColor theme="4" tint="0.79998168889431442"/>
        <bgColor rgb="FFFFFFCC"/>
      </patternFill>
    </fill>
    <fill>
      <patternFill patternType="solid">
        <fgColor theme="4" tint="0.59999389629810485"/>
        <bgColor rgb="FFFFFFCC"/>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style="thin">
        <color auto="1"/>
      </right>
      <top/>
      <bottom style="thin">
        <color auto="1"/>
      </bottom>
      <diagonal/>
    </border>
    <border>
      <left/>
      <right/>
      <top/>
      <bottom style="medium">
        <color indexed="64"/>
      </bottom>
      <diagonal/>
    </border>
    <border>
      <left style="thin">
        <color auto="1"/>
      </left>
      <right/>
      <top style="thin">
        <color auto="1"/>
      </top>
      <bottom style="medium">
        <color indexed="64"/>
      </bottom>
      <diagonal/>
    </border>
    <border>
      <left style="medium">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indexed="64"/>
      </bottom>
      <diagonal/>
    </border>
    <border>
      <left/>
      <right style="thin">
        <color auto="1"/>
      </right>
      <top/>
      <bottom style="medium">
        <color indexed="64"/>
      </bottom>
      <diagonal/>
    </border>
    <border>
      <left style="medium">
        <color auto="1"/>
      </left>
      <right style="thin">
        <color auto="1"/>
      </right>
      <top/>
      <bottom style="medium">
        <color indexed="64"/>
      </bottom>
      <diagonal/>
    </border>
    <border>
      <left style="thin">
        <color auto="1"/>
      </left>
      <right style="medium">
        <color auto="1"/>
      </right>
      <top/>
      <bottom style="medium">
        <color indexed="64"/>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s>
  <cellStyleXfs count="37">
    <xf numFmtId="0" fontId="0" fillId="0" borderId="0"/>
    <xf numFmtId="0" fontId="18" fillId="6" borderId="0"/>
    <xf numFmtId="0" fontId="19" fillId="6" borderId="0"/>
    <xf numFmtId="0" fontId="18" fillId="7" borderId="0"/>
    <xf numFmtId="0" fontId="19" fillId="7" borderId="0"/>
    <xf numFmtId="0" fontId="3" fillId="8" borderId="0"/>
    <xf numFmtId="0" fontId="20" fillId="8" borderId="0"/>
    <xf numFmtId="0" fontId="3" fillId="0" borderId="0"/>
    <xf numFmtId="0" fontId="20" fillId="0" borderId="0"/>
    <xf numFmtId="0" fontId="21" fillId="9" borderId="0"/>
    <xf numFmtId="0" fontId="22" fillId="9" borderId="0"/>
    <xf numFmtId="0" fontId="23" fillId="10" borderId="0"/>
    <xf numFmtId="0" fontId="24" fillId="10" borderId="0"/>
    <xf numFmtId="168" fontId="4" fillId="0" borderId="0"/>
    <xf numFmtId="0" fontId="25" fillId="0" borderId="0"/>
    <xf numFmtId="0" fontId="26" fillId="0" borderId="0"/>
    <xf numFmtId="0" fontId="27" fillId="11" borderId="0"/>
    <xf numFmtId="0" fontId="28" fillId="11" borderId="0"/>
    <xf numFmtId="0" fontId="29" fillId="0" borderId="0"/>
    <xf numFmtId="0" fontId="30" fillId="0" borderId="0"/>
    <xf numFmtId="0" fontId="31" fillId="0" borderId="0"/>
    <xf numFmtId="0" fontId="32" fillId="0" borderId="0"/>
    <xf numFmtId="0" fontId="33" fillId="0" borderId="0"/>
    <xf numFmtId="0" fontId="34" fillId="0" borderId="0"/>
    <xf numFmtId="0" fontId="35" fillId="0" borderId="0"/>
    <xf numFmtId="0" fontId="36" fillId="0" borderId="0"/>
    <xf numFmtId="0" fontId="37" fillId="12" borderId="0"/>
    <xf numFmtId="0" fontId="1" fillId="0" borderId="0"/>
    <xf numFmtId="0" fontId="1" fillId="0" borderId="0"/>
    <xf numFmtId="0" fontId="38" fillId="12" borderId="26"/>
    <xf numFmtId="0" fontId="39" fillId="12" borderId="26"/>
    <xf numFmtId="0" fontId="4" fillId="0" borderId="0"/>
    <xf numFmtId="0" fontId="2" fillId="0" borderId="0"/>
    <xf numFmtId="0" fontId="4" fillId="0" borderId="0"/>
    <xf numFmtId="0" fontId="2" fillId="0" borderId="0"/>
    <xf numFmtId="0" fontId="21" fillId="0" borderId="0"/>
    <xf numFmtId="0" fontId="22" fillId="0" borderId="0"/>
  </cellStyleXfs>
  <cellXfs count="406">
    <xf numFmtId="0" fontId="0" fillId="0" borderId="0" xfId="0"/>
    <xf numFmtId="14" fontId="6" fillId="0" borderId="4" xfId="0" applyNumberFormat="1" applyFont="1" applyBorder="1" applyAlignment="1">
      <alignment horizontal="center" vertical="top" wrapText="1"/>
    </xf>
    <xf numFmtId="0" fontId="4" fillId="0" borderId="1" xfId="0" applyFont="1" applyBorder="1" applyAlignment="1">
      <alignment horizontal="center" vertical="top" wrapText="1"/>
    </xf>
    <xf numFmtId="1" fontId="5" fillId="0" borderId="1" xfId="0" applyNumberFormat="1" applyFont="1" applyBorder="1" applyAlignment="1">
      <alignment horizontal="center" vertical="top" wrapText="1"/>
    </xf>
    <xf numFmtId="0" fontId="5" fillId="0" borderId="1" xfId="0" applyFont="1" applyBorder="1" applyAlignment="1">
      <alignment horizontal="center" wrapText="1"/>
    </xf>
    <xf numFmtId="0" fontId="4" fillId="0" borderId="1" xfId="0" applyFont="1" applyBorder="1" applyAlignment="1">
      <alignment horizontal="center" wrapText="1"/>
    </xf>
    <xf numFmtId="0" fontId="4" fillId="0" borderId="1" xfId="0" applyFont="1" applyBorder="1" applyAlignment="1">
      <alignment vertical="top" wrapText="1"/>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164" fontId="4" fillId="0" borderId="4" xfId="0" applyNumberFormat="1" applyFont="1" applyBorder="1" applyAlignment="1">
      <alignment horizontal="center" vertical="top" wrapText="1"/>
    </xf>
    <xf numFmtId="0" fontId="5" fillId="0" borderId="1" xfId="0" applyFont="1" applyBorder="1" applyAlignment="1">
      <alignment vertical="top" wrapText="1"/>
    </xf>
    <xf numFmtId="0" fontId="5" fillId="0" borderId="0" xfId="0" applyFont="1"/>
    <xf numFmtId="164" fontId="6" fillId="0" borderId="4" xfId="0" applyNumberFormat="1" applyFont="1" applyBorder="1" applyAlignment="1">
      <alignment horizontal="center" vertical="top" wrapText="1"/>
    </xf>
    <xf numFmtId="14" fontId="4" fillId="0" borderId="10" xfId="0" applyNumberFormat="1" applyFont="1" applyBorder="1" applyAlignment="1">
      <alignment horizontal="center" vertical="top" wrapText="1"/>
    </xf>
    <xf numFmtId="1" fontId="5" fillId="0" borderId="9" xfId="0" applyNumberFormat="1" applyFont="1" applyBorder="1" applyAlignment="1">
      <alignment horizontal="center" vertical="top" wrapText="1"/>
    </xf>
    <xf numFmtId="0" fontId="4" fillId="0" borderId="9" xfId="0" applyFont="1" applyBorder="1" applyAlignment="1">
      <alignment horizontal="center" wrapText="1"/>
    </xf>
    <xf numFmtId="0" fontId="4" fillId="0" borderId="9" xfId="0" applyFont="1" applyBorder="1" applyAlignment="1">
      <alignment vertical="top" wrapText="1"/>
    </xf>
    <xf numFmtId="14" fontId="4" fillId="0" borderId="11" xfId="0" applyNumberFormat="1" applyFont="1" applyBorder="1" applyAlignment="1">
      <alignment horizontal="center" vertical="top" wrapText="1"/>
    </xf>
    <xf numFmtId="1" fontId="5" fillId="0" borderId="5" xfId="0" applyNumberFormat="1" applyFont="1" applyBorder="1" applyAlignment="1">
      <alignment horizontal="center" vertical="top" wrapText="1"/>
    </xf>
    <xf numFmtId="0" fontId="5" fillId="0" borderId="5"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vertical="top" wrapText="1"/>
    </xf>
    <xf numFmtId="14" fontId="4" fillId="0" borderId="4" xfId="0" applyNumberFormat="1" applyFont="1" applyBorder="1" applyAlignment="1">
      <alignment horizontal="center" vertical="top" wrapText="1"/>
    </xf>
    <xf numFmtId="164" fontId="6"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1" fontId="4" fillId="3" borderId="1" xfId="0" applyNumberFormat="1" applyFont="1" applyFill="1" applyBorder="1" applyAlignment="1">
      <alignment horizontal="center" vertical="top" wrapText="1"/>
    </xf>
    <xf numFmtId="1" fontId="4" fillId="0" borderId="1" xfId="0" applyNumberFormat="1"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0" xfId="0" applyFont="1" applyBorder="1" applyAlignment="1">
      <alignment horizontal="center" wrapText="1"/>
    </xf>
    <xf numFmtId="0" fontId="4" fillId="0" borderId="0" xfId="0" applyFont="1" applyBorder="1" applyAlignment="1">
      <alignment horizontal="center" vertical="center" wrapText="1"/>
    </xf>
    <xf numFmtId="0" fontId="4" fillId="0" borderId="0" xfId="0" applyFont="1" applyAlignment="1">
      <alignment horizontal="center" vertical="center" wrapText="1"/>
    </xf>
    <xf numFmtId="14" fontId="6" fillId="0" borderId="10" xfId="0" applyNumberFormat="1" applyFont="1" applyBorder="1" applyAlignment="1">
      <alignment horizontal="center" vertical="top" wrapText="1"/>
    </xf>
    <xf numFmtId="14" fontId="6" fillId="0" borderId="11" xfId="0" applyNumberFormat="1" applyFont="1" applyBorder="1" applyAlignment="1">
      <alignment horizontal="center" vertical="top" wrapText="1"/>
    </xf>
    <xf numFmtId="0" fontId="4" fillId="0" borderId="1" xfId="0" applyFont="1" applyBorder="1" applyAlignment="1">
      <alignment horizontal="left" vertical="top" wrapText="1"/>
    </xf>
    <xf numFmtId="164" fontId="4" fillId="0" borderId="10" xfId="0" applyNumberFormat="1" applyFont="1" applyBorder="1" applyAlignment="1">
      <alignment horizontal="center" vertical="top" wrapText="1"/>
    </xf>
    <xf numFmtId="0" fontId="4" fillId="0" borderId="9" xfId="0" applyFont="1" applyBorder="1" applyAlignment="1">
      <alignment horizontal="center" vertical="center" wrapText="1"/>
    </xf>
    <xf numFmtId="0" fontId="5" fillId="0" borderId="0" xfId="0" applyFont="1" applyBorder="1"/>
    <xf numFmtId="164" fontId="6" fillId="0" borderId="11" xfId="0" applyNumberFormat="1" applyFont="1" applyBorder="1" applyAlignment="1">
      <alignment horizontal="center" vertical="top" wrapText="1"/>
    </xf>
    <xf numFmtId="0" fontId="4" fillId="0" borderId="0" xfId="0" applyFont="1" applyBorder="1"/>
    <xf numFmtId="14" fontId="6" fillId="0" borderId="1" xfId="0" applyNumberFormat="1" applyFont="1" applyBorder="1" applyAlignment="1">
      <alignment horizontal="center" vertical="top" wrapText="1"/>
    </xf>
    <xf numFmtId="0" fontId="4" fillId="0" borderId="5" xfId="0" applyFont="1" applyBorder="1" applyAlignment="1">
      <alignment horizontal="center" vertical="center" wrapText="1"/>
    </xf>
    <xf numFmtId="0" fontId="5" fillId="0" borderId="12" xfId="0" applyFont="1" applyBorder="1"/>
    <xf numFmtId="14" fontId="4" fillId="0" borderId="1" xfId="0" applyNumberFormat="1" applyFont="1" applyBorder="1" applyAlignment="1">
      <alignment horizontal="center" vertical="top" wrapText="1"/>
    </xf>
    <xf numFmtId="14" fontId="4" fillId="0" borderId="9" xfId="0" applyNumberFormat="1" applyFont="1" applyBorder="1" applyAlignment="1">
      <alignment horizontal="center" vertical="top" wrapText="1"/>
    </xf>
    <xf numFmtId="0" fontId="4" fillId="0" borderId="12" xfId="0" applyFont="1" applyBorder="1"/>
    <xf numFmtId="14" fontId="4" fillId="0" borderId="5" xfId="0" applyNumberFormat="1" applyFont="1" applyBorder="1" applyAlignment="1">
      <alignment horizontal="center" vertical="top" wrapText="1"/>
    </xf>
    <xf numFmtId="14" fontId="5" fillId="0" borderId="0" xfId="0" applyNumberFormat="1" applyFont="1"/>
    <xf numFmtId="0" fontId="4" fillId="0" borderId="1" xfId="0" applyFont="1" applyFill="1" applyBorder="1" applyAlignment="1">
      <alignment horizontal="center" vertical="center" wrapText="1"/>
    </xf>
    <xf numFmtId="14" fontId="5" fillId="0" borderId="1" xfId="0" applyNumberFormat="1" applyFont="1" applyBorder="1"/>
    <xf numFmtId="164" fontId="4" fillId="0" borderId="11" xfId="0" applyNumberFormat="1" applyFont="1" applyBorder="1" applyAlignment="1">
      <alignment horizontal="center" vertical="top" wrapText="1"/>
    </xf>
    <xf numFmtId="164" fontId="4"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164" fontId="6" fillId="0" borderId="10" xfId="0" applyNumberFormat="1" applyFont="1" applyBorder="1" applyAlignment="1">
      <alignment horizontal="center" vertical="top" wrapText="1"/>
    </xf>
    <xf numFmtId="1" fontId="4" fillId="0" borderId="9" xfId="0" applyNumberFormat="1" applyFont="1" applyBorder="1" applyAlignment="1">
      <alignment horizontal="center" vertical="top" wrapText="1"/>
    </xf>
    <xf numFmtId="0" fontId="4" fillId="0" borderId="9" xfId="0" applyFont="1" applyBorder="1" applyAlignment="1">
      <alignment horizontal="left" vertical="top" wrapText="1"/>
    </xf>
    <xf numFmtId="14" fontId="6" fillId="0" borderId="5" xfId="0" applyNumberFormat="1" applyFont="1" applyBorder="1" applyAlignment="1">
      <alignment horizontal="center" vertical="top" wrapText="1"/>
    </xf>
    <xf numFmtId="1" fontId="4" fillId="0" borderId="5" xfId="0" applyNumberFormat="1" applyFont="1" applyBorder="1" applyAlignment="1">
      <alignment horizontal="center" vertical="top" wrapText="1"/>
    </xf>
    <xf numFmtId="0" fontId="4" fillId="0" borderId="5" xfId="0" applyFont="1" applyBorder="1" applyAlignment="1">
      <alignment horizontal="left" vertical="top" wrapText="1"/>
    </xf>
    <xf numFmtId="164" fontId="9" fillId="0" borderId="4" xfId="0" applyNumberFormat="1" applyFont="1" applyBorder="1" applyAlignment="1">
      <alignment horizontal="center" vertical="top" wrapText="1"/>
    </xf>
    <xf numFmtId="0" fontId="10" fillId="0" borderId="1" xfId="0" applyFont="1" applyBorder="1" applyAlignment="1">
      <alignment vertical="top" wrapText="1"/>
    </xf>
    <xf numFmtId="0" fontId="10" fillId="0" borderId="1" xfId="0" applyFont="1" applyBorder="1" applyAlignment="1">
      <alignment horizontal="center" vertical="center" wrapText="1"/>
    </xf>
    <xf numFmtId="0" fontId="10" fillId="0" borderId="0" xfId="0" applyFont="1" applyBorder="1"/>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1" fontId="10" fillId="0" borderId="1" xfId="0" applyNumberFormat="1" applyFont="1" applyBorder="1" applyAlignment="1">
      <alignment horizontal="center" vertical="top" wrapText="1"/>
    </xf>
    <xf numFmtId="0" fontId="10" fillId="0" borderId="1" xfId="0" applyFont="1" applyBorder="1" applyAlignment="1">
      <alignment horizontal="left" vertical="top" wrapText="1"/>
    </xf>
    <xf numFmtId="0" fontId="10" fillId="0" borderId="0" xfId="0" applyFont="1" applyBorder="1" applyAlignment="1">
      <alignment horizontal="center" wrapText="1"/>
    </xf>
    <xf numFmtId="14" fontId="0" fillId="0" borderId="1" xfId="0" applyNumberFormat="1" applyBorder="1" applyAlignment="1">
      <alignment horizontal="center"/>
    </xf>
    <xf numFmtId="0" fontId="4" fillId="0" borderId="16" xfId="0" applyFont="1" applyFill="1" applyBorder="1" applyAlignment="1">
      <alignment horizontal="left" vertical="top" wrapText="1"/>
    </xf>
    <xf numFmtId="0" fontId="5" fillId="0" borderId="1" xfId="0" applyFont="1" applyBorder="1" applyAlignment="1">
      <alignment horizontal="left" vertical="top" wrapText="1"/>
    </xf>
    <xf numFmtId="14" fontId="5" fillId="0" borderId="1" xfId="0" applyNumberFormat="1" applyFont="1" applyBorder="1" applyAlignment="1">
      <alignment horizontal="center" vertical="center"/>
    </xf>
    <xf numFmtId="0" fontId="4" fillId="0" borderId="1" xfId="0" applyFont="1" applyFill="1" applyBorder="1" applyAlignment="1">
      <alignment horizontal="left" vertical="top" wrapText="1"/>
    </xf>
    <xf numFmtId="164" fontId="6" fillId="0" borderId="20" xfId="0" applyNumberFormat="1" applyFont="1" applyBorder="1" applyAlignment="1">
      <alignment horizontal="center" vertical="top" wrapText="1"/>
    </xf>
    <xf numFmtId="1" fontId="4" fillId="0" borderId="19" xfId="0" applyNumberFormat="1" applyFont="1" applyBorder="1" applyAlignment="1">
      <alignment horizontal="center" vertical="top" wrapText="1"/>
    </xf>
    <xf numFmtId="1" fontId="4" fillId="3" borderId="19" xfId="0" applyNumberFormat="1" applyFont="1" applyFill="1" applyBorder="1" applyAlignment="1">
      <alignment horizontal="center" vertical="top" wrapText="1"/>
    </xf>
    <xf numFmtId="1" fontId="4" fillId="3" borderId="8" xfId="0" applyNumberFormat="1" applyFont="1" applyFill="1" applyBorder="1" applyAlignment="1">
      <alignment horizontal="center" vertical="top" wrapText="1"/>
    </xf>
    <xf numFmtId="0" fontId="4" fillId="0" borderId="19" xfId="0" applyFont="1" applyBorder="1" applyAlignment="1">
      <alignment horizontal="left" vertical="top" wrapText="1"/>
    </xf>
    <xf numFmtId="1" fontId="4" fillId="3" borderId="5" xfId="0" applyNumberFormat="1" applyFont="1" applyFill="1" applyBorder="1" applyAlignment="1">
      <alignment horizontal="center" vertical="top" wrapText="1"/>
    </xf>
    <xf numFmtId="1" fontId="4" fillId="3" borderId="23" xfId="0" applyNumberFormat="1" applyFont="1" applyFill="1" applyBorder="1" applyAlignment="1">
      <alignment horizontal="center" vertical="top" wrapText="1"/>
    </xf>
    <xf numFmtId="1" fontId="4" fillId="3" borderId="7" xfId="0" applyNumberFormat="1" applyFont="1" applyFill="1" applyBorder="1" applyAlignment="1">
      <alignment horizontal="center" vertical="top" wrapText="1"/>
    </xf>
    <xf numFmtId="164" fontId="14" fillId="0" borderId="4" xfId="0" applyNumberFormat="1" applyFont="1" applyBorder="1" applyAlignment="1">
      <alignment horizontal="center" vertical="center" wrapText="1"/>
    </xf>
    <xf numFmtId="14" fontId="15" fillId="0" borderId="1" xfId="0" applyNumberFormat="1" applyFont="1" applyBorder="1" applyAlignment="1">
      <alignment horizontal="center" vertical="center" wrapText="1"/>
    </xf>
    <xf numFmtId="1" fontId="15" fillId="0" borderId="1" xfId="0" applyNumberFormat="1" applyFont="1" applyBorder="1" applyAlignment="1">
      <alignment horizontal="center" vertical="top" wrapText="1"/>
    </xf>
    <xf numFmtId="1" fontId="15" fillId="3" borderId="1" xfId="0" applyNumberFormat="1" applyFont="1" applyFill="1" applyBorder="1" applyAlignment="1">
      <alignment horizontal="center" vertical="top" wrapText="1"/>
    </xf>
    <xf numFmtId="1" fontId="15" fillId="0" borderId="1" xfId="0" applyNumberFormat="1" applyFont="1" applyFill="1" applyBorder="1" applyAlignment="1">
      <alignment horizontal="center" vertical="top" wrapText="1"/>
    </xf>
    <xf numFmtId="0" fontId="15" fillId="0" borderId="1" xfId="0" applyFont="1" applyBorder="1" applyAlignment="1">
      <alignment horizontal="left" vertical="top" wrapText="1"/>
    </xf>
    <xf numFmtId="0" fontId="15" fillId="0" borderId="0" xfId="0" applyFont="1" applyAlignment="1">
      <alignment wrapText="1"/>
    </xf>
    <xf numFmtId="14" fontId="9" fillId="0" borderId="1" xfId="0" applyNumberFormat="1" applyFont="1" applyBorder="1" applyAlignment="1">
      <alignment horizontal="center" vertical="top" wrapText="1"/>
    </xf>
    <xf numFmtId="1" fontId="10" fillId="3" borderId="1" xfId="0" applyNumberFormat="1" applyFont="1" applyFill="1" applyBorder="1" applyAlignment="1">
      <alignment horizontal="center" vertical="top" wrapText="1"/>
    </xf>
    <xf numFmtId="1" fontId="10" fillId="0" borderId="1" xfId="0" applyNumberFormat="1" applyFont="1" applyFill="1" applyBorder="1" applyAlignment="1">
      <alignment horizontal="center" vertical="top" wrapText="1"/>
    </xf>
    <xf numFmtId="164" fontId="10" fillId="0" borderId="4" xfId="0" applyNumberFormat="1" applyFont="1" applyBorder="1" applyAlignment="1">
      <alignment horizontal="center" vertical="top" wrapText="1"/>
    </xf>
    <xf numFmtId="1" fontId="4" fillId="3" borderId="9" xfId="0" applyNumberFormat="1" applyFont="1" applyFill="1" applyBorder="1" applyAlignment="1">
      <alignment horizontal="center" vertical="top" wrapText="1"/>
    </xf>
    <xf numFmtId="1" fontId="4" fillId="0" borderId="9" xfId="0" applyNumberFormat="1" applyFont="1" applyFill="1" applyBorder="1" applyAlignment="1">
      <alignment horizontal="center" vertical="top" wrapText="1"/>
    </xf>
    <xf numFmtId="14" fontId="5" fillId="0" borderId="5" xfId="0" applyNumberFormat="1" applyFont="1" applyBorder="1" applyAlignment="1">
      <alignment horizontal="center" vertical="top" wrapText="1"/>
    </xf>
    <xf numFmtId="0" fontId="5" fillId="0" borderId="5" xfId="0" applyFont="1" applyBorder="1" applyAlignment="1">
      <alignment vertical="top" wrapText="1"/>
    </xf>
    <xf numFmtId="164" fontId="6" fillId="0" borderId="3" xfId="0" applyNumberFormat="1" applyFont="1" applyBorder="1" applyAlignment="1">
      <alignment horizontal="center" vertical="top" wrapText="1"/>
    </xf>
    <xf numFmtId="0" fontId="4" fillId="0" borderId="0" xfId="0" applyFont="1" applyAlignment="1">
      <alignment horizontal="center" wrapText="1"/>
    </xf>
    <xf numFmtId="14" fontId="15" fillId="0" borderId="1" xfId="0" applyNumberFormat="1" applyFont="1" applyBorder="1" applyAlignment="1">
      <alignment horizontal="center" vertical="center"/>
    </xf>
    <xf numFmtId="0" fontId="15" fillId="0" borderId="0" xfId="0" applyFont="1"/>
    <xf numFmtId="1" fontId="4" fillId="3"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1" fontId="17" fillId="0" borderId="0" xfId="0" applyNumberFormat="1" applyFont="1" applyAlignment="1"/>
    <xf numFmtId="1" fontId="3" fillId="0" borderId="5" xfId="0" applyNumberFormat="1" applyFont="1" applyBorder="1" applyAlignment="1">
      <alignment horizontal="center" vertical="center" wrapText="1"/>
    </xf>
    <xf numFmtId="1"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center" wrapText="1"/>
    </xf>
    <xf numFmtId="1" fontId="3" fillId="0" borderId="1" xfId="0" applyNumberFormat="1" applyFont="1" applyBorder="1" applyAlignment="1">
      <alignment horizontal="center" wrapText="1"/>
    </xf>
    <xf numFmtId="1" fontId="3" fillId="0" borderId="5" xfId="0" applyNumberFormat="1" applyFont="1" applyBorder="1" applyAlignment="1">
      <alignment horizontal="center" wrapText="1"/>
    </xf>
    <xf numFmtId="1" fontId="4" fillId="0" borderId="1" xfId="0" applyNumberFormat="1" applyFont="1" applyBorder="1" applyAlignment="1">
      <alignment horizontal="center" wrapText="1"/>
    </xf>
    <xf numFmtId="1" fontId="6" fillId="0" borderId="1" xfId="0" applyNumberFormat="1" applyFont="1" applyBorder="1" applyAlignment="1">
      <alignment horizontal="center" vertical="top" wrapText="1"/>
    </xf>
    <xf numFmtId="1" fontId="4" fillId="0" borderId="4" xfId="0" applyNumberFormat="1" applyFont="1" applyBorder="1" applyAlignment="1">
      <alignment horizontal="center" vertical="top" wrapText="1"/>
    </xf>
    <xf numFmtId="1" fontId="5" fillId="0" borderId="0" xfId="0" applyNumberFormat="1" applyFont="1" applyAlignment="1">
      <alignment horizontal="center"/>
    </xf>
    <xf numFmtId="1" fontId="3" fillId="0" borderId="9" xfId="0" applyNumberFormat="1" applyFont="1" applyBorder="1" applyAlignment="1">
      <alignment horizontal="center" wrapText="1"/>
    </xf>
    <xf numFmtId="1" fontId="6" fillId="0" borderId="4" xfId="0" applyNumberFormat="1" applyFont="1" applyBorder="1" applyAlignment="1">
      <alignment horizontal="center" vertical="top" wrapText="1"/>
    </xf>
    <xf numFmtId="1" fontId="0" fillId="0" borderId="1" xfId="0" applyNumberFormat="1" applyBorder="1" applyAlignment="1">
      <alignment horizontal="center" vertical="center" wrapText="1"/>
    </xf>
    <xf numFmtId="1" fontId="5" fillId="0" borderId="1" xfId="0" applyNumberFormat="1" applyFont="1" applyBorder="1" applyAlignment="1">
      <alignment horizontal="center" vertical="center"/>
    </xf>
    <xf numFmtId="1" fontId="5" fillId="0" borderId="1" xfId="0" applyNumberFormat="1" applyFont="1" applyBorder="1" applyAlignment="1">
      <alignment horizontal="center" vertical="center" wrapText="1"/>
    </xf>
    <xf numFmtId="1" fontId="3" fillId="0" borderId="19" xfId="0" applyNumberFormat="1" applyFont="1" applyBorder="1" applyAlignment="1">
      <alignment horizontal="center" wrapText="1"/>
    </xf>
    <xf numFmtId="1" fontId="13" fillId="0" borderId="1" xfId="0" applyNumberFormat="1" applyFont="1" applyBorder="1" applyAlignment="1">
      <alignment horizontal="center" vertical="center" wrapText="1"/>
    </xf>
    <xf numFmtId="1" fontId="16" fillId="0" borderId="1" xfId="0" applyNumberFormat="1" applyFont="1" applyBorder="1" applyAlignment="1">
      <alignment horizontal="center" wrapText="1"/>
    </xf>
    <xf numFmtId="1" fontId="8" fillId="0" borderId="1" xfId="0" applyNumberFormat="1" applyFont="1" applyBorder="1" applyAlignment="1">
      <alignment horizontal="center" vertical="top" wrapText="1"/>
    </xf>
    <xf numFmtId="1" fontId="3" fillId="5" borderId="5" xfId="0" applyNumberFormat="1" applyFont="1" applyFill="1" applyBorder="1" applyAlignment="1">
      <alignment horizontal="center"/>
    </xf>
    <xf numFmtId="1" fontId="3" fillId="0" borderId="3" xfId="0" applyNumberFormat="1" applyFont="1" applyBorder="1" applyAlignment="1">
      <alignment horizontal="center" wrapText="1"/>
    </xf>
    <xf numFmtId="1" fontId="13" fillId="0" borderId="1" xfId="0" applyNumberFormat="1" applyFont="1" applyBorder="1" applyAlignment="1">
      <alignment horizontal="center" vertical="center"/>
    </xf>
    <xf numFmtId="1" fontId="15" fillId="0" borderId="0" xfId="0" applyNumberFormat="1" applyFont="1" applyAlignment="1">
      <alignment horizontal="center"/>
    </xf>
    <xf numFmtId="1" fontId="3" fillId="0" borderId="1"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9"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1" fontId="5" fillId="0" borderId="0" xfId="0" applyNumberFormat="1" applyFont="1" applyAlignment="1">
      <alignment horizontal="center" vertical="center"/>
    </xf>
    <xf numFmtId="1" fontId="8" fillId="0" borderId="1" xfId="0" applyNumberFormat="1" applyFont="1" applyBorder="1" applyAlignment="1">
      <alignment horizontal="center" vertical="center" wrapText="1"/>
    </xf>
    <xf numFmtId="1" fontId="4" fillId="0" borderId="5" xfId="0" applyNumberFormat="1" applyFont="1" applyBorder="1" applyAlignment="1">
      <alignment horizontal="center" vertical="center" wrapText="1"/>
    </xf>
    <xf numFmtId="1" fontId="12" fillId="0" borderId="1" xfId="0" applyNumberFormat="1" applyFont="1" applyBorder="1" applyAlignment="1">
      <alignment horizontal="center" vertical="center"/>
    </xf>
    <xf numFmtId="1" fontId="15" fillId="0" borderId="0" xfId="0" applyNumberFormat="1" applyFont="1" applyAlignment="1">
      <alignment horizontal="center" vertical="center"/>
    </xf>
    <xf numFmtId="1" fontId="0" fillId="0" borderId="0" xfId="0" applyNumberFormat="1" applyAlignment="1">
      <alignment horizontal="center" vertical="center"/>
    </xf>
    <xf numFmtId="1" fontId="4" fillId="0" borderId="16" xfId="0" applyNumberFormat="1" applyFont="1" applyFill="1" applyBorder="1" applyAlignment="1">
      <alignment horizontal="center" vertical="top" wrapText="1"/>
    </xf>
    <xf numFmtId="1" fontId="4" fillId="0" borderId="0" xfId="0" applyNumberFormat="1" applyFont="1" applyFill="1" applyBorder="1" applyAlignment="1">
      <alignment horizontal="center" vertical="top" wrapText="1"/>
    </xf>
    <xf numFmtId="1" fontId="5" fillId="0" borderId="0" xfId="0" applyNumberFormat="1" applyFont="1"/>
    <xf numFmtId="1" fontId="11" fillId="0" borderId="1" xfId="0" applyNumberFormat="1" applyFont="1" applyBorder="1" applyAlignment="1">
      <alignment horizontal="center" vertical="top" wrapText="1"/>
    </xf>
    <xf numFmtId="1" fontId="0" fillId="0" borderId="1" xfId="0" applyNumberFormat="1" applyBorder="1"/>
    <xf numFmtId="1" fontId="5" fillId="0" borderId="1" xfId="0" applyNumberFormat="1" applyFont="1" applyBorder="1"/>
    <xf numFmtId="1" fontId="15" fillId="0" borderId="1" xfId="0" applyNumberFormat="1" applyFont="1" applyBorder="1" applyAlignment="1">
      <alignment horizontal="center" vertical="center" wrapText="1"/>
    </xf>
    <xf numFmtId="1" fontId="15" fillId="0" borderId="1" xfId="0" applyNumberFormat="1" applyFont="1" applyBorder="1" applyAlignment="1">
      <alignment horizontal="center" vertical="center"/>
    </xf>
    <xf numFmtId="1" fontId="15" fillId="0" borderId="0" xfId="0" applyNumberFormat="1" applyFont="1"/>
    <xf numFmtId="1" fontId="0" fillId="0" borderId="0" xfId="0" applyNumberFormat="1"/>
    <xf numFmtId="49" fontId="3" fillId="0" borderId="2" xfId="0" applyNumberFormat="1" applyFont="1" applyBorder="1" applyAlignment="1">
      <alignment vertical="center" wrapText="1"/>
    </xf>
    <xf numFmtId="49" fontId="4" fillId="0" borderId="2" xfId="0" applyNumberFormat="1" applyFont="1" applyBorder="1" applyAlignment="1">
      <alignment vertical="center" wrapText="1"/>
    </xf>
    <xf numFmtId="49" fontId="4" fillId="0" borderId="1" xfId="0" applyNumberFormat="1" applyFont="1" applyBorder="1" applyAlignment="1">
      <alignment horizontal="center" vertical="top" wrapText="1"/>
    </xf>
    <xf numFmtId="49" fontId="5" fillId="0" borderId="1" xfId="0" applyNumberFormat="1" applyFont="1" applyBorder="1" applyAlignment="1">
      <alignment horizontal="center" vertical="top" wrapText="1"/>
    </xf>
    <xf numFmtId="49" fontId="4" fillId="0" borderId="9" xfId="0" applyNumberFormat="1" applyFont="1" applyBorder="1" applyAlignment="1">
      <alignment horizontal="center" vertical="top" wrapText="1"/>
    </xf>
    <xf numFmtId="49" fontId="4" fillId="0" borderId="5" xfId="0" applyNumberFormat="1" applyFont="1" applyBorder="1" applyAlignment="1">
      <alignment horizontal="center" vertical="top" wrapText="1"/>
    </xf>
    <xf numFmtId="49" fontId="4" fillId="0" borderId="5" xfId="0" applyNumberFormat="1" applyFont="1" applyBorder="1" applyAlignment="1">
      <alignment horizontal="center" vertical="top"/>
    </xf>
    <xf numFmtId="49" fontId="4" fillId="0" borderId="16" xfId="0" applyNumberFormat="1" applyFont="1" applyFill="1" applyBorder="1" applyAlignment="1">
      <alignment horizontal="center" vertical="top" wrapText="1"/>
    </xf>
    <xf numFmtId="49" fontId="5" fillId="0" borderId="0" xfId="0" applyNumberFormat="1" applyFont="1"/>
    <xf numFmtId="49" fontId="4" fillId="0" borderId="1" xfId="0" applyNumberFormat="1" applyFont="1" applyFill="1" applyBorder="1" applyAlignment="1">
      <alignment horizontal="center" vertical="top" wrapText="1"/>
    </xf>
    <xf numFmtId="49" fontId="5" fillId="0" borderId="1" xfId="0" applyNumberFormat="1" applyFont="1" applyBorder="1"/>
    <xf numFmtId="49" fontId="10" fillId="0" borderId="1" xfId="0" applyNumberFormat="1" applyFont="1" applyBorder="1" applyAlignment="1">
      <alignment horizontal="center" vertical="top" wrapText="1"/>
    </xf>
    <xf numFmtId="49" fontId="0" fillId="0" borderId="0" xfId="0" applyNumberFormat="1"/>
    <xf numFmtId="49" fontId="5" fillId="0" borderId="1"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49" fontId="5" fillId="0" borderId="1" xfId="0" applyNumberFormat="1" applyFont="1" applyBorder="1" applyAlignment="1">
      <alignment horizontal="center" wrapText="1"/>
    </xf>
    <xf numFmtId="49" fontId="4" fillId="0" borderId="19" xfId="0" applyNumberFormat="1" applyFont="1" applyBorder="1" applyAlignment="1">
      <alignment horizontal="center" vertical="top" wrapText="1"/>
    </xf>
    <xf numFmtId="49" fontId="15" fillId="0" borderId="1" xfId="0" applyNumberFormat="1" applyFont="1" applyBorder="1" applyAlignment="1">
      <alignment horizontal="center" vertical="top" wrapText="1"/>
    </xf>
    <xf numFmtId="49" fontId="15" fillId="0" borderId="1" xfId="0" applyNumberFormat="1" applyFont="1" applyFill="1" applyBorder="1" applyAlignment="1">
      <alignment horizontal="center" vertical="top" wrapText="1"/>
    </xf>
    <xf numFmtId="49" fontId="15" fillId="0" borderId="1" xfId="0" applyNumberFormat="1" applyFont="1" applyBorder="1" applyAlignment="1">
      <alignment wrapText="1"/>
    </xf>
    <xf numFmtId="49" fontId="5" fillId="0" borderId="5" xfId="0" applyNumberFormat="1" applyFont="1" applyBorder="1" applyAlignment="1">
      <alignment horizontal="center" vertical="top" wrapText="1"/>
    </xf>
    <xf numFmtId="49"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wrapText="1"/>
    </xf>
    <xf numFmtId="49" fontId="15" fillId="0" borderId="1" xfId="0" applyNumberFormat="1" applyFont="1" applyBorder="1" applyAlignment="1">
      <alignment vertical="center"/>
    </xf>
    <xf numFmtId="49" fontId="15" fillId="0" borderId="1" xfId="0" applyNumberFormat="1" applyFont="1" applyBorder="1" applyAlignment="1">
      <alignment horizontal="center" vertical="center"/>
    </xf>
    <xf numFmtId="49" fontId="15" fillId="0" borderId="0" xfId="0" applyNumberFormat="1" applyFont="1"/>
    <xf numFmtId="1" fontId="4" fillId="4" borderId="1" xfId="0" applyNumberFormat="1" applyFont="1" applyFill="1" applyBorder="1" applyAlignment="1">
      <alignment horizontal="center" vertical="top" wrapText="1"/>
    </xf>
    <xf numFmtId="1" fontId="4" fillId="4" borderId="19" xfId="0" applyNumberFormat="1" applyFont="1" applyFill="1" applyBorder="1" applyAlignment="1">
      <alignment horizontal="center" vertical="top" wrapText="1"/>
    </xf>
    <xf numFmtId="1" fontId="4" fillId="4" borderId="5" xfId="0" applyNumberFormat="1" applyFont="1" applyFill="1" applyBorder="1" applyAlignment="1">
      <alignment horizontal="center" vertical="top" wrapText="1"/>
    </xf>
    <xf numFmtId="1" fontId="5" fillId="3" borderId="5" xfId="0" applyNumberFormat="1" applyFont="1" applyFill="1" applyBorder="1" applyAlignment="1">
      <alignment horizontal="center" vertical="top" wrapText="1"/>
    </xf>
    <xf numFmtId="1" fontId="15" fillId="0" borderId="1" xfId="0" applyNumberFormat="1" applyFont="1" applyBorder="1" applyAlignment="1">
      <alignment vertical="center"/>
    </xf>
    <xf numFmtId="1" fontId="4" fillId="3" borderId="1" xfId="0" applyNumberFormat="1" applyFont="1" applyFill="1" applyBorder="1" applyAlignment="1">
      <alignment vertical="center" wrapText="1"/>
    </xf>
    <xf numFmtId="49" fontId="4" fillId="0" borderId="1" xfId="0" applyNumberFormat="1" applyFont="1" applyBorder="1" applyAlignment="1">
      <alignment horizontal="center" vertical="center" wrapText="1"/>
    </xf>
    <xf numFmtId="1" fontId="4" fillId="0" borderId="13" xfId="0" applyNumberFormat="1" applyFont="1" applyBorder="1" applyAlignment="1">
      <alignment horizontal="center" vertical="top" wrapText="1"/>
    </xf>
    <xf numFmtId="1" fontId="5" fillId="0" borderId="5" xfId="0" applyNumberFormat="1" applyFont="1" applyFill="1" applyBorder="1" applyAlignment="1">
      <alignment horizontal="center" vertical="top" wrapText="1"/>
    </xf>
    <xf numFmtId="1" fontId="15" fillId="0" borderId="0" xfId="0" applyNumberFormat="1" applyFont="1" applyAlignment="1"/>
    <xf numFmtId="2" fontId="5" fillId="0" borderId="1" xfId="0" applyNumberFormat="1" applyFont="1" applyBorder="1" applyAlignment="1">
      <alignment horizontal="center" vertical="top" wrapText="1"/>
    </xf>
    <xf numFmtId="2" fontId="4" fillId="0" borderId="1" xfId="0" applyNumberFormat="1" applyFont="1" applyBorder="1" applyAlignment="1">
      <alignment horizontal="center" vertical="top" wrapText="1"/>
    </xf>
    <xf numFmtId="2" fontId="5" fillId="0" borderId="1" xfId="0" applyNumberFormat="1" applyFont="1" applyBorder="1" applyAlignment="1">
      <alignment horizontal="center" wrapText="1"/>
    </xf>
    <xf numFmtId="2" fontId="5" fillId="0" borderId="1" xfId="0" applyNumberFormat="1" applyFont="1" applyBorder="1"/>
    <xf numFmtId="2" fontId="5" fillId="0" borderId="9" xfId="0" applyNumberFormat="1" applyFont="1" applyBorder="1" applyAlignment="1">
      <alignment horizontal="center" vertical="top" wrapText="1"/>
    </xf>
    <xf numFmtId="2" fontId="4" fillId="0" borderId="9" xfId="0" applyNumberFormat="1" applyFont="1" applyBorder="1" applyAlignment="1">
      <alignment horizontal="center" vertical="top" wrapText="1"/>
    </xf>
    <xf numFmtId="2" fontId="5" fillId="0" borderId="9" xfId="0" applyNumberFormat="1" applyFont="1" applyBorder="1" applyAlignment="1">
      <alignment horizontal="center" wrapText="1"/>
    </xf>
    <xf numFmtId="2" fontId="5" fillId="0" borderId="5" xfId="0" applyNumberFormat="1" applyFont="1" applyBorder="1" applyAlignment="1">
      <alignment horizontal="center" vertical="top" wrapText="1"/>
    </xf>
    <xf numFmtId="2" fontId="4" fillId="0" borderId="5" xfId="0" applyNumberFormat="1" applyFont="1" applyBorder="1" applyAlignment="1">
      <alignment horizontal="center" vertical="top" wrapText="1"/>
    </xf>
    <xf numFmtId="2" fontId="5" fillId="0" borderId="5" xfId="0" applyNumberFormat="1" applyFont="1" applyBorder="1" applyAlignment="1">
      <alignment horizontal="center" wrapText="1"/>
    </xf>
    <xf numFmtId="2" fontId="4"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wrapText="1"/>
    </xf>
    <xf numFmtId="2" fontId="4" fillId="0" borderId="1" xfId="0" applyNumberFormat="1" applyFont="1" applyBorder="1" applyAlignment="1">
      <alignment horizontal="center" wrapText="1"/>
    </xf>
    <xf numFmtId="2" fontId="5" fillId="0" borderId="9" xfId="0" applyNumberFormat="1" applyFont="1" applyBorder="1"/>
    <xf numFmtId="2" fontId="4" fillId="0" borderId="9" xfId="0" applyNumberFormat="1" applyFont="1" applyBorder="1"/>
    <xf numFmtId="2" fontId="4" fillId="0" borderId="1" xfId="0" applyNumberFormat="1" applyFont="1" applyBorder="1"/>
    <xf numFmtId="2" fontId="4" fillId="3" borderId="1" xfId="0" applyNumberFormat="1" applyFont="1" applyFill="1" applyBorder="1"/>
    <xf numFmtId="2" fontId="4" fillId="0" borderId="14" xfId="0" applyNumberFormat="1" applyFont="1" applyBorder="1" applyAlignment="1">
      <alignment horizontal="center" vertical="top" wrapText="1"/>
    </xf>
    <xf numFmtId="2" fontId="4" fillId="0" borderId="15" xfId="0" applyNumberFormat="1" applyFont="1" applyBorder="1" applyAlignment="1">
      <alignment horizontal="center" vertical="top" wrapText="1"/>
    </xf>
    <xf numFmtId="2" fontId="4" fillId="0" borderId="10" xfId="0" applyNumberFormat="1" applyFont="1" applyBorder="1" applyAlignment="1">
      <alignment horizontal="center" vertical="top" wrapText="1"/>
    </xf>
    <xf numFmtId="2" fontId="4" fillId="0" borderId="13" xfId="0" applyNumberFormat="1" applyFont="1" applyBorder="1"/>
    <xf numFmtId="2" fontId="4" fillId="0" borderId="14" xfId="0" applyNumberFormat="1" applyFont="1" applyBorder="1"/>
    <xf numFmtId="2" fontId="4" fillId="0" borderId="15" xfId="0" applyNumberFormat="1" applyFont="1" applyBorder="1"/>
    <xf numFmtId="2" fontId="4" fillId="0" borderId="10" xfId="0" applyNumberFormat="1" applyFont="1" applyBorder="1"/>
    <xf numFmtId="2" fontId="5" fillId="0" borderId="5" xfId="0" applyNumberFormat="1" applyFont="1" applyBorder="1"/>
    <xf numFmtId="2" fontId="4" fillId="0" borderId="5" xfId="0" applyNumberFormat="1" applyFont="1" applyBorder="1"/>
    <xf numFmtId="2" fontId="4" fillId="0" borderId="1" xfId="0" applyNumberFormat="1" applyFont="1" applyFill="1" applyBorder="1"/>
    <xf numFmtId="2" fontId="4" fillId="0" borderId="9" xfId="0" applyNumberFormat="1" applyFont="1" applyBorder="1" applyAlignment="1">
      <alignment horizontal="center" wrapText="1"/>
    </xf>
    <xf numFmtId="2" fontId="4" fillId="0" borderId="5" xfId="0" applyNumberFormat="1" applyFont="1" applyBorder="1" applyAlignment="1">
      <alignment horizontal="center" wrapText="1"/>
    </xf>
    <xf numFmtId="2" fontId="10" fillId="0" borderId="1" xfId="0" applyNumberFormat="1" applyFont="1" applyBorder="1" applyAlignment="1">
      <alignment horizontal="center" vertical="top" wrapText="1"/>
    </xf>
    <xf numFmtId="2" fontId="10" fillId="0" borderId="1" xfId="0" applyNumberFormat="1" applyFont="1" applyBorder="1"/>
    <xf numFmtId="2" fontId="10" fillId="0" borderId="1" xfId="0" applyNumberFormat="1" applyFont="1" applyBorder="1" applyAlignment="1">
      <alignment horizontal="center" wrapText="1"/>
    </xf>
    <xf numFmtId="2" fontId="4" fillId="0" borderId="4" xfId="0" applyNumberFormat="1" applyFont="1" applyBorder="1" applyAlignment="1">
      <alignment horizontal="center" wrapText="1"/>
    </xf>
    <xf numFmtId="2" fontId="4" fillId="0" borderId="17" xfId="0" applyNumberFormat="1" applyFont="1" applyBorder="1" applyAlignment="1">
      <alignment horizontal="center" vertical="top" wrapText="1"/>
    </xf>
    <xf numFmtId="2" fontId="4" fillId="0" borderId="11" xfId="0" applyNumberFormat="1" applyFont="1" applyBorder="1" applyAlignment="1">
      <alignment horizontal="center" vertical="top" wrapText="1"/>
    </xf>
    <xf numFmtId="2" fontId="4" fillId="0" borderId="18" xfId="0" applyNumberFormat="1" applyFont="1" applyBorder="1" applyAlignment="1">
      <alignment horizontal="center" wrapText="1"/>
    </xf>
    <xf numFmtId="2" fontId="4" fillId="0" borderId="11" xfId="0" applyNumberFormat="1" applyFont="1" applyBorder="1" applyAlignment="1">
      <alignment horizontal="center" wrapText="1"/>
    </xf>
    <xf numFmtId="2" fontId="4" fillId="0" borderId="4" xfId="0" applyNumberFormat="1" applyFont="1" applyBorder="1" applyAlignment="1">
      <alignment horizontal="center" vertical="top" wrapText="1"/>
    </xf>
    <xf numFmtId="2" fontId="4" fillId="0" borderId="1" xfId="0" applyNumberFormat="1" applyFont="1" applyFill="1" applyBorder="1" applyAlignment="1">
      <alignment horizontal="center" vertical="top" wrapText="1"/>
    </xf>
    <xf numFmtId="2" fontId="0" fillId="0" borderId="1" xfId="0" applyNumberFormat="1" applyBorder="1"/>
    <xf numFmtId="2" fontId="4" fillId="0" borderId="1" xfId="0" applyNumberFormat="1" applyFont="1" applyFill="1" applyBorder="1" applyAlignment="1">
      <alignment horizontal="center" wrapText="1"/>
    </xf>
    <xf numFmtId="2" fontId="5" fillId="3" borderId="1" xfId="0" applyNumberFormat="1" applyFont="1" applyFill="1" applyBorder="1"/>
    <xf numFmtId="2" fontId="4" fillId="0" borderId="21" xfId="0" applyNumberFormat="1" applyFont="1" applyBorder="1" applyAlignment="1">
      <alignment horizontal="center" vertical="top" wrapText="1"/>
    </xf>
    <xf numFmtId="2" fontId="4" fillId="0" borderId="22" xfId="0" applyNumberFormat="1" applyFont="1" applyBorder="1" applyAlignment="1">
      <alignment horizontal="center" vertical="top" wrapText="1"/>
    </xf>
    <xf numFmtId="2" fontId="4" fillId="0" borderId="20" xfId="0" applyNumberFormat="1" applyFont="1" applyBorder="1" applyAlignment="1">
      <alignment horizontal="center" vertical="top" wrapText="1"/>
    </xf>
    <xf numFmtId="2" fontId="4" fillId="0" borderId="8" xfId="0" applyNumberFormat="1" applyFont="1" applyBorder="1" applyAlignment="1">
      <alignment horizontal="center" vertical="top" wrapText="1"/>
    </xf>
    <xf numFmtId="2" fontId="4" fillId="3" borderId="21" xfId="0" applyNumberFormat="1" applyFont="1" applyFill="1" applyBorder="1" applyAlignment="1">
      <alignment horizontal="center" vertical="top" wrapText="1"/>
    </xf>
    <xf numFmtId="2" fontId="4" fillId="3" borderId="22" xfId="0" applyNumberFormat="1" applyFont="1" applyFill="1" applyBorder="1" applyAlignment="1">
      <alignment horizontal="center" wrapText="1"/>
    </xf>
    <xf numFmtId="2" fontId="4" fillId="0" borderId="20" xfId="0" applyNumberFormat="1" applyFont="1" applyBorder="1" applyAlignment="1">
      <alignment horizontal="center" wrapText="1"/>
    </xf>
    <xf numFmtId="2" fontId="4" fillId="0" borderId="19" xfId="0" applyNumberFormat="1" applyFont="1" applyBorder="1" applyAlignment="1">
      <alignment horizontal="center" wrapText="1"/>
    </xf>
    <xf numFmtId="2" fontId="4" fillId="0" borderId="18" xfId="0" applyNumberFormat="1" applyFont="1" applyBorder="1" applyAlignment="1">
      <alignment horizontal="center" vertical="top" wrapText="1"/>
    </xf>
    <xf numFmtId="2" fontId="4" fillId="0" borderId="23" xfId="0" applyNumberFormat="1" applyFont="1" applyBorder="1" applyAlignment="1">
      <alignment horizontal="center" vertical="top" wrapText="1"/>
    </xf>
    <xf numFmtId="2" fontId="4" fillId="3" borderId="17" xfId="0" applyNumberFormat="1" applyFont="1" applyFill="1" applyBorder="1" applyAlignment="1">
      <alignment horizontal="center" vertical="top" wrapText="1"/>
    </xf>
    <xf numFmtId="2" fontId="4" fillId="3" borderId="18" xfId="0" applyNumberFormat="1" applyFont="1" applyFill="1" applyBorder="1" applyAlignment="1">
      <alignment horizontal="center" wrapText="1"/>
    </xf>
    <xf numFmtId="2" fontId="4" fillId="0" borderId="24" xfId="0" applyNumberFormat="1" applyFont="1" applyBorder="1" applyAlignment="1">
      <alignment horizontal="center" vertical="top" wrapText="1"/>
    </xf>
    <xf numFmtId="2" fontId="4" fillId="0" borderId="25" xfId="0" applyNumberFormat="1" applyFont="1" applyBorder="1" applyAlignment="1">
      <alignment horizontal="center" vertical="top" wrapText="1"/>
    </xf>
    <xf numFmtId="2" fontId="4" fillId="0" borderId="7" xfId="0" applyNumberFormat="1" applyFont="1" applyBorder="1"/>
    <xf numFmtId="2" fontId="4" fillId="3" borderId="24" xfId="0" applyNumberFormat="1" applyFont="1" applyFill="1" applyBorder="1"/>
    <xf numFmtId="2" fontId="4" fillId="3" borderId="25" xfId="0" applyNumberFormat="1" applyFont="1" applyFill="1" applyBorder="1"/>
    <xf numFmtId="2" fontId="4" fillId="0" borderId="4" xfId="0" applyNumberFormat="1" applyFont="1" applyBorder="1"/>
    <xf numFmtId="2" fontId="4" fillId="0" borderId="7" xfId="0" applyNumberFormat="1" applyFont="1" applyBorder="1" applyAlignment="1">
      <alignment horizontal="center" vertical="top" wrapText="1"/>
    </xf>
    <xf numFmtId="2" fontId="4" fillId="3" borderId="24" xfId="0" applyNumberFormat="1" applyFont="1" applyFill="1" applyBorder="1" applyAlignment="1">
      <alignment horizontal="center" vertical="top" wrapText="1"/>
    </xf>
    <xf numFmtId="2" fontId="4" fillId="3" borderId="25" xfId="0" applyNumberFormat="1" applyFont="1" applyFill="1" applyBorder="1" applyAlignment="1">
      <alignment horizontal="center" wrapText="1"/>
    </xf>
    <xf numFmtId="2" fontId="15" fillId="0" borderId="1" xfId="0" applyNumberFormat="1" applyFont="1" applyBorder="1" applyAlignment="1">
      <alignment horizontal="center" vertical="top" wrapText="1"/>
    </xf>
    <xf numFmtId="2" fontId="15" fillId="3" borderId="1" xfId="0" applyNumberFormat="1" applyFont="1" applyFill="1" applyBorder="1" applyAlignment="1">
      <alignment horizontal="center" vertical="top" wrapText="1"/>
    </xf>
    <xf numFmtId="2" fontId="15" fillId="3" borderId="1" xfId="0" applyNumberFormat="1" applyFont="1" applyFill="1" applyBorder="1" applyAlignment="1">
      <alignment horizontal="center" wrapText="1"/>
    </xf>
    <xf numFmtId="2" fontId="15" fillId="0" borderId="1" xfId="0" applyNumberFormat="1" applyFont="1" applyBorder="1" applyAlignment="1">
      <alignment horizontal="center" wrapText="1"/>
    </xf>
    <xf numFmtId="2" fontId="10" fillId="3" borderId="1" xfId="0" applyNumberFormat="1" applyFont="1" applyFill="1" applyBorder="1" applyAlignment="1">
      <alignment horizontal="center" vertical="top" wrapText="1"/>
    </xf>
    <xf numFmtId="2" fontId="10" fillId="3" borderId="1" xfId="0" applyNumberFormat="1" applyFont="1" applyFill="1" applyBorder="1" applyAlignment="1">
      <alignment horizontal="center" wrapText="1"/>
    </xf>
    <xf numFmtId="2" fontId="10" fillId="3" borderId="1" xfId="0" applyNumberFormat="1" applyFont="1" applyFill="1" applyBorder="1"/>
    <xf numFmtId="2" fontId="4" fillId="3" borderId="9" xfId="0" applyNumberFormat="1" applyFont="1" applyFill="1" applyBorder="1" applyAlignment="1">
      <alignment horizontal="center" vertical="top" wrapText="1"/>
    </xf>
    <xf numFmtId="2" fontId="4" fillId="3" borderId="9" xfId="0" applyNumberFormat="1" applyFont="1" applyFill="1" applyBorder="1" applyAlignment="1">
      <alignment horizontal="center" wrapText="1"/>
    </xf>
    <xf numFmtId="2" fontId="4" fillId="3" borderId="5" xfId="0" applyNumberFormat="1" applyFont="1" applyFill="1" applyBorder="1" applyAlignment="1">
      <alignment horizontal="center" vertical="top" wrapText="1"/>
    </xf>
    <xf numFmtId="2" fontId="5" fillId="3" borderId="5" xfId="0" applyNumberFormat="1" applyFont="1" applyFill="1" applyBorder="1"/>
    <xf numFmtId="2" fontId="10" fillId="0" borderId="1" xfId="0" applyNumberFormat="1" applyFont="1" applyFill="1" applyBorder="1" applyAlignment="1">
      <alignment horizontal="center" vertical="top" wrapText="1"/>
    </xf>
    <xf numFmtId="2" fontId="15" fillId="0" borderId="1" xfId="0" applyNumberFormat="1" applyFont="1" applyBorder="1" applyAlignment="1">
      <alignment vertical="center"/>
    </xf>
    <xf numFmtId="2" fontId="15" fillId="0" borderId="1" xfId="0" applyNumberFormat="1" applyFont="1" applyBorder="1" applyAlignment="1">
      <alignment horizontal="center" vertical="center" wrapText="1"/>
    </xf>
    <xf numFmtId="2" fontId="15" fillId="0" borderId="0" xfId="0" applyNumberFormat="1" applyFont="1"/>
    <xf numFmtId="2" fontId="15" fillId="0" borderId="0" xfId="0" applyNumberFormat="1" applyFont="1" applyAlignment="1"/>
    <xf numFmtId="2" fontId="17" fillId="0" borderId="0" xfId="0" applyNumberFormat="1" applyFont="1" applyAlignment="1"/>
    <xf numFmtId="2" fontId="0" fillId="0" borderId="0" xfId="0" applyNumberFormat="1"/>
    <xf numFmtId="169" fontId="4" fillId="0" borderId="1" xfId="0" applyNumberFormat="1" applyFont="1" applyBorder="1" applyAlignment="1">
      <alignment horizontal="center" wrapText="1"/>
    </xf>
    <xf numFmtId="169" fontId="5" fillId="0" borderId="1" xfId="0" applyNumberFormat="1" applyFont="1" applyBorder="1" applyAlignment="1">
      <alignment horizontal="center" wrapText="1"/>
    </xf>
    <xf numFmtId="169" fontId="4" fillId="0" borderId="1" xfId="0" applyNumberFormat="1" applyFont="1" applyBorder="1"/>
    <xf numFmtId="169" fontId="5" fillId="0" borderId="1" xfId="0" applyNumberFormat="1" applyFont="1" applyBorder="1" applyAlignment="1">
      <alignment horizontal="center"/>
    </xf>
    <xf numFmtId="169" fontId="4" fillId="0" borderId="9" xfId="0" applyNumberFormat="1" applyFont="1" applyBorder="1" applyAlignment="1">
      <alignment horizontal="center" wrapText="1"/>
    </xf>
    <xf numFmtId="169" fontId="5" fillId="0" borderId="9" xfId="0" applyNumberFormat="1" applyFont="1" applyBorder="1" applyAlignment="1">
      <alignment horizontal="center" wrapText="1"/>
    </xf>
    <xf numFmtId="169" fontId="4" fillId="0" borderId="5" xfId="0" applyNumberFormat="1" applyFont="1" applyBorder="1" applyAlignment="1">
      <alignment horizontal="center" wrapText="1"/>
    </xf>
    <xf numFmtId="169" fontId="5" fillId="0" borderId="5" xfId="0" applyNumberFormat="1" applyFont="1" applyBorder="1" applyAlignment="1">
      <alignment horizontal="center" wrapText="1"/>
    </xf>
    <xf numFmtId="169" fontId="4" fillId="0" borderId="1" xfId="0" applyNumberFormat="1" applyFont="1" applyBorder="1" applyAlignment="1">
      <alignment horizontal="left" wrapText="1"/>
    </xf>
    <xf numFmtId="169" fontId="5" fillId="0" borderId="9" xfId="0" applyNumberFormat="1" applyFont="1" applyBorder="1" applyAlignment="1">
      <alignment horizontal="center"/>
    </xf>
    <xf numFmtId="169" fontId="5" fillId="0" borderId="9" xfId="0" applyNumberFormat="1" applyFont="1" applyBorder="1" applyAlignment="1">
      <alignment wrapText="1"/>
    </xf>
    <xf numFmtId="169" fontId="5" fillId="0" borderId="1" xfId="0" applyNumberFormat="1" applyFont="1" applyBorder="1" applyAlignment="1">
      <alignment wrapText="1"/>
    </xf>
    <xf numFmtId="169" fontId="4" fillId="0" borderId="1" xfId="0" applyNumberFormat="1" applyFont="1" applyBorder="1" applyAlignment="1">
      <alignment horizontal="center"/>
    </xf>
    <xf numFmtId="169" fontId="4" fillId="0" borderId="1" xfId="0" applyNumberFormat="1" applyFont="1" applyBorder="1" applyAlignment="1">
      <alignment vertical="top" wrapText="1"/>
    </xf>
    <xf numFmtId="169" fontId="4" fillId="0" borderId="9" xfId="0" applyNumberFormat="1" applyFont="1" applyBorder="1" applyAlignment="1">
      <alignment horizontal="center"/>
    </xf>
    <xf numFmtId="169" fontId="4" fillId="0" borderId="9" xfId="0" applyNumberFormat="1" applyFont="1" applyBorder="1" applyAlignment="1">
      <alignment vertical="top" wrapText="1"/>
    </xf>
    <xf numFmtId="169" fontId="5" fillId="0" borderId="5" xfId="0" applyNumberFormat="1" applyFont="1" applyBorder="1" applyAlignment="1">
      <alignment horizontal="center"/>
    </xf>
    <xf numFmtId="169" fontId="5" fillId="0" borderId="5" xfId="0" applyNumberFormat="1" applyFont="1" applyBorder="1" applyAlignment="1">
      <alignment wrapText="1"/>
    </xf>
    <xf numFmtId="169" fontId="4" fillId="0" borderId="1" xfId="0" applyNumberFormat="1" applyFont="1" applyBorder="1" applyAlignment="1">
      <alignment wrapText="1"/>
    </xf>
    <xf numFmtId="169" fontId="4" fillId="0" borderId="9" xfId="0" applyNumberFormat="1" applyFont="1" applyBorder="1" applyAlignment="1">
      <alignment wrapText="1"/>
    </xf>
    <xf numFmtId="169" fontId="4" fillId="0" borderId="5" xfId="0" applyNumberFormat="1" applyFont="1" applyBorder="1" applyAlignment="1">
      <alignment horizontal="center"/>
    </xf>
    <xf numFmtId="169" fontId="4" fillId="0" borderId="5" xfId="0" applyNumberFormat="1" applyFont="1" applyBorder="1" applyAlignment="1">
      <alignment wrapText="1"/>
    </xf>
    <xf numFmtId="169" fontId="7" fillId="0" borderId="1" xfId="0" applyNumberFormat="1" applyFont="1" applyBorder="1" applyAlignment="1">
      <alignment horizontal="center"/>
    </xf>
    <xf numFmtId="169" fontId="5" fillId="0" borderId="1" xfId="0" applyNumberFormat="1" applyFont="1" applyBorder="1"/>
    <xf numFmtId="169" fontId="4" fillId="0" borderId="1" xfId="0" applyNumberFormat="1" applyFont="1" applyFill="1" applyBorder="1" applyAlignment="1">
      <alignment wrapText="1"/>
    </xf>
    <xf numFmtId="169" fontId="4" fillId="0" borderId="9" xfId="0" applyNumberFormat="1" applyFont="1" applyBorder="1" applyAlignment="1">
      <alignment horizontal="left" wrapText="1"/>
    </xf>
    <xf numFmtId="169" fontId="4" fillId="0" borderId="5" xfId="0" applyNumberFormat="1" applyFont="1" applyBorder="1" applyAlignment="1">
      <alignment horizontal="left" wrapText="1"/>
    </xf>
    <xf numFmtId="169" fontId="10" fillId="0" borderId="1" xfId="0" applyNumberFormat="1" applyFont="1" applyBorder="1" applyAlignment="1">
      <alignment horizontal="center"/>
    </xf>
    <xf numFmtId="169" fontId="10" fillId="0" borderId="1" xfId="0" applyNumberFormat="1" applyFont="1" applyBorder="1" applyAlignment="1">
      <alignment vertical="top" wrapText="1"/>
    </xf>
    <xf numFmtId="169" fontId="4" fillId="0" borderId="1" xfId="0" applyNumberFormat="1" applyFont="1" applyBorder="1" applyAlignment="1">
      <alignment horizontal="left" vertical="top" wrapText="1"/>
    </xf>
    <xf numFmtId="169" fontId="10" fillId="0" borderId="1" xfId="0" applyNumberFormat="1" applyFont="1" applyBorder="1" applyAlignment="1">
      <alignment horizontal="center" wrapText="1"/>
    </xf>
    <xf numFmtId="169" fontId="10" fillId="0" borderId="1" xfId="0" applyNumberFormat="1" applyFont="1" applyBorder="1" applyAlignment="1">
      <alignment horizontal="left" vertical="top" wrapText="1"/>
    </xf>
    <xf numFmtId="169" fontId="0" fillId="0" borderId="1" xfId="0" applyNumberFormat="1" applyBorder="1"/>
    <xf numFmtId="169" fontId="0" fillId="0" borderId="1" xfId="0" applyNumberFormat="1" applyBorder="1" applyAlignment="1"/>
    <xf numFmtId="169" fontId="5" fillId="0" borderId="1" xfId="0" applyNumberFormat="1" applyFont="1" applyBorder="1" applyAlignment="1"/>
    <xf numFmtId="169" fontId="4" fillId="0" borderId="19" xfId="0" applyNumberFormat="1" applyFont="1" applyBorder="1" applyAlignment="1">
      <alignment horizontal="center" wrapText="1"/>
    </xf>
    <xf numFmtId="169" fontId="4" fillId="0" borderId="19" xfId="0" applyNumberFormat="1" applyFont="1" applyBorder="1" applyAlignment="1">
      <alignment horizontal="left" vertical="top" wrapText="1"/>
    </xf>
    <xf numFmtId="169" fontId="4" fillId="0" borderId="5" xfId="0" applyNumberFormat="1" applyFont="1" applyBorder="1" applyAlignment="1">
      <alignment horizontal="left" vertical="top" wrapText="1"/>
    </xf>
    <xf numFmtId="169" fontId="15" fillId="0" borderId="1" xfId="0" applyNumberFormat="1" applyFont="1" applyBorder="1" applyAlignment="1">
      <alignment horizontal="center" wrapText="1"/>
    </xf>
    <xf numFmtId="169" fontId="15" fillId="0" borderId="1" xfId="0" applyNumberFormat="1" applyFont="1" applyBorder="1" applyAlignment="1">
      <alignment horizontal="left" vertical="top" wrapText="1"/>
    </xf>
    <xf numFmtId="169" fontId="4" fillId="0" borderId="9" xfId="0" applyNumberFormat="1" applyFont="1" applyBorder="1" applyAlignment="1">
      <alignment horizontal="left" vertical="top" wrapText="1"/>
    </xf>
    <xf numFmtId="169" fontId="4" fillId="0" borderId="5" xfId="0" applyNumberFormat="1" applyFont="1" applyBorder="1"/>
    <xf numFmtId="169" fontId="15" fillId="0" borderId="1" xfId="0" applyNumberFormat="1" applyFont="1" applyBorder="1" applyAlignment="1">
      <alignment vertical="center"/>
    </xf>
    <xf numFmtId="169" fontId="15" fillId="0" borderId="1" xfId="0" applyNumberFormat="1" applyFont="1" applyBorder="1" applyAlignment="1">
      <alignment horizontal="center" vertical="center" wrapText="1"/>
    </xf>
    <xf numFmtId="169" fontId="15" fillId="0" borderId="0" xfId="0" applyNumberFormat="1" applyFont="1"/>
    <xf numFmtId="169" fontId="15" fillId="0" borderId="0" xfId="0" applyNumberFormat="1" applyFont="1" applyAlignment="1"/>
    <xf numFmtId="169" fontId="0" fillId="0" borderId="0" xfId="0" applyNumberFormat="1"/>
    <xf numFmtId="169" fontId="0" fillId="0" borderId="0" xfId="0" applyNumberFormat="1" applyAlignment="1"/>
    <xf numFmtId="49" fontId="3" fillId="0" borderId="2" xfId="0" applyNumberFormat="1" applyFont="1" applyBorder="1" applyAlignment="1">
      <alignment horizontal="center" vertical="center" wrapText="1"/>
    </xf>
    <xf numFmtId="49" fontId="3" fillId="0" borderId="2" xfId="0" applyNumberFormat="1" applyFont="1" applyBorder="1" applyAlignment="1">
      <alignment vertical="top" wrapText="1"/>
    </xf>
    <xf numFmtId="49" fontId="4" fillId="0" borderId="1" xfId="0" applyNumberFormat="1" applyFont="1" applyBorder="1" applyAlignment="1">
      <alignment horizontal="center" wrapText="1"/>
    </xf>
    <xf numFmtId="49" fontId="5" fillId="0" borderId="1" xfId="0" applyNumberFormat="1" applyFont="1" applyBorder="1" applyAlignment="1">
      <alignment horizontal="center"/>
    </xf>
    <xf numFmtId="49" fontId="4" fillId="0" borderId="9" xfId="0" applyNumberFormat="1" applyFont="1" applyBorder="1" applyAlignment="1">
      <alignment horizontal="center" wrapText="1"/>
    </xf>
    <xf numFmtId="49" fontId="4" fillId="0" borderId="5" xfId="0" applyNumberFormat="1" applyFont="1" applyBorder="1" applyAlignment="1">
      <alignment horizontal="center" wrapText="1"/>
    </xf>
    <xf numFmtId="49" fontId="4" fillId="0" borderId="1" xfId="0" applyNumberFormat="1" applyFont="1" applyBorder="1" applyAlignment="1">
      <alignment horizontal="left" vertical="top" wrapText="1"/>
    </xf>
    <xf numFmtId="49" fontId="4" fillId="0" borderId="9" xfId="0" applyNumberFormat="1" applyFont="1" applyBorder="1" applyAlignment="1">
      <alignment horizontal="center" vertical="center" wrapText="1"/>
    </xf>
    <xf numFmtId="49" fontId="5" fillId="0" borderId="5" xfId="0" applyNumberFormat="1" applyFont="1" applyBorder="1" applyAlignment="1">
      <alignment horizontal="center" wrapText="1"/>
    </xf>
    <xf numFmtId="49" fontId="4" fillId="0" borderId="5" xfId="0" applyNumberFormat="1"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9"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center" wrapText="1"/>
    </xf>
    <xf numFmtId="49" fontId="10" fillId="0" borderId="1" xfId="0" applyNumberFormat="1" applyFont="1" applyBorder="1" applyAlignment="1">
      <alignment horizontal="left" vertical="top" wrapText="1"/>
    </xf>
    <xf numFmtId="49" fontId="4" fillId="0" borderId="16" xfId="0" applyNumberFormat="1" applyFont="1" applyFill="1" applyBorder="1" applyAlignment="1">
      <alignment horizontal="center" wrapText="1"/>
    </xf>
    <xf numFmtId="49" fontId="4" fillId="0" borderId="16"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4" fillId="0" borderId="1" xfId="0" applyNumberFormat="1" applyFont="1" applyFill="1" applyBorder="1" applyAlignment="1">
      <alignment horizontal="center" wrapText="1"/>
    </xf>
    <xf numFmtId="49" fontId="4" fillId="0" borderId="19" xfId="0" applyNumberFormat="1" applyFont="1" applyBorder="1" applyAlignment="1">
      <alignment horizontal="center" wrapText="1"/>
    </xf>
    <xf numFmtId="49" fontId="15" fillId="0" borderId="1" xfId="0" applyNumberFormat="1" applyFont="1" applyBorder="1" applyAlignment="1">
      <alignment horizontal="center" wrapText="1"/>
    </xf>
    <xf numFmtId="49" fontId="15" fillId="0" borderId="1" xfId="0" applyNumberFormat="1" applyFont="1" applyBorder="1" applyAlignment="1">
      <alignment horizontal="left" vertical="top" wrapText="1"/>
    </xf>
    <xf numFmtId="171" fontId="5" fillId="0" borderId="1" xfId="0" applyNumberFormat="1" applyFont="1" applyBorder="1" applyAlignment="1">
      <alignment horizontal="center" vertical="center" wrapText="1"/>
    </xf>
    <xf numFmtId="171" fontId="5" fillId="0" borderId="9" xfId="0" applyNumberFormat="1" applyFont="1" applyBorder="1" applyAlignment="1">
      <alignment horizontal="center" vertical="center" wrapText="1"/>
    </xf>
    <xf numFmtId="171" fontId="5" fillId="0" borderId="5" xfId="0" applyNumberFormat="1" applyFont="1" applyBorder="1" applyAlignment="1">
      <alignment horizontal="center" vertical="center" wrapText="1"/>
    </xf>
    <xf numFmtId="171" fontId="4" fillId="0" borderId="1" xfId="0" applyNumberFormat="1" applyFont="1" applyBorder="1" applyAlignment="1">
      <alignment horizontal="center" vertical="center" wrapText="1"/>
    </xf>
    <xf numFmtId="171" fontId="5" fillId="0" borderId="9" xfId="0" applyNumberFormat="1" applyFont="1" applyBorder="1" applyAlignment="1">
      <alignment wrapText="1"/>
    </xf>
    <xf numFmtId="171" fontId="5" fillId="0" borderId="1" xfId="0" applyNumberFormat="1" applyFont="1" applyBorder="1" applyAlignment="1">
      <alignment wrapText="1"/>
    </xf>
    <xf numFmtId="171" fontId="4" fillId="0" borderId="1" xfId="0" applyNumberFormat="1" applyFont="1" applyBorder="1" applyAlignment="1">
      <alignment wrapText="1"/>
    </xf>
    <xf numFmtId="171" fontId="4" fillId="0" borderId="9" xfId="0" applyNumberFormat="1" applyFont="1" applyBorder="1" applyAlignment="1">
      <alignment wrapText="1"/>
    </xf>
    <xf numFmtId="171" fontId="5" fillId="0" borderId="5" xfId="0" applyNumberFormat="1" applyFont="1" applyBorder="1" applyAlignment="1">
      <alignment wrapText="1"/>
    </xf>
    <xf numFmtId="171" fontId="4" fillId="0" borderId="5" xfId="0" applyNumberFormat="1" applyFont="1" applyBorder="1" applyAlignment="1">
      <alignment wrapText="1"/>
    </xf>
    <xf numFmtId="171" fontId="5" fillId="0" borderId="1" xfId="0" applyNumberFormat="1" applyFont="1" applyBorder="1"/>
    <xf numFmtId="171" fontId="4" fillId="0" borderId="9" xfId="0" applyNumberFormat="1" applyFont="1" applyBorder="1" applyAlignment="1">
      <alignment horizontal="center" vertical="center" wrapText="1"/>
    </xf>
    <xf numFmtId="171" fontId="4" fillId="0" borderId="5" xfId="0" applyNumberFormat="1" applyFont="1" applyBorder="1" applyAlignment="1">
      <alignment horizontal="center" vertical="center" wrapText="1"/>
    </xf>
    <xf numFmtId="171" fontId="10" fillId="0" borderId="1" xfId="0" applyNumberFormat="1" applyFont="1" applyBorder="1" applyAlignment="1">
      <alignment wrapText="1"/>
    </xf>
    <xf numFmtId="171" fontId="10" fillId="0" borderId="1" xfId="0" applyNumberFormat="1" applyFont="1" applyBorder="1" applyAlignment="1">
      <alignment horizontal="center" vertical="center" wrapText="1"/>
    </xf>
    <xf numFmtId="171" fontId="0" fillId="0" borderId="0" xfId="0" applyNumberFormat="1"/>
    <xf numFmtId="171" fontId="4" fillId="0" borderId="19" xfId="0" applyNumberFormat="1" applyFont="1" applyBorder="1" applyAlignment="1">
      <alignment horizontal="center" vertical="center" wrapText="1"/>
    </xf>
    <xf numFmtId="171" fontId="15" fillId="0" borderId="1" xfId="0" applyNumberFormat="1" applyFont="1" applyBorder="1" applyAlignment="1">
      <alignment horizontal="center" vertical="center" wrapText="1"/>
    </xf>
    <xf numFmtId="171" fontId="15" fillId="0" borderId="1" xfId="0" applyNumberFormat="1" applyFont="1" applyBorder="1" applyAlignment="1">
      <alignment horizontal="center" vertical="center"/>
    </xf>
    <xf numFmtId="171" fontId="15" fillId="0" borderId="0" xfId="0" applyNumberFormat="1" applyFont="1"/>
    <xf numFmtId="171" fontId="5" fillId="0" borderId="9" xfId="0" applyNumberFormat="1" applyFont="1" applyBorder="1"/>
    <xf numFmtId="171" fontId="4" fillId="0" borderId="1" xfId="0" applyNumberFormat="1" applyFont="1" applyBorder="1"/>
    <xf numFmtId="171" fontId="4" fillId="0" borderId="9" xfId="0" applyNumberFormat="1" applyFont="1" applyBorder="1"/>
    <xf numFmtId="171" fontId="5" fillId="0" borderId="5" xfId="0" applyNumberFormat="1" applyFont="1" applyBorder="1"/>
    <xf numFmtId="171" fontId="4" fillId="0" borderId="5" xfId="0" applyNumberFormat="1" applyFont="1" applyBorder="1"/>
    <xf numFmtId="171" fontId="4" fillId="0" borderId="0" xfId="0" applyNumberFormat="1" applyFont="1" applyBorder="1"/>
    <xf numFmtId="171" fontId="10" fillId="0" borderId="1" xfId="0" applyNumberFormat="1" applyFont="1" applyBorder="1"/>
    <xf numFmtId="49" fontId="3" fillId="0" borderId="16" xfId="0" applyNumberFormat="1" applyFont="1" applyBorder="1" applyAlignment="1">
      <alignment vertical="center" wrapText="1"/>
    </xf>
    <xf numFmtId="49" fontId="3" fillId="0" borderId="5"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2" xfId="0" applyNumberFormat="1" applyFont="1" applyBorder="1" applyAlignment="1">
      <alignment wrapText="1"/>
    </xf>
    <xf numFmtId="49" fontId="3" fillId="0" borderId="5" xfId="0" applyNumberFormat="1" applyFont="1" applyBorder="1" applyAlignment="1">
      <alignment vertical="center" wrapText="1"/>
    </xf>
    <xf numFmtId="49" fontId="0" fillId="0" borderId="0" xfId="0" applyNumberFormat="1" applyAlignment="1">
      <alignment vertical="center"/>
    </xf>
    <xf numFmtId="49" fontId="3" fillId="2" borderId="3" xfId="0" applyNumberFormat="1" applyFont="1" applyFill="1" applyBorder="1" applyAlignment="1">
      <alignment horizontal="center" vertical="center" wrapText="1"/>
    </xf>
    <xf numFmtId="49" fontId="3" fillId="2" borderId="6" xfId="0" applyNumberFormat="1" applyFont="1" applyFill="1" applyBorder="1" applyAlignment="1">
      <alignment horizontal="center" wrapText="1"/>
    </xf>
    <xf numFmtId="49" fontId="3" fillId="2" borderId="8" xfId="0" applyNumberFormat="1" applyFont="1" applyFill="1" applyBorder="1" applyAlignment="1">
      <alignment horizontal="center" wrapText="1"/>
    </xf>
    <xf numFmtId="49" fontId="3" fillId="2" borderId="0" xfId="0" applyNumberFormat="1" applyFont="1" applyFill="1" applyBorder="1" applyAlignment="1">
      <alignment horizontal="center" wrapText="1"/>
    </xf>
    <xf numFmtId="49" fontId="3" fillId="2" borderId="12" xfId="0" applyNumberFormat="1" applyFont="1" applyFill="1" applyBorder="1" applyAlignment="1">
      <alignment horizontal="center" wrapText="1"/>
    </xf>
    <xf numFmtId="49" fontId="8" fillId="2" borderId="0" xfId="0" applyNumberFormat="1" applyFont="1" applyFill="1" applyBorder="1" applyAlignment="1">
      <alignment horizontal="center" wrapText="1"/>
    </xf>
    <xf numFmtId="49" fontId="3" fillId="2" borderId="0" xfId="0" applyNumberFormat="1" applyFont="1" applyFill="1" applyBorder="1" applyAlignment="1">
      <alignment horizontal="center"/>
    </xf>
    <xf numFmtId="49" fontId="13" fillId="2" borderId="0" xfId="0" applyNumberFormat="1" applyFont="1" applyFill="1" applyBorder="1" applyAlignment="1">
      <alignment horizontal="center" wrapText="1"/>
    </xf>
    <xf numFmtId="49" fontId="3" fillId="5" borderId="6" xfId="0" applyNumberFormat="1" applyFont="1" applyFill="1" applyBorder="1" applyAlignment="1">
      <alignment horizontal="center"/>
    </xf>
    <xf numFmtId="49" fontId="3" fillId="2" borderId="0" xfId="0" applyNumberFormat="1" applyFont="1" applyFill="1" applyAlignment="1">
      <alignment horizontal="center" wrapText="1"/>
    </xf>
    <xf numFmtId="49" fontId="15" fillId="2" borderId="0" xfId="0" applyNumberFormat="1" applyFont="1" applyFill="1" applyBorder="1" applyAlignment="1">
      <alignment horizontal="center" wrapText="1"/>
    </xf>
    <xf numFmtId="49" fontId="4" fillId="0" borderId="1" xfId="0" applyNumberFormat="1" applyFont="1" applyBorder="1" applyAlignment="1">
      <alignment wrapText="1"/>
    </xf>
    <xf numFmtId="49" fontId="4" fillId="0" borderId="0" xfId="0" applyNumberFormat="1" applyFont="1" applyBorder="1" applyAlignment="1">
      <alignment horizontal="left" vertical="top" wrapText="1"/>
    </xf>
    <xf numFmtId="49" fontId="5" fillId="0" borderId="0" xfId="0" applyNumberFormat="1" applyFont="1" applyAlignment="1">
      <alignment horizontal="left" vertical="top" wrapText="1"/>
    </xf>
    <xf numFmtId="49" fontId="5" fillId="0" borderId="5" xfId="0" applyNumberFormat="1" applyFont="1" applyBorder="1" applyAlignment="1">
      <alignment horizontal="left" vertical="top" wrapText="1"/>
    </xf>
    <xf numFmtId="49" fontId="15" fillId="0" borderId="0" xfId="0" applyNumberFormat="1" applyFont="1" applyAlignment="1">
      <alignment horizontal="left" vertical="top" wrapText="1"/>
    </xf>
    <xf numFmtId="49" fontId="0" fillId="0" borderId="0" xfId="0" applyNumberFormat="1" applyAlignment="1">
      <alignment horizontal="left" vertical="top" wrapText="1"/>
    </xf>
    <xf numFmtId="1" fontId="4" fillId="0" borderId="5" xfId="0" applyNumberFormat="1" applyFont="1" applyBorder="1" applyAlignment="1">
      <alignment horizontal="center" wrapText="1"/>
    </xf>
    <xf numFmtId="1" fontId="4" fillId="0" borderId="10" xfId="0" applyNumberFormat="1" applyFont="1" applyBorder="1" applyAlignment="1">
      <alignment horizontal="center" vertical="top" wrapText="1"/>
    </xf>
    <xf numFmtId="1" fontId="4" fillId="0" borderId="11" xfId="0" applyNumberFormat="1" applyFont="1" applyBorder="1" applyAlignment="1">
      <alignment horizontal="center" vertical="top" wrapText="1"/>
    </xf>
    <xf numFmtId="1" fontId="4" fillId="0" borderId="9" xfId="0" applyNumberFormat="1" applyFont="1" applyBorder="1" applyAlignment="1">
      <alignment horizontal="center" wrapText="1"/>
    </xf>
    <xf numFmtId="1" fontId="14" fillId="0" borderId="11" xfId="0" applyNumberFormat="1" applyFont="1" applyBorder="1" applyAlignment="1">
      <alignment horizontal="center" vertical="top" wrapText="1"/>
    </xf>
    <xf numFmtId="1" fontId="14" fillId="0" borderId="1" xfId="0" applyNumberFormat="1" applyFont="1" applyBorder="1" applyAlignment="1">
      <alignment horizontal="center" vertical="top" wrapText="1"/>
    </xf>
    <xf numFmtId="1" fontId="10" fillId="0" borderId="1" xfId="0" applyNumberFormat="1" applyFont="1" applyBorder="1" applyAlignment="1">
      <alignment horizontal="center" wrapText="1"/>
    </xf>
    <xf numFmtId="1" fontId="14" fillId="0" borderId="4" xfId="0" applyNumberFormat="1" applyFont="1" applyBorder="1" applyAlignment="1">
      <alignment horizontal="center" vertical="top" wrapText="1"/>
    </xf>
    <xf numFmtId="1" fontId="14" fillId="0" borderId="9" xfId="0" applyNumberFormat="1" applyFont="1" applyBorder="1" applyAlignment="1">
      <alignment horizontal="center" vertical="top" wrapText="1"/>
    </xf>
    <xf numFmtId="1" fontId="14" fillId="0" borderId="5" xfId="0" applyNumberFormat="1" applyFont="1" applyBorder="1" applyAlignment="1">
      <alignment horizontal="center" wrapText="1"/>
    </xf>
    <xf numFmtId="1" fontId="14" fillId="0" borderId="1" xfId="0" applyNumberFormat="1" applyFont="1" applyBorder="1" applyAlignment="1">
      <alignment horizontal="center" wrapText="1"/>
    </xf>
    <xf numFmtId="1" fontId="4" fillId="0" borderId="4" xfId="0" applyNumberFormat="1" applyFont="1" applyBorder="1" applyAlignment="1">
      <alignment horizontal="center" wrapText="1"/>
    </xf>
    <xf numFmtId="1" fontId="0" fillId="0" borderId="1" xfId="0" applyNumberFormat="1" applyFont="1" applyBorder="1" applyAlignment="1">
      <alignment horizontal="center" vertical="center" wrapText="1"/>
    </xf>
    <xf numFmtId="1" fontId="4" fillId="0" borderId="19" xfId="0" applyNumberFormat="1" applyFont="1" applyBorder="1" applyAlignment="1">
      <alignment horizontal="center" wrapText="1"/>
    </xf>
    <xf numFmtId="1" fontId="40" fillId="0" borderId="1" xfId="0" applyNumberFormat="1" applyFont="1" applyBorder="1" applyAlignment="1">
      <alignment horizontal="center" wrapText="1"/>
    </xf>
    <xf numFmtId="1" fontId="4" fillId="5" borderId="5" xfId="0" applyNumberFormat="1" applyFont="1" applyFill="1" applyBorder="1" applyAlignment="1">
      <alignment horizontal="center"/>
    </xf>
    <xf numFmtId="1" fontId="4" fillId="0" borderId="3" xfId="0" applyNumberFormat="1" applyFont="1" applyBorder="1" applyAlignment="1">
      <alignment horizontal="center" wrapText="1"/>
    </xf>
    <xf numFmtId="1" fontId="0" fillId="0" borderId="0" xfId="0" applyNumberFormat="1" applyFont="1" applyAlignment="1">
      <alignment horizontal="center"/>
    </xf>
    <xf numFmtId="1" fontId="3" fillId="13" borderId="1" xfId="0" applyNumberFormat="1" applyFont="1" applyFill="1" applyBorder="1" applyAlignment="1">
      <alignment horizontal="center" vertical="center" wrapText="1"/>
    </xf>
    <xf numFmtId="1" fontId="3" fillId="13" borderId="1" xfId="0" applyNumberFormat="1" applyFont="1" applyFill="1" applyBorder="1" applyAlignment="1">
      <alignment horizontal="center" vertical="center"/>
    </xf>
    <xf numFmtId="1" fontId="3" fillId="14" borderId="1" xfId="0" applyNumberFormat="1" applyFont="1" applyFill="1" applyBorder="1" applyAlignment="1">
      <alignment horizontal="center" vertical="center" wrapText="1"/>
    </xf>
    <xf numFmtId="1" fontId="3" fillId="14" borderId="1" xfId="0" applyNumberFormat="1" applyFont="1" applyFill="1" applyBorder="1" applyAlignment="1">
      <alignment horizontal="center" vertical="center"/>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47">
    <dxf>
      <font>
        <b val="0"/>
        <i val="0"/>
        <strike val="0"/>
        <condense val="0"/>
        <extend val="0"/>
        <outline val="0"/>
        <shadow val="0"/>
        <u val="none"/>
        <vertAlign val="baseline"/>
        <sz val="10"/>
        <color rgb="FF000000"/>
        <name val="Arial"/>
        <scheme val="none"/>
      </font>
      <numFmt numFmtId="1" formatCode="0"/>
      <alignment horizontal="center" vertical="bottom" textRotation="0" wrapText="1" indent="0" relativeIndent="0" justifyLastLine="0" shrinkToFit="0" mergeCell="0" readingOrder="0"/>
      <border diagonalUp="0" diagonalDown="0" outline="0">
        <left style="thin">
          <color auto="1"/>
        </left>
        <right style="thin">
          <color auto="1"/>
        </right>
        <top style="thin">
          <color auto="1"/>
        </top>
        <bottom style="thin">
          <color auto="1"/>
        </bottom>
      </border>
    </dxf>
    <dxf>
      <font>
        <b val="0"/>
        <i/>
        <strike val="0"/>
        <condense val="0"/>
        <extend val="0"/>
        <outline val="0"/>
        <shadow val="0"/>
        <u val="none"/>
        <vertAlign val="baseline"/>
        <sz val="10"/>
        <color rgb="FF000000"/>
        <name val="Arial"/>
        <scheme val="none"/>
      </font>
      <numFmt numFmtId="164" formatCode="[$-2C0A]dd/mm/yyyy"/>
      <alignment horizontal="center" vertical="top" textRotation="0" wrapText="1" indent="0" relativeIndent="0" justifyLastLine="0" shrinkToFit="0" mergeCell="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10"/>
        <color rgb="FF000000"/>
        <name val="Arial"/>
        <scheme val="none"/>
      </font>
      <numFmt numFmtId="1" formatCode="0"/>
      <alignment horizontal="center" vertical="bottom" textRotation="0" wrapText="1" indent="0" relativeIndent="0" justifyLastLine="0" shrinkToFit="0" mergeCell="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rgb="FF000000"/>
        <name val="Arial"/>
        <scheme val="none"/>
      </font>
      <numFmt numFmtId="30" formatCode="@"/>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71" formatCode="dd/mm/yy;@"/>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71" formatCode="dd/mm/yy;@"/>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69" formatCode="&quot;$&quot;#,##0.00"/>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69" formatCode="&quot;$&quot;#,##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fill>
        <patternFill patternType="gray125">
          <fgColor rgb="FFFF0000"/>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rgb="FF000000"/>
        <name val="Arial"/>
        <scheme val="none"/>
      </font>
      <numFmt numFmtId="30" formatCode="@"/>
      <fill>
        <patternFill patternType="solid">
          <fgColor rgb="FFC0C0C0"/>
          <bgColor rgb="FFAFD095"/>
        </patternFill>
      </fill>
      <alignment horizontal="center" vertical="bottom"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AU136" totalsRowShown="0">
  <autoFilter ref="A1:AU136"/>
  <tableColumns count="47">
    <tableColumn id="1" name="MES" dataDxfId="46"/>
    <tableColumn id="2" name="LEGAJO" dataDxfId="2"/>
    <tableColumn id="3" name="EXPEDIENTE" dataDxfId="0"/>
    <tableColumn id="4" name="INGRESO" dataDxfId="1"/>
    <tableColumn id="5" name="Plano de Mensura" dataDxfId="45"/>
    <tableColumn id="6" name="Partida Provincial" dataDxfId="44"/>
    <tableColumn id="7" name="Partida Municipal" dataDxfId="43"/>
    <tableColumn id="8" name="Concesión" dataDxfId="42"/>
    <tableColumn id="9" name="Ex-Quinta" dataDxfId="41"/>
    <tableColumn id="10" name="Manzana" dataDxfId="40"/>
    <tableColumn id="11" name="Parcela" dataDxfId="39"/>
    <tableColumn id="12" name="Zonificación" dataDxfId="38"/>
    <tableColumn id="13" name="Ubicación" dataDxfId="37"/>
    <tableColumn id="14" name="Propietario" dataDxfId="36"/>
    <tableColumn id="15" name="Nombre del Establecimiento y/o empresa" dataDxfId="35"/>
    <tableColumn id="16" name="Proyecto" dataDxfId="34"/>
    <tableColumn id="17" name="Dirección de obra" dataDxfId="33"/>
    <tableColumn id="18" name="Estructura" dataDxfId="32"/>
    <tableColumn id="19" name="Constructor" dataDxfId="31"/>
    <tableColumn id="20" name="RELEVAMIENTO o existente" dataDxfId="30"/>
    <tableColumn id="21" name="A CONTRUIR / OBRA NUEVA" dataDxfId="29"/>
    <tableColumn id="22" name="AMPLIACION de obra existente" dataDxfId="28"/>
    <tableColumn id="23" name="PROYECTADO (no iniciado)" dataDxfId="27"/>
    <tableColumn id="24" name="USO" dataDxfId="26"/>
    <tableColumn id="25" name="Cantidad de Habitaciones (dormitorios) Existente" dataDxfId="25"/>
    <tableColumn id="26" name="Cantidad de Habitaciones (dormitorios) Nuevas" dataDxfId="24"/>
    <tableColumn id="27" name="Locales de 1º, Habitables Existente" dataDxfId="23"/>
    <tableColumn id="28" name="Locales de 1º, Habitables Nuevos" dataDxfId="22"/>
    <tableColumn id="29" name="N° de Plazas Existente" dataDxfId="21"/>
    <tableColumn id="30" name="N° de Plazas Nuevas" dataDxfId="20"/>
    <tableColumn id="31" name="M² existentes (con antecedente) Vivienda" dataDxfId="19"/>
    <tableColumn id="32" name="M² existentes (con antecedente) Local" dataDxfId="18"/>
    <tableColumn id="33" name="M² existentes (relevados) Vivienda" dataDxfId="17"/>
    <tableColumn id="34" name="M² existentes (relevados) Local" dataDxfId="16"/>
    <tableColumn id="35" name="M²     (a construir Vivienda" dataDxfId="15"/>
    <tableColumn id="36" name="M²     (a construir Local" dataDxfId="14"/>
    <tableColumn id="37" name="Terreno" dataDxfId="13"/>
    <tableColumn id="38" name="F. O. S." dataDxfId="12"/>
    <tableColumn id="39" name="F. O. T." dataDxfId="11"/>
    <tableColumn id="40" name="CATEGORIA" dataDxfId="10"/>
    <tableColumn id="41" name="Monto de la Inversión (estimado y/o declarado)" dataDxfId="9"/>
    <tableColumn id="42" name="Derechos de edificación" dataDxfId="8"/>
    <tableColumn id="43" name="TITULO PROFESIONAL" dataDxfId="7"/>
    <tableColumn id="44" name="Observaciones" dataDxfId="6"/>
    <tableColumn id="45" name="VISADO" dataDxfId="5"/>
    <tableColumn id="46" name="FINAL OBRA" dataDxfId="4"/>
    <tableColumn id="47" name="AVANCE DE OBRA" dataDxfId="3"/>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V153"/>
  <sheetViews>
    <sheetView tabSelected="1" workbookViewId="0">
      <selection activeCell="D6" sqref="D6"/>
    </sheetView>
  </sheetViews>
  <sheetFormatPr baseColWidth="10" defaultColWidth="9" defaultRowHeight="14.25"/>
  <cols>
    <col min="1" max="1" width="9.75" style="158" bestFit="1" customWidth="1"/>
    <col min="2" max="2" width="9.25" style="135" customWidth="1"/>
    <col min="3" max="3" width="12.75" style="401" customWidth="1"/>
    <col min="4" max="4" width="11.375" bestFit="1" customWidth="1"/>
    <col min="5" max="5" width="17.125" style="145" customWidth="1"/>
    <col min="6" max="6" width="17" style="145" customWidth="1"/>
    <col min="7" max="7" width="16.75" style="145" customWidth="1"/>
    <col min="8" max="8" width="11" style="145" customWidth="1"/>
    <col min="9" max="9" width="10.5" style="145" customWidth="1"/>
    <col min="10" max="10" width="10" style="145" customWidth="1"/>
    <col min="11" max="11" width="8.875" style="145" customWidth="1"/>
    <col min="12" max="12" width="12.375" style="158" customWidth="1"/>
    <col min="13" max="13" width="11.25" style="158" customWidth="1"/>
    <col min="14" max="14" width="11.875" style="158" customWidth="1"/>
    <col min="15" max="15" width="32.625" style="158" customWidth="1"/>
    <col min="16" max="16" width="11.25" style="158" customWidth="1"/>
    <col min="17" max="17" width="16.875" style="158" customWidth="1"/>
    <col min="18" max="18" width="10.625" style="158" customWidth="1"/>
    <col min="19" max="19" width="11.75" style="158" customWidth="1"/>
    <col min="20" max="20" width="24.625" style="145" customWidth="1"/>
    <col min="21" max="21" width="24.875" style="145" customWidth="1"/>
    <col min="22" max="22" width="27.375" style="145" customWidth="1"/>
    <col min="23" max="23" width="24.25" style="145" customWidth="1"/>
    <col min="24" max="24" width="10" style="158" customWidth="1"/>
    <col min="25" max="25" width="41.375" style="145" customWidth="1"/>
    <col min="26" max="26" width="39.875" style="145" customWidth="1"/>
    <col min="27" max="27" width="30.5" style="145" customWidth="1"/>
    <col min="28" max="28" width="29" style="145" customWidth="1"/>
    <col min="29" max="29" width="20.5" style="145" customWidth="1"/>
    <col min="30" max="30" width="19" style="145" customWidth="1"/>
    <col min="31" max="31" width="35.375" style="262" customWidth="1"/>
    <col min="32" max="32" width="32.75" style="262" customWidth="1"/>
    <col min="33" max="33" width="29.875" style="262" customWidth="1"/>
    <col min="34" max="34" width="27.25" style="262" customWidth="1"/>
    <col min="35" max="35" width="23.5" style="262" customWidth="1"/>
    <col min="36" max="36" width="20.875" style="262" customWidth="1"/>
    <col min="37" max="37" width="9" style="262" customWidth="1"/>
    <col min="38" max="38" width="8.625" style="262" customWidth="1"/>
    <col min="39" max="39" width="8.5" style="262" customWidth="1"/>
    <col min="40" max="40" width="12.25" style="262" customWidth="1"/>
    <col min="41" max="41" width="40" style="309" customWidth="1"/>
    <col min="42" max="42" width="21.875" style="310" customWidth="1"/>
    <col min="43" max="43" width="20.75" style="158" customWidth="1"/>
    <col min="44" max="44" width="47.5" customWidth="1"/>
    <col min="45" max="45" width="10.75" style="349" customWidth="1"/>
    <col min="46" max="46" width="12.625" style="349" customWidth="1"/>
    <col min="47" max="47" width="17.125" style="383" customWidth="1"/>
    <col min="48" max="1025" width="6.625" customWidth="1"/>
  </cols>
  <sheetData>
    <row r="1" spans="1:256" s="366" customFormat="1" ht="25.5">
      <c r="A1" s="362" t="s">
        <v>804</v>
      </c>
      <c r="B1" s="362" t="s">
        <v>0</v>
      </c>
      <c r="C1" s="320" t="s">
        <v>1</v>
      </c>
      <c r="D1" s="362" t="s">
        <v>2</v>
      </c>
      <c r="E1" s="146" t="s">
        <v>3</v>
      </c>
      <c r="F1" s="146" t="s">
        <v>4</v>
      </c>
      <c r="G1" s="146" t="s">
        <v>5</v>
      </c>
      <c r="H1" s="146" t="s">
        <v>6</v>
      </c>
      <c r="I1" s="146" t="s">
        <v>7</v>
      </c>
      <c r="J1" s="146" t="s">
        <v>8</v>
      </c>
      <c r="K1" s="146" t="s">
        <v>9</v>
      </c>
      <c r="L1" s="146" t="s">
        <v>10</v>
      </c>
      <c r="M1" s="146" t="s">
        <v>11</v>
      </c>
      <c r="N1" s="146" t="s">
        <v>12</v>
      </c>
      <c r="O1" s="147" t="s">
        <v>13</v>
      </c>
      <c r="P1" s="146" t="s">
        <v>14</v>
      </c>
      <c r="Q1" s="146" t="s">
        <v>15</v>
      </c>
      <c r="R1" s="146" t="s">
        <v>16</v>
      </c>
      <c r="S1" s="146" t="s">
        <v>17</v>
      </c>
      <c r="T1" s="146" t="s">
        <v>18</v>
      </c>
      <c r="U1" s="146" t="s">
        <v>19</v>
      </c>
      <c r="V1" s="146" t="s">
        <v>20</v>
      </c>
      <c r="W1" s="146" t="s">
        <v>21</v>
      </c>
      <c r="X1" s="146" t="s">
        <v>802</v>
      </c>
      <c r="Y1" s="363" t="s">
        <v>788</v>
      </c>
      <c r="Z1" s="363" t="s">
        <v>789</v>
      </c>
      <c r="AA1" s="363" t="s">
        <v>790</v>
      </c>
      <c r="AB1" s="363" t="s">
        <v>791</v>
      </c>
      <c r="AC1" s="363" t="s">
        <v>792</v>
      </c>
      <c r="AD1" s="363" t="s">
        <v>793</v>
      </c>
      <c r="AE1" s="363" t="s">
        <v>794</v>
      </c>
      <c r="AF1" s="363" t="s">
        <v>795</v>
      </c>
      <c r="AG1" s="363" t="s">
        <v>796</v>
      </c>
      <c r="AH1" s="363" t="s">
        <v>797</v>
      </c>
      <c r="AI1" s="363" t="s">
        <v>798</v>
      </c>
      <c r="AJ1" s="363" t="s">
        <v>799</v>
      </c>
      <c r="AK1" s="361" t="s">
        <v>22</v>
      </c>
      <c r="AL1" s="361" t="s">
        <v>23</v>
      </c>
      <c r="AM1" s="361" t="s">
        <v>24</v>
      </c>
      <c r="AN1" s="361" t="s">
        <v>25</v>
      </c>
      <c r="AO1" s="361" t="s">
        <v>26</v>
      </c>
      <c r="AP1" s="364" t="s">
        <v>27</v>
      </c>
      <c r="AQ1" s="311" t="s">
        <v>803</v>
      </c>
      <c r="AR1" s="312" t="s">
        <v>28</v>
      </c>
      <c r="AS1" s="365" t="s">
        <v>800</v>
      </c>
      <c r="AT1" s="365" t="s">
        <v>801</v>
      </c>
      <c r="AU1" s="361" t="s">
        <v>29</v>
      </c>
    </row>
    <row r="2" spans="1:256" s="9" customFormat="1" ht="63.75">
      <c r="A2" s="367" t="s">
        <v>30</v>
      </c>
      <c r="B2" s="404">
        <v>1</v>
      </c>
      <c r="C2" s="109">
        <v>517399</v>
      </c>
      <c r="D2" s="1">
        <v>43832</v>
      </c>
      <c r="E2" s="3">
        <v>52048</v>
      </c>
      <c r="F2" s="3">
        <v>161819</v>
      </c>
      <c r="G2" s="3">
        <v>9739</v>
      </c>
      <c r="H2" s="3"/>
      <c r="I2" s="3">
        <v>29</v>
      </c>
      <c r="J2" s="3">
        <v>341</v>
      </c>
      <c r="K2" s="3">
        <v>6</v>
      </c>
      <c r="L2" s="148" t="s">
        <v>31</v>
      </c>
      <c r="M2" s="148" t="s">
        <v>32</v>
      </c>
      <c r="N2" s="148" t="s">
        <v>33</v>
      </c>
      <c r="O2" s="148"/>
      <c r="P2" s="148" t="s">
        <v>34</v>
      </c>
      <c r="Q2" s="148"/>
      <c r="R2" s="148"/>
      <c r="S2" s="148"/>
      <c r="T2" s="3">
        <v>1</v>
      </c>
      <c r="U2" s="3"/>
      <c r="V2" s="3"/>
      <c r="W2" s="3"/>
      <c r="X2" s="148" t="s">
        <v>35</v>
      </c>
      <c r="Y2" s="3">
        <v>0</v>
      </c>
      <c r="Z2" s="3">
        <v>0</v>
      </c>
      <c r="AA2" s="3">
        <v>0</v>
      </c>
      <c r="AB2" s="3">
        <v>0</v>
      </c>
      <c r="AC2" s="3">
        <v>0</v>
      </c>
      <c r="AD2" s="3">
        <v>0</v>
      </c>
      <c r="AE2" s="182"/>
      <c r="AF2" s="182"/>
      <c r="AG2" s="182">
        <v>0</v>
      </c>
      <c r="AH2" s="183">
        <v>150</v>
      </c>
      <c r="AI2" s="183"/>
      <c r="AJ2" s="184"/>
      <c r="AK2" s="184">
        <v>300</v>
      </c>
      <c r="AL2" s="184">
        <f>+AH2/AK2</f>
        <v>0.5</v>
      </c>
      <c r="AM2" s="184">
        <f>+AH2/AK2</f>
        <v>0.5</v>
      </c>
      <c r="AN2" s="184"/>
      <c r="AO2" s="263">
        <f>8934*AH2</f>
        <v>1340100</v>
      </c>
      <c r="AP2" s="264">
        <v>13327.11</v>
      </c>
      <c r="AQ2" s="313" t="s">
        <v>36</v>
      </c>
      <c r="AR2" s="6" t="s">
        <v>37</v>
      </c>
      <c r="AS2" s="334">
        <v>43837</v>
      </c>
      <c r="AT2" s="334"/>
      <c r="AU2" s="317" t="s">
        <v>38</v>
      </c>
      <c r="AV2" s="7"/>
      <c r="AW2" s="7"/>
      <c r="AX2" s="7"/>
      <c r="AY2" s="7"/>
      <c r="AZ2" s="7"/>
      <c r="BA2" s="7"/>
      <c r="BB2" s="7"/>
      <c r="BC2" s="7"/>
      <c r="BD2" s="7"/>
      <c r="BE2" s="7"/>
      <c r="BF2" s="7"/>
      <c r="BG2" s="8"/>
      <c r="BH2" s="8"/>
      <c r="BI2" s="8"/>
      <c r="BJ2" s="8"/>
      <c r="BK2" s="8"/>
      <c r="BL2" s="8"/>
      <c r="BM2" s="8"/>
      <c r="BN2" s="8"/>
      <c r="BO2" s="8"/>
      <c r="BP2" s="8"/>
      <c r="BQ2" s="8"/>
      <c r="BR2" s="8"/>
      <c r="BS2" s="8"/>
      <c r="BT2" s="8"/>
      <c r="BU2" s="8"/>
      <c r="BV2" s="8"/>
      <c r="IP2" s="8"/>
      <c r="IQ2" s="8"/>
      <c r="IR2" s="8"/>
      <c r="IS2" s="8"/>
      <c r="IT2" s="8"/>
      <c r="IU2" s="8"/>
      <c r="IV2" s="8"/>
    </row>
    <row r="3" spans="1:256" s="9" customFormat="1" ht="89.25">
      <c r="A3" s="368"/>
      <c r="B3" s="403">
        <v>2</v>
      </c>
      <c r="C3" s="109">
        <v>516930</v>
      </c>
      <c r="D3" s="1">
        <v>43815</v>
      </c>
      <c r="E3" s="3">
        <v>57729</v>
      </c>
      <c r="F3" s="3">
        <v>166237</v>
      </c>
      <c r="G3" s="3">
        <v>33747</v>
      </c>
      <c r="H3" s="3">
        <v>247</v>
      </c>
      <c r="I3" s="3"/>
      <c r="J3" s="3">
        <v>3</v>
      </c>
      <c r="K3" s="3">
        <v>7</v>
      </c>
      <c r="L3" s="148" t="s">
        <v>39</v>
      </c>
      <c r="M3" s="148" t="s">
        <v>40</v>
      </c>
      <c r="N3" s="148" t="s">
        <v>41</v>
      </c>
      <c r="O3" s="148"/>
      <c r="P3" s="148" t="s">
        <v>42</v>
      </c>
      <c r="Q3" s="148" t="s">
        <v>42</v>
      </c>
      <c r="R3" s="148" t="s">
        <v>42</v>
      </c>
      <c r="S3" s="148" t="s">
        <v>43</v>
      </c>
      <c r="T3" s="3"/>
      <c r="U3" s="3">
        <v>1</v>
      </c>
      <c r="V3" s="3"/>
      <c r="W3" s="3"/>
      <c r="X3" s="148" t="s">
        <v>44</v>
      </c>
      <c r="Y3" s="3">
        <f>1+1</f>
        <v>2</v>
      </c>
      <c r="Z3" s="3"/>
      <c r="AA3" s="3">
        <f>1+1+1+1</f>
        <v>4</v>
      </c>
      <c r="AB3" s="3"/>
      <c r="AC3" s="3"/>
      <c r="AD3" s="3"/>
      <c r="AE3" s="182">
        <f>104.06-AF3</f>
        <v>71.861999999999995</v>
      </c>
      <c r="AF3" s="182">
        <f>+(7.67*4.4+0.3+0.15)-((2*2/2))</f>
        <v>32.198</v>
      </c>
      <c r="AG3" s="182">
        <v>61.7</v>
      </c>
      <c r="AH3" s="183"/>
      <c r="AI3" s="183"/>
      <c r="AJ3" s="184"/>
      <c r="AK3" s="184">
        <v>129.01</v>
      </c>
      <c r="AL3" s="184">
        <f>+(AE3+AF3)/AK3</f>
        <v>0.80660413921401453</v>
      </c>
      <c r="AM3" s="184">
        <f>+(AE3+AF3+AG3)/AK3</f>
        <v>1.2848616386326641</v>
      </c>
      <c r="AN3" s="184"/>
      <c r="AO3" s="263">
        <f>+(9*11168+10*8934+4*6700)/23*(125.46+41.85/2)</f>
        <v>1378895.7834782607</v>
      </c>
      <c r="AP3" s="264">
        <v>4706.6000000000004</v>
      </c>
      <c r="AQ3" s="313" t="s">
        <v>36</v>
      </c>
      <c r="AR3" s="6" t="s">
        <v>45</v>
      </c>
      <c r="AS3" s="334">
        <v>43837</v>
      </c>
      <c r="AT3" s="334"/>
      <c r="AU3" s="317"/>
      <c r="AV3" s="7"/>
      <c r="AW3" s="7"/>
      <c r="AX3" s="7"/>
      <c r="AY3" s="7"/>
      <c r="AZ3" s="7"/>
      <c r="BA3" s="7"/>
      <c r="BB3" s="7"/>
      <c r="BC3" s="7"/>
      <c r="BD3" s="7"/>
      <c r="BE3" s="7"/>
      <c r="BF3" s="7"/>
      <c r="BG3" s="8"/>
      <c r="BH3" s="8"/>
      <c r="BI3" s="8"/>
      <c r="BJ3" s="8"/>
      <c r="BK3" s="8"/>
      <c r="BL3" s="8"/>
      <c r="BM3" s="8"/>
      <c r="BN3" s="8"/>
      <c r="BO3" s="8"/>
      <c r="BP3" s="8"/>
      <c r="BQ3" s="8"/>
      <c r="BR3" s="8"/>
      <c r="BS3" s="8"/>
      <c r="BT3" s="8"/>
      <c r="BU3" s="8"/>
      <c r="BV3" s="8"/>
      <c r="IP3" s="8"/>
      <c r="IQ3" s="8"/>
      <c r="IR3" s="8"/>
      <c r="IS3" s="8"/>
      <c r="IT3" s="8"/>
      <c r="IU3" s="8"/>
      <c r="IV3" s="8"/>
    </row>
    <row r="4" spans="1:256" s="12" customFormat="1" ht="51">
      <c r="A4" s="368"/>
      <c r="B4" s="405">
        <v>3</v>
      </c>
      <c r="C4" s="25">
        <v>517948</v>
      </c>
      <c r="D4" s="10">
        <v>43837</v>
      </c>
      <c r="E4" s="3">
        <v>49650</v>
      </c>
      <c r="F4" s="3">
        <v>159798</v>
      </c>
      <c r="G4" s="3">
        <v>21139</v>
      </c>
      <c r="H4" s="3">
        <v>40</v>
      </c>
      <c r="I4" s="3"/>
      <c r="J4" s="3">
        <v>364</v>
      </c>
      <c r="K4" s="3">
        <v>20</v>
      </c>
      <c r="L4" s="149" t="s">
        <v>46</v>
      </c>
      <c r="M4" s="149" t="s">
        <v>47</v>
      </c>
      <c r="N4" s="148" t="s">
        <v>48</v>
      </c>
      <c r="O4" s="148"/>
      <c r="P4" s="149" t="s">
        <v>49</v>
      </c>
      <c r="Q4" s="149"/>
      <c r="R4" s="149"/>
      <c r="S4" s="149"/>
      <c r="T4" s="3">
        <v>1</v>
      </c>
      <c r="U4" s="3"/>
      <c r="V4" s="3"/>
      <c r="W4" s="3"/>
      <c r="X4" s="149" t="s">
        <v>44</v>
      </c>
      <c r="Y4" s="3">
        <f>2+1</f>
        <v>3</v>
      </c>
      <c r="Z4" s="3"/>
      <c r="AA4" s="3">
        <f>2+1+1</f>
        <v>4</v>
      </c>
      <c r="AB4" s="3"/>
      <c r="AC4" s="3">
        <f>+Y4*2</f>
        <v>6</v>
      </c>
      <c r="AD4" s="3"/>
      <c r="AE4" s="182">
        <v>70.849999999999994</v>
      </c>
      <c r="AF4" s="182"/>
      <c r="AG4" s="182">
        <f>21.4+15.3+13.8/2</f>
        <v>43.6</v>
      </c>
      <c r="AH4" s="183"/>
      <c r="AI4" s="183"/>
      <c r="AJ4" s="185"/>
      <c r="AK4" s="185">
        <v>188.5</v>
      </c>
      <c r="AL4" s="185">
        <f>+(AE4+21.4+15.3+13.8)/AK4</f>
        <v>0.64376657824933681</v>
      </c>
      <c r="AM4" s="185">
        <f>+(AE4+AG4)/AK4</f>
        <v>0.60716180371352779</v>
      </c>
      <c r="AN4" s="185">
        <f>+(24+9)/(3+6)</f>
        <v>3.6666666666666665</v>
      </c>
      <c r="AO4" s="265">
        <f>+(11168+8934*4+13*6700+4466*2)/20*(36.7+13.8/2)</f>
        <v>311600.48000000004</v>
      </c>
      <c r="AP4" s="266">
        <v>4581</v>
      </c>
      <c r="AQ4" s="314" t="s">
        <v>36</v>
      </c>
      <c r="AR4" s="11" t="s">
        <v>50</v>
      </c>
      <c r="AS4" s="334">
        <v>43846</v>
      </c>
      <c r="AT4" s="334"/>
      <c r="AU4" s="329" t="s">
        <v>51</v>
      </c>
    </row>
    <row r="5" spans="1:256" s="12" customFormat="1" ht="25.5">
      <c r="A5" s="368"/>
      <c r="B5" s="403">
        <v>4</v>
      </c>
      <c r="C5" s="25">
        <v>516998</v>
      </c>
      <c r="D5" s="10">
        <v>43808</v>
      </c>
      <c r="E5" s="3">
        <v>54602</v>
      </c>
      <c r="F5" s="3">
        <v>163828</v>
      </c>
      <c r="G5" s="3">
        <v>33432</v>
      </c>
      <c r="H5" s="3">
        <v>327</v>
      </c>
      <c r="I5" s="3"/>
      <c r="J5" s="3">
        <v>4</v>
      </c>
      <c r="K5" s="3">
        <v>3</v>
      </c>
      <c r="L5" s="149" t="s">
        <v>52</v>
      </c>
      <c r="M5" s="149" t="s">
        <v>53</v>
      </c>
      <c r="N5" s="148" t="s">
        <v>54</v>
      </c>
      <c r="O5" s="148"/>
      <c r="P5" s="149" t="s">
        <v>55</v>
      </c>
      <c r="Q5" s="149" t="s">
        <v>55</v>
      </c>
      <c r="R5" s="149" t="s">
        <v>55</v>
      </c>
      <c r="S5" s="149" t="s">
        <v>56</v>
      </c>
      <c r="T5" s="3"/>
      <c r="U5" s="3">
        <v>2</v>
      </c>
      <c r="V5" s="3"/>
      <c r="W5" s="3"/>
      <c r="X5" s="149" t="s">
        <v>57</v>
      </c>
      <c r="Y5" s="3"/>
      <c r="Z5" s="3"/>
      <c r="AA5" s="3"/>
      <c r="AB5" s="3"/>
      <c r="AC5" s="3"/>
      <c r="AD5" s="3"/>
      <c r="AE5" s="182"/>
      <c r="AF5" s="182"/>
      <c r="AG5" s="182"/>
      <c r="AH5" s="183"/>
      <c r="AI5" s="183"/>
      <c r="AJ5" s="182">
        <f>76+14.46</f>
        <v>90.460000000000008</v>
      </c>
      <c r="AK5" s="185">
        <v>321</v>
      </c>
      <c r="AL5" s="185">
        <f>+AJ5/AK5</f>
        <v>0.28180685358255453</v>
      </c>
      <c r="AM5" s="185">
        <f>+(76+14.46/2)/AK5</f>
        <v>0.25928348909657323</v>
      </c>
      <c r="AN5" s="185"/>
      <c r="AO5" s="265">
        <v>756227</v>
      </c>
      <c r="AP5" s="266">
        <v>2622.8</v>
      </c>
      <c r="AQ5" s="314" t="s">
        <v>36</v>
      </c>
      <c r="AR5" s="11" t="s">
        <v>58</v>
      </c>
      <c r="AS5" s="334">
        <v>43852</v>
      </c>
      <c r="AT5" s="334"/>
      <c r="AU5" s="329" t="s">
        <v>59</v>
      </c>
    </row>
    <row r="6" spans="1:256" s="9" customFormat="1" ht="63.75">
      <c r="A6" s="368"/>
      <c r="B6" s="125">
        <v>5</v>
      </c>
      <c r="C6" s="101" t="s">
        <v>60</v>
      </c>
      <c r="D6" s="13">
        <v>43846</v>
      </c>
      <c r="E6" s="3">
        <v>39648</v>
      </c>
      <c r="F6" s="3">
        <v>138337</v>
      </c>
      <c r="G6" s="3">
        <v>31646</v>
      </c>
      <c r="H6" s="3">
        <v>355</v>
      </c>
      <c r="I6" s="3"/>
      <c r="J6" s="3">
        <v>8</v>
      </c>
      <c r="K6" s="3">
        <v>4</v>
      </c>
      <c r="L6" s="148" t="s">
        <v>61</v>
      </c>
      <c r="M6" s="148" t="s">
        <v>62</v>
      </c>
      <c r="N6" s="148" t="s">
        <v>63</v>
      </c>
      <c r="O6" s="148"/>
      <c r="P6" s="148" t="s">
        <v>64</v>
      </c>
      <c r="Q6" s="148"/>
      <c r="R6" s="148"/>
      <c r="S6" s="148"/>
      <c r="T6" s="3">
        <v>1</v>
      </c>
      <c r="U6" s="3"/>
      <c r="V6" s="3"/>
      <c r="W6" s="3"/>
      <c r="X6" s="148" t="s">
        <v>44</v>
      </c>
      <c r="Y6" s="3">
        <v>3</v>
      </c>
      <c r="Z6" s="3"/>
      <c r="AA6" s="3">
        <v>4</v>
      </c>
      <c r="AB6" s="3"/>
      <c r="AC6" s="3">
        <f>+Y6*2</f>
        <v>6</v>
      </c>
      <c r="AD6" s="3"/>
      <c r="AE6" s="182"/>
      <c r="AF6" s="182"/>
      <c r="AG6" s="182">
        <f>46.4+18.75+61.52+3.65</f>
        <v>130.32000000000002</v>
      </c>
      <c r="AH6" s="183"/>
      <c r="AI6" s="183"/>
      <c r="AJ6" s="184"/>
      <c r="AK6" s="184">
        <v>450</v>
      </c>
      <c r="AL6" s="184">
        <f>+(46.4+18.75)/AK6</f>
        <v>0.14477777777777778</v>
      </c>
      <c r="AM6" s="184">
        <f>+(46.4+18.75/2+61.52+3.65/2)/AK6</f>
        <v>0.26471111111111112</v>
      </c>
      <c r="AN6" s="184"/>
      <c r="AO6" s="263">
        <f>+(10*11168+5*8934+6*6700+4466*4)/25*(46.4+18)</f>
        <v>552330.46400000004</v>
      </c>
      <c r="AP6" s="264">
        <v>14778.45</v>
      </c>
      <c r="AQ6" s="313" t="s">
        <v>65</v>
      </c>
      <c r="AR6" s="6" t="s">
        <v>66</v>
      </c>
      <c r="AS6" s="334">
        <v>43861</v>
      </c>
      <c r="AT6" s="334"/>
      <c r="AU6" s="317" t="s">
        <v>67</v>
      </c>
      <c r="AV6" s="7"/>
      <c r="AW6" s="7"/>
      <c r="AX6" s="7"/>
      <c r="AY6" s="7"/>
      <c r="AZ6" s="7"/>
      <c r="BA6" s="7"/>
      <c r="BB6" s="7"/>
      <c r="BC6" s="7"/>
      <c r="BD6" s="7"/>
      <c r="BE6" s="7"/>
      <c r="BF6" s="7"/>
      <c r="BG6" s="8"/>
      <c r="BH6" s="8"/>
      <c r="BI6" s="8"/>
      <c r="BJ6" s="8"/>
      <c r="BK6" s="8"/>
      <c r="BL6" s="8"/>
      <c r="BM6" s="8"/>
      <c r="BN6" s="8"/>
      <c r="BO6" s="8"/>
      <c r="BP6" s="8"/>
      <c r="BQ6" s="8"/>
      <c r="BR6" s="8"/>
      <c r="BS6" s="8"/>
      <c r="BT6" s="8"/>
      <c r="BU6" s="8"/>
      <c r="BV6" s="8"/>
      <c r="IP6" s="8"/>
      <c r="IQ6" s="8"/>
      <c r="IR6" s="8"/>
      <c r="IS6" s="8"/>
      <c r="IT6" s="8"/>
      <c r="IU6" s="8"/>
      <c r="IV6" s="8"/>
    </row>
    <row r="7" spans="1:256" s="9" customFormat="1" ht="51">
      <c r="A7" s="368"/>
      <c r="B7" s="125">
        <v>7</v>
      </c>
      <c r="C7" s="108">
        <v>517399</v>
      </c>
      <c r="D7" s="1">
        <v>43819</v>
      </c>
      <c r="E7" s="3">
        <v>26113</v>
      </c>
      <c r="F7" s="3">
        <v>119499</v>
      </c>
      <c r="G7" s="3">
        <v>5926</v>
      </c>
      <c r="H7" s="3"/>
      <c r="I7" s="3"/>
      <c r="J7" s="3">
        <v>397</v>
      </c>
      <c r="K7" s="3">
        <v>10</v>
      </c>
      <c r="L7" s="148" t="s">
        <v>31</v>
      </c>
      <c r="M7" s="148" t="s">
        <v>68</v>
      </c>
      <c r="N7" s="148" t="s">
        <v>69</v>
      </c>
      <c r="O7" s="148"/>
      <c r="P7" s="148" t="s">
        <v>70</v>
      </c>
      <c r="Q7" s="148" t="s">
        <v>70</v>
      </c>
      <c r="R7" s="148" t="s">
        <v>70</v>
      </c>
      <c r="S7" s="148" t="s">
        <v>71</v>
      </c>
      <c r="T7" s="3">
        <v>1</v>
      </c>
      <c r="U7" s="3">
        <v>1</v>
      </c>
      <c r="V7" s="3"/>
      <c r="W7" s="3"/>
      <c r="X7" s="148" t="s">
        <v>44</v>
      </c>
      <c r="Y7" s="3"/>
      <c r="Z7" s="3">
        <v>3</v>
      </c>
      <c r="AA7" s="3"/>
      <c r="AB7" s="3">
        <f>3+1</f>
        <v>4</v>
      </c>
      <c r="AC7" s="3"/>
      <c r="AD7" s="3">
        <f>+Z7*2</f>
        <v>6</v>
      </c>
      <c r="AE7" s="182"/>
      <c r="AF7" s="182"/>
      <c r="AG7" s="182"/>
      <c r="AH7" s="183"/>
      <c r="AI7" s="183">
        <f>85+7.2/2+7.9/2</f>
        <v>92.55</v>
      </c>
      <c r="AJ7" s="184"/>
      <c r="AK7" s="184">
        <v>610.53</v>
      </c>
      <c r="AL7" s="184">
        <f>+(85+7.2+7.9)/AK7</f>
        <v>0.1639559071626292</v>
      </c>
      <c r="AM7" s="184">
        <f>+AI7/AK7</f>
        <v>0.15158960247653677</v>
      </c>
      <c r="AN7" s="184"/>
      <c r="AO7" s="263">
        <f>+(11168+8934*8+6*6700+5*4466)/20*(85+7.2/2+7.9/2)</f>
        <v>671774.17499999993</v>
      </c>
      <c r="AP7" s="264">
        <v>3004.16</v>
      </c>
      <c r="AQ7" s="313" t="s">
        <v>36</v>
      </c>
      <c r="AR7" s="6" t="s">
        <v>72</v>
      </c>
      <c r="AS7" s="334">
        <v>43861</v>
      </c>
      <c r="AT7" s="334"/>
      <c r="AU7" s="317"/>
      <c r="AV7" s="7"/>
      <c r="AW7" s="7"/>
      <c r="AX7" s="7"/>
      <c r="AY7" s="7"/>
      <c r="AZ7" s="7"/>
      <c r="BA7" s="7"/>
      <c r="BB7" s="7"/>
      <c r="BC7" s="7"/>
      <c r="BD7" s="7"/>
      <c r="BE7" s="7"/>
      <c r="BF7" s="7"/>
      <c r="BG7" s="8"/>
      <c r="BH7" s="8"/>
      <c r="BI7" s="8"/>
      <c r="BJ7" s="8"/>
      <c r="BK7" s="8"/>
      <c r="BL7" s="8"/>
      <c r="BM7" s="8"/>
      <c r="BN7" s="8"/>
      <c r="BO7" s="8"/>
      <c r="BP7" s="8"/>
      <c r="BQ7" s="8"/>
      <c r="BR7" s="8"/>
      <c r="BS7" s="8"/>
      <c r="BT7" s="8"/>
      <c r="BU7" s="8"/>
      <c r="BV7" s="8"/>
      <c r="IP7" s="8"/>
      <c r="IQ7" s="8"/>
      <c r="IR7" s="8"/>
      <c r="IS7" s="8"/>
      <c r="IT7" s="8"/>
      <c r="IU7" s="8"/>
      <c r="IV7" s="8"/>
    </row>
    <row r="8" spans="1:256" s="9" customFormat="1" ht="77.25" thickBot="1">
      <c r="A8" s="369"/>
      <c r="B8" s="126">
        <v>6</v>
      </c>
      <c r="C8" s="54">
        <v>517779</v>
      </c>
      <c r="D8" s="14">
        <v>43832</v>
      </c>
      <c r="E8" s="15">
        <v>34596</v>
      </c>
      <c r="F8" s="15">
        <v>60665</v>
      </c>
      <c r="G8" s="15">
        <v>30041</v>
      </c>
      <c r="H8" s="15">
        <v>1</v>
      </c>
      <c r="I8" s="15"/>
      <c r="J8" s="15"/>
      <c r="K8" s="15">
        <v>2</v>
      </c>
      <c r="L8" s="150" t="s">
        <v>73</v>
      </c>
      <c r="M8" s="150" t="s">
        <v>74</v>
      </c>
      <c r="N8" s="150" t="s">
        <v>75</v>
      </c>
      <c r="O8" s="150"/>
      <c r="P8" s="150" t="s">
        <v>76</v>
      </c>
      <c r="Q8" s="150"/>
      <c r="R8" s="150"/>
      <c r="S8" s="150"/>
      <c r="T8" s="15">
        <f>2+1+1+1</f>
        <v>5</v>
      </c>
      <c r="U8" s="15"/>
      <c r="V8" s="15"/>
      <c r="W8" s="15"/>
      <c r="X8" s="150" t="s">
        <v>77</v>
      </c>
      <c r="Y8" s="15">
        <v>2</v>
      </c>
      <c r="Z8" s="15"/>
      <c r="AA8" s="15">
        <f>2+1+1</f>
        <v>4</v>
      </c>
      <c r="AB8" s="15"/>
      <c r="AC8" s="15">
        <v>4</v>
      </c>
      <c r="AD8" s="15"/>
      <c r="AE8" s="186"/>
      <c r="AF8" s="186"/>
      <c r="AG8" s="186">
        <f>80.6+38/2+12.9/2</f>
        <v>106.05</v>
      </c>
      <c r="AH8" s="187">
        <f>42+44.44+20.8/2+13/2+188.9+10/2+300/2+500/2</f>
        <v>697.24</v>
      </c>
      <c r="AI8" s="187"/>
      <c r="AJ8" s="188"/>
      <c r="AK8" s="188">
        <v>70959</v>
      </c>
      <c r="AL8" s="188">
        <f>+(80.6+38+12.9+42+43.44+20.8+300+500+13+188.9+10)/AK8</f>
        <v>1.7610732958468975E-2</v>
      </c>
      <c r="AM8" s="188">
        <f>+(AG8+AH8)/AK8</f>
        <v>1.1320480841049056E-2</v>
      </c>
      <c r="AN8" s="188"/>
      <c r="AO8" s="267">
        <f>+((11168+3*8934+6*6700+4466*10)/20*AG8)+(AH8*6700)</f>
        <v>5322814.0750000002</v>
      </c>
      <c r="AP8" s="268">
        <v>78240.98</v>
      </c>
      <c r="AQ8" s="315" t="s">
        <v>36</v>
      </c>
      <c r="AR8" s="17" t="s">
        <v>78</v>
      </c>
      <c r="AS8" s="335">
        <v>43861</v>
      </c>
      <c r="AT8" s="335"/>
      <c r="AU8" s="322"/>
      <c r="AV8" s="7"/>
      <c r="AW8" s="7"/>
      <c r="AX8" s="7"/>
      <c r="AY8" s="7"/>
      <c r="AZ8" s="7"/>
      <c r="BA8" s="7"/>
      <c r="BB8" s="7"/>
      <c r="BC8" s="7"/>
      <c r="BD8" s="7"/>
      <c r="BE8" s="7"/>
      <c r="BF8" s="7"/>
      <c r="BG8" s="8"/>
      <c r="BH8" s="8"/>
      <c r="BI8" s="8"/>
      <c r="BJ8" s="8"/>
      <c r="BK8" s="8"/>
      <c r="BL8" s="8"/>
      <c r="BM8" s="8"/>
      <c r="BN8" s="8"/>
      <c r="BO8" s="8"/>
      <c r="BP8" s="8"/>
      <c r="BQ8" s="8"/>
      <c r="BR8" s="8"/>
      <c r="BS8" s="8"/>
      <c r="BT8" s="8"/>
      <c r="BU8" s="8"/>
      <c r="BV8" s="8"/>
      <c r="IP8" s="8"/>
      <c r="IQ8" s="8"/>
      <c r="IR8" s="8"/>
      <c r="IS8" s="8"/>
      <c r="IT8" s="8"/>
      <c r="IU8" s="8"/>
      <c r="IV8" s="8"/>
    </row>
    <row r="9" spans="1:256" s="9" customFormat="1" ht="38.25">
      <c r="A9" s="368" t="s">
        <v>79</v>
      </c>
      <c r="B9" s="127">
        <v>8</v>
      </c>
      <c r="C9" s="57">
        <v>517444</v>
      </c>
      <c r="D9" s="18">
        <v>43819</v>
      </c>
      <c r="E9" s="19">
        <v>55111</v>
      </c>
      <c r="F9" s="19">
        <v>50016</v>
      </c>
      <c r="G9" s="19">
        <v>2140</v>
      </c>
      <c r="H9" s="19"/>
      <c r="I9" s="19"/>
      <c r="J9" s="19">
        <v>302</v>
      </c>
      <c r="K9" s="19">
        <v>3</v>
      </c>
      <c r="L9" s="151" t="s">
        <v>31</v>
      </c>
      <c r="M9" s="151" t="s">
        <v>80</v>
      </c>
      <c r="N9" s="151" t="s">
        <v>81</v>
      </c>
      <c r="O9" s="151"/>
      <c r="P9" s="151" t="s">
        <v>82</v>
      </c>
      <c r="Q9" s="151" t="s">
        <v>82</v>
      </c>
      <c r="R9" s="151" t="s">
        <v>82</v>
      </c>
      <c r="S9" s="151" t="s">
        <v>83</v>
      </c>
      <c r="T9" s="19"/>
      <c r="U9" s="19">
        <v>1</v>
      </c>
      <c r="V9" s="19"/>
      <c r="W9" s="19"/>
      <c r="X9" s="151" t="s">
        <v>44</v>
      </c>
      <c r="Y9" s="19"/>
      <c r="Z9" s="19">
        <v>3</v>
      </c>
      <c r="AA9" s="19"/>
      <c r="AB9" s="19">
        <f>3+1</f>
        <v>4</v>
      </c>
      <c r="AC9" s="19"/>
      <c r="AD9" s="19">
        <f>+Z9*2</f>
        <v>6</v>
      </c>
      <c r="AE9" s="189"/>
      <c r="AF9" s="189"/>
      <c r="AG9" s="189"/>
      <c r="AH9" s="190"/>
      <c r="AI9" s="190">
        <f>175.29+1.22/2</f>
        <v>175.9</v>
      </c>
      <c r="AJ9" s="191"/>
      <c r="AK9" s="191">
        <v>308</v>
      </c>
      <c r="AL9" s="191">
        <f>+(175.29+1.22)/AK9</f>
        <v>0.57308441558441559</v>
      </c>
      <c r="AM9" s="191">
        <f>+AI9/AK9</f>
        <v>0.57110389610389611</v>
      </c>
      <c r="AN9" s="191">
        <f>+(2+21+4+5)/(1+7+1+1)</f>
        <v>3.2</v>
      </c>
      <c r="AO9" s="269">
        <f>+(7*11168+8934*7+7*6700)/21*(175.29+1.22/2)</f>
        <v>1571490.6</v>
      </c>
      <c r="AP9" s="270">
        <v>5996.42</v>
      </c>
      <c r="AQ9" s="316" t="s">
        <v>65</v>
      </c>
      <c r="AR9" s="22" t="s">
        <v>84</v>
      </c>
      <c r="AS9" s="336">
        <v>43873</v>
      </c>
      <c r="AT9" s="336"/>
      <c r="AU9" s="323" t="s">
        <v>85</v>
      </c>
      <c r="AV9" s="7"/>
      <c r="AW9" s="7"/>
      <c r="AX9" s="7"/>
      <c r="AY9" s="7"/>
      <c r="AZ9" s="7"/>
      <c r="BA9" s="7"/>
      <c r="BB9" s="7"/>
      <c r="BC9" s="7"/>
      <c r="BD9" s="7"/>
      <c r="BE9" s="7"/>
      <c r="BF9" s="7"/>
      <c r="BG9" s="8"/>
      <c r="BH9" s="8"/>
      <c r="BI9" s="8"/>
      <c r="BJ9" s="8"/>
      <c r="BK9" s="8"/>
      <c r="BL9" s="8"/>
      <c r="BM9" s="8"/>
      <c r="BN9" s="8"/>
      <c r="BO9" s="8"/>
      <c r="BP9" s="8"/>
      <c r="BQ9" s="8"/>
      <c r="BR9" s="8"/>
      <c r="BS9" s="8"/>
      <c r="BT9" s="8"/>
      <c r="BU9" s="8"/>
      <c r="BV9" s="8"/>
      <c r="IP9" s="8"/>
      <c r="IQ9" s="8"/>
      <c r="IR9" s="8"/>
      <c r="IS9" s="8"/>
      <c r="IT9" s="8"/>
      <c r="IU9" s="8"/>
      <c r="IV9" s="8"/>
    </row>
    <row r="10" spans="1:256" s="9" customFormat="1" ht="127.5">
      <c r="A10" s="368"/>
      <c r="B10" s="125">
        <v>9</v>
      </c>
      <c r="C10" s="25">
        <v>518912</v>
      </c>
      <c r="D10" s="23">
        <v>43859</v>
      </c>
      <c r="E10" s="3">
        <v>10106</v>
      </c>
      <c r="F10" s="3">
        <v>449</v>
      </c>
      <c r="G10" s="3">
        <v>547</v>
      </c>
      <c r="H10" s="3"/>
      <c r="I10" s="3"/>
      <c r="J10" s="3">
        <v>141</v>
      </c>
      <c r="K10" s="3">
        <v>5</v>
      </c>
      <c r="L10" s="148" t="s">
        <v>86</v>
      </c>
      <c r="M10" s="148" t="s">
        <v>87</v>
      </c>
      <c r="N10" s="148" t="s">
        <v>88</v>
      </c>
      <c r="O10" s="148"/>
      <c r="P10" s="148" t="s">
        <v>89</v>
      </c>
      <c r="Q10" s="148" t="s">
        <v>89</v>
      </c>
      <c r="R10" s="148" t="s">
        <v>89</v>
      </c>
      <c r="S10" s="148" t="s">
        <v>90</v>
      </c>
      <c r="T10" s="3">
        <f>1+1+1</f>
        <v>3</v>
      </c>
      <c r="U10" s="3"/>
      <c r="V10" s="3"/>
      <c r="W10" s="3"/>
      <c r="X10" s="148" t="s">
        <v>91</v>
      </c>
      <c r="Y10" s="3">
        <v>2</v>
      </c>
      <c r="Z10" s="3"/>
      <c r="AA10" s="3">
        <f>2+2</f>
        <v>4</v>
      </c>
      <c r="AB10" s="3">
        <v>3</v>
      </c>
      <c r="AC10" s="3"/>
      <c r="AD10" s="3"/>
      <c r="AE10" s="182">
        <f>184.47+56.85+3.15/2-AF10</f>
        <v>206.54249999999999</v>
      </c>
      <c r="AF10" s="182">
        <f>+(2.85*3.25)+(6.3*4.3)</f>
        <v>36.352499999999999</v>
      </c>
      <c r="AG10" s="182"/>
      <c r="AH10" s="183"/>
      <c r="AI10" s="183"/>
      <c r="AJ10" s="184"/>
      <c r="AK10" s="184">
        <v>416.88</v>
      </c>
      <c r="AL10" s="184">
        <f>+(221.32+3.15)/AK10</f>
        <v>0.53845231241604297</v>
      </c>
      <c r="AM10" s="184">
        <f>+(221.32+3.15/2)/AK10</f>
        <v>0.53467424678564568</v>
      </c>
      <c r="AN10" s="184"/>
      <c r="AO10" s="263">
        <v>28500</v>
      </c>
      <c r="AP10" s="264">
        <v>344.05</v>
      </c>
      <c r="AQ10" s="313" t="s">
        <v>36</v>
      </c>
      <c r="AR10" s="6" t="s">
        <v>92</v>
      </c>
      <c r="AS10" s="334">
        <v>43873</v>
      </c>
      <c r="AT10" s="334"/>
      <c r="AU10" s="317" t="s">
        <v>93</v>
      </c>
      <c r="AV10" s="7"/>
      <c r="AW10" s="7"/>
      <c r="AX10" s="7"/>
      <c r="AY10" s="7"/>
      <c r="AZ10" s="7"/>
      <c r="BA10" s="7"/>
      <c r="BB10" s="7"/>
      <c r="BC10" s="7"/>
      <c r="BD10" s="7"/>
      <c r="BE10" s="7"/>
      <c r="BF10" s="7"/>
      <c r="BG10" s="8"/>
      <c r="BH10" s="8"/>
      <c r="BI10" s="8"/>
      <c r="BJ10" s="8"/>
      <c r="BK10" s="8"/>
      <c r="BL10" s="8"/>
      <c r="BM10" s="8"/>
      <c r="BN10" s="8"/>
      <c r="BO10" s="8"/>
      <c r="BP10" s="8"/>
      <c r="BQ10" s="8"/>
      <c r="BR10" s="8"/>
      <c r="BS10" s="8"/>
      <c r="BT10" s="8"/>
      <c r="BU10" s="8"/>
      <c r="BV10" s="8"/>
      <c r="IP10" s="8"/>
      <c r="IQ10" s="8"/>
      <c r="IR10" s="8"/>
      <c r="IS10" s="8"/>
      <c r="IT10" s="8"/>
      <c r="IU10" s="8"/>
      <c r="IV10" s="8"/>
    </row>
    <row r="11" spans="1:256" s="9" customFormat="1" ht="89.25">
      <c r="A11" s="368"/>
      <c r="B11" s="402">
        <v>10</v>
      </c>
      <c r="C11" s="109">
        <v>517308</v>
      </c>
      <c r="D11" s="1">
        <v>43816</v>
      </c>
      <c r="E11" s="3"/>
      <c r="F11" s="3"/>
      <c r="G11" s="3">
        <v>5100</v>
      </c>
      <c r="H11" s="3"/>
      <c r="I11" s="3"/>
      <c r="J11" s="3">
        <v>580</v>
      </c>
      <c r="K11" s="3">
        <v>19</v>
      </c>
      <c r="L11" s="148" t="s">
        <v>31</v>
      </c>
      <c r="M11" s="148" t="s">
        <v>94</v>
      </c>
      <c r="N11" s="148" t="s">
        <v>95</v>
      </c>
      <c r="O11" s="148"/>
      <c r="P11" s="148" t="s">
        <v>76</v>
      </c>
      <c r="Q11" s="148"/>
      <c r="R11" s="148"/>
      <c r="S11" s="148"/>
      <c r="T11" s="3">
        <v>2</v>
      </c>
      <c r="U11" s="3"/>
      <c r="V11" s="3"/>
      <c r="W11" s="3"/>
      <c r="X11" s="148" t="s">
        <v>96</v>
      </c>
      <c r="Y11" s="3">
        <f>2+2</f>
        <v>4</v>
      </c>
      <c r="Z11" s="3"/>
      <c r="AA11" s="3">
        <f>+Y11+2</f>
        <v>6</v>
      </c>
      <c r="AB11" s="3"/>
      <c r="AC11" s="3">
        <f>+Y11*2</f>
        <v>8</v>
      </c>
      <c r="AD11" s="3"/>
      <c r="AE11" s="182"/>
      <c r="AF11" s="182"/>
      <c r="AG11" s="182">
        <f>132+32.38/2</f>
        <v>148.19</v>
      </c>
      <c r="AH11" s="183"/>
      <c r="AI11" s="183"/>
      <c r="AJ11" s="184"/>
      <c r="AK11" s="184">
        <v>240.9</v>
      </c>
      <c r="AL11" s="184">
        <f>+(132+31.38)/AK11</f>
        <v>0.67820672478206723</v>
      </c>
      <c r="AM11" s="184">
        <f>+AG11/AK11</f>
        <v>0.61515151515151512</v>
      </c>
      <c r="AN11" s="184"/>
      <c r="AO11" s="263">
        <f>+(11168+10*8934+4*6700+4466*6)/21*(AG11)</f>
        <v>1087460.56</v>
      </c>
      <c r="AP11" s="264">
        <v>16323</v>
      </c>
      <c r="AQ11" s="313" t="s">
        <v>36</v>
      </c>
      <c r="AR11" s="6" t="s">
        <v>97</v>
      </c>
      <c r="AS11" s="334">
        <v>43873</v>
      </c>
      <c r="AT11" s="334"/>
      <c r="AU11" s="317" t="s">
        <v>98</v>
      </c>
      <c r="AV11" s="7"/>
      <c r="AW11" s="7"/>
      <c r="AX11" s="7"/>
      <c r="AY11" s="7"/>
      <c r="AZ11" s="7"/>
      <c r="BA11" s="7"/>
      <c r="BB11" s="7"/>
      <c r="BC11" s="7"/>
      <c r="BD11" s="7"/>
      <c r="BE11" s="7"/>
      <c r="BF11" s="7"/>
      <c r="BG11" s="8"/>
      <c r="BH11" s="8"/>
      <c r="BI11" s="8"/>
      <c r="BJ11" s="8"/>
      <c r="BK11" s="8"/>
      <c r="BL11" s="8"/>
      <c r="BM11" s="8"/>
      <c r="BN11" s="8"/>
      <c r="BO11" s="8"/>
      <c r="BP11" s="8"/>
      <c r="BQ11" s="8"/>
      <c r="BR11" s="8"/>
      <c r="BS11" s="8"/>
      <c r="BT11" s="8"/>
      <c r="BU11" s="8"/>
      <c r="BV11" s="8"/>
      <c r="IP11" s="8"/>
      <c r="IQ11" s="8"/>
      <c r="IR11" s="8"/>
      <c r="IS11" s="8"/>
      <c r="IT11" s="8"/>
      <c r="IU11" s="8"/>
      <c r="IV11" s="8"/>
    </row>
    <row r="12" spans="1:256" s="31" customFormat="1" ht="140.25">
      <c r="A12" s="370"/>
      <c r="B12" s="106">
        <v>11</v>
      </c>
      <c r="C12" s="108">
        <v>519233</v>
      </c>
      <c r="D12" s="24">
        <v>43866</v>
      </c>
      <c r="E12" s="25">
        <v>46368</v>
      </c>
      <c r="F12" s="25">
        <v>1984</v>
      </c>
      <c r="G12" s="25">
        <v>2289</v>
      </c>
      <c r="H12" s="25"/>
      <c r="I12" s="25"/>
      <c r="J12" s="25">
        <v>176</v>
      </c>
      <c r="K12" s="25">
        <v>15</v>
      </c>
      <c r="L12" s="148" t="s">
        <v>99</v>
      </c>
      <c r="M12" s="148" t="s">
        <v>100</v>
      </c>
      <c r="N12" s="148" t="s">
        <v>101</v>
      </c>
      <c r="O12" s="148"/>
      <c r="P12" s="148" t="s">
        <v>102</v>
      </c>
      <c r="Q12" s="148"/>
      <c r="R12" s="148"/>
      <c r="S12" s="148"/>
      <c r="T12" s="25">
        <v>3</v>
      </c>
      <c r="U12" s="26"/>
      <c r="V12" s="25"/>
      <c r="W12" s="25"/>
      <c r="X12" s="148" t="s">
        <v>103</v>
      </c>
      <c r="Y12" s="25">
        <f>2+2</f>
        <v>4</v>
      </c>
      <c r="Z12" s="26"/>
      <c r="AA12" s="27">
        <f>+Y12+3</f>
        <v>7</v>
      </c>
      <c r="AB12" s="26"/>
      <c r="AC12" s="27">
        <f>+Y12*2</f>
        <v>8</v>
      </c>
      <c r="AD12" s="26"/>
      <c r="AE12" s="183"/>
      <c r="AF12" s="183"/>
      <c r="AG12" s="183">
        <v>220.4</v>
      </c>
      <c r="AH12" s="183">
        <v>235.4</v>
      </c>
      <c r="AI12" s="192"/>
      <c r="AJ12" s="193"/>
      <c r="AK12" s="194">
        <v>619.5</v>
      </c>
      <c r="AL12" s="194">
        <f>+(8.85+146.64+235.4+8.15+31.35)/AK12</f>
        <v>0.69473769168684418</v>
      </c>
      <c r="AM12" s="194">
        <f>+(AG12+AH12)/AK12</f>
        <v>0.73575464083938658</v>
      </c>
      <c r="AN12" s="194"/>
      <c r="AO12" s="263">
        <f>+((4*11168+8934*5+7*6700.4466*6)/22*220.4)+239000</f>
        <v>3953348.6766763637</v>
      </c>
      <c r="AP12" s="263">
        <v>48132.28</v>
      </c>
      <c r="AQ12" s="313" t="s">
        <v>65</v>
      </c>
      <c r="AR12" s="5" t="s">
        <v>104</v>
      </c>
      <c r="AS12" s="337">
        <v>43888</v>
      </c>
      <c r="AT12" s="337"/>
      <c r="AU12" s="317" t="s">
        <v>105</v>
      </c>
      <c r="AV12" s="29"/>
      <c r="AW12" s="29"/>
      <c r="AX12" s="29"/>
      <c r="AY12" s="29"/>
      <c r="AZ12" s="29"/>
      <c r="BA12" s="29"/>
      <c r="BB12" s="29"/>
      <c r="BC12" s="29"/>
      <c r="BD12" s="29"/>
      <c r="BE12" s="29"/>
      <c r="BF12" s="29"/>
      <c r="BG12" s="30"/>
      <c r="BH12" s="30"/>
      <c r="BI12" s="30"/>
      <c r="BJ12" s="30"/>
      <c r="BK12" s="30"/>
      <c r="BL12" s="30"/>
      <c r="BM12" s="30"/>
      <c r="BN12" s="30"/>
      <c r="BO12" s="30"/>
      <c r="BP12" s="30"/>
      <c r="BQ12" s="30"/>
      <c r="BR12" s="30"/>
      <c r="BS12" s="30"/>
      <c r="BT12" s="30"/>
      <c r="BU12" s="30"/>
      <c r="BV12" s="30"/>
      <c r="IP12" s="30"/>
      <c r="IQ12" s="30"/>
      <c r="IR12" s="30"/>
      <c r="IS12" s="30"/>
      <c r="IT12" s="30"/>
      <c r="IU12" s="30"/>
      <c r="IV12" s="30"/>
    </row>
    <row r="13" spans="1:256" s="9" customFormat="1" ht="90" thickBot="1">
      <c r="A13" s="371"/>
      <c r="B13" s="128">
        <v>12</v>
      </c>
      <c r="C13" s="54" t="s">
        <v>106</v>
      </c>
      <c r="D13" s="32" t="s">
        <v>107</v>
      </c>
      <c r="E13" s="15">
        <v>30084</v>
      </c>
      <c r="F13" s="15">
        <v>651</v>
      </c>
      <c r="G13" s="15">
        <v>4584</v>
      </c>
      <c r="H13" s="15"/>
      <c r="I13" s="15"/>
      <c r="J13" s="15">
        <v>60</v>
      </c>
      <c r="K13" s="15">
        <v>7</v>
      </c>
      <c r="L13" s="150" t="s">
        <v>108</v>
      </c>
      <c r="M13" s="150" t="s">
        <v>109</v>
      </c>
      <c r="N13" s="150" t="s">
        <v>110</v>
      </c>
      <c r="O13" s="150"/>
      <c r="P13" s="150" t="s">
        <v>64</v>
      </c>
      <c r="Q13" s="150"/>
      <c r="R13" s="150"/>
      <c r="S13" s="150"/>
      <c r="T13" s="15">
        <f>3+3</f>
        <v>6</v>
      </c>
      <c r="U13" s="15"/>
      <c r="V13" s="15"/>
      <c r="W13" s="15"/>
      <c r="X13" s="150" t="s">
        <v>111</v>
      </c>
      <c r="Y13" s="15">
        <f>3+1+2+1</f>
        <v>7</v>
      </c>
      <c r="Z13" s="15"/>
      <c r="AA13" s="15">
        <f>+Y13+1</f>
        <v>8</v>
      </c>
      <c r="AB13" s="15"/>
      <c r="AC13" s="15"/>
      <c r="AD13" s="15"/>
      <c r="AE13" s="186">
        <f>111.57+24.25/2</f>
        <v>123.69499999999999</v>
      </c>
      <c r="AF13" s="186"/>
      <c r="AG13" s="186">
        <f>33.68+4.28/2+2.37/2+33.68+4.28/2+94.73+2.37/2</f>
        <v>168.74</v>
      </c>
      <c r="AH13" s="187"/>
      <c r="AI13" s="187"/>
      <c r="AJ13" s="188"/>
      <c r="AK13" s="188">
        <v>394.7235</v>
      </c>
      <c r="AL13" s="188">
        <f>+(111.57+24.25+2.37+33.68+4.28)/AK13</f>
        <v>0.44626175031382731</v>
      </c>
      <c r="AM13" s="188">
        <f>+(AE13+AG13)/AK13</f>
        <v>0.74086037441398855</v>
      </c>
      <c r="AN13" s="188"/>
      <c r="AO13" s="267">
        <f>+(3*11168+4*8934+12*6700+4*4466)/23*(AG13)</f>
        <v>1228896.7373913045</v>
      </c>
      <c r="AP13" s="268"/>
      <c r="AQ13" s="315" t="s">
        <v>36</v>
      </c>
      <c r="AR13" s="16" t="s">
        <v>112</v>
      </c>
      <c r="AS13" s="335"/>
      <c r="AT13" s="335"/>
      <c r="AU13" s="322"/>
      <c r="AV13" s="7"/>
      <c r="AW13" s="7"/>
      <c r="AX13" s="7"/>
      <c r="AY13" s="7"/>
      <c r="AZ13" s="7"/>
      <c r="BA13" s="7"/>
      <c r="BB13" s="7"/>
      <c r="BC13" s="7"/>
      <c r="BD13" s="7"/>
      <c r="BE13" s="7"/>
      <c r="BF13" s="7"/>
      <c r="BG13" s="8"/>
      <c r="BH13" s="8"/>
      <c r="BI13" s="8"/>
      <c r="BJ13" s="8"/>
      <c r="BK13" s="8"/>
      <c r="BL13" s="8"/>
      <c r="BM13" s="8"/>
      <c r="BN13" s="8"/>
      <c r="BO13" s="8"/>
      <c r="BP13" s="8"/>
      <c r="BQ13" s="8"/>
      <c r="BR13" s="8"/>
      <c r="BS13" s="8"/>
      <c r="BT13" s="8"/>
      <c r="BU13" s="8"/>
      <c r="BV13" s="8"/>
      <c r="IP13" s="8"/>
      <c r="IQ13" s="8"/>
      <c r="IR13" s="8"/>
      <c r="IS13" s="8"/>
      <c r="IT13" s="8"/>
      <c r="IU13" s="8"/>
      <c r="IV13" s="8"/>
    </row>
    <row r="14" spans="1:256" s="9" customFormat="1" ht="76.5">
      <c r="A14" s="370" t="s">
        <v>113</v>
      </c>
      <c r="B14" s="103">
        <v>13</v>
      </c>
      <c r="C14" s="57">
        <v>518979</v>
      </c>
      <c r="D14" s="33">
        <v>43860</v>
      </c>
      <c r="E14" s="19">
        <v>53565</v>
      </c>
      <c r="F14" s="19">
        <v>163174</v>
      </c>
      <c r="G14" s="19">
        <v>21297</v>
      </c>
      <c r="H14" s="19">
        <v>48</v>
      </c>
      <c r="I14" s="19"/>
      <c r="J14" s="19">
        <v>379</v>
      </c>
      <c r="K14" s="19">
        <v>7</v>
      </c>
      <c r="L14" s="151" t="s">
        <v>52</v>
      </c>
      <c r="M14" s="151" t="s">
        <v>114</v>
      </c>
      <c r="N14" s="151" t="s">
        <v>115</v>
      </c>
      <c r="O14" s="151"/>
      <c r="P14" s="151" t="s">
        <v>116</v>
      </c>
      <c r="Q14" s="151"/>
      <c r="R14" s="151"/>
      <c r="S14" s="151"/>
      <c r="T14" s="19">
        <v>1</v>
      </c>
      <c r="U14" s="19"/>
      <c r="V14" s="19"/>
      <c r="W14" s="19"/>
      <c r="X14" s="151" t="s">
        <v>44</v>
      </c>
      <c r="Y14" s="19">
        <v>2</v>
      </c>
      <c r="Z14" s="19"/>
      <c r="AA14" s="19">
        <f>2+2</f>
        <v>4</v>
      </c>
      <c r="AB14" s="19"/>
      <c r="AC14" s="19"/>
      <c r="AD14" s="19"/>
      <c r="AE14" s="189"/>
      <c r="AF14" s="189"/>
      <c r="AG14" s="189">
        <f>137.5+28.48/2</f>
        <v>151.74</v>
      </c>
      <c r="AH14" s="190"/>
      <c r="AI14" s="190"/>
      <c r="AJ14" s="191"/>
      <c r="AK14" s="191">
        <v>524.13</v>
      </c>
      <c r="AL14" s="191">
        <f>+(137.5+28.48)/AK14</f>
        <v>0.31667716024650372</v>
      </c>
      <c r="AM14" s="191">
        <f>+AG14/AK14</f>
        <v>0.28950832808654342</v>
      </c>
      <c r="AN14" s="191">
        <f>+(2+12+8)/(1+4+2)</f>
        <v>3.1428571428571428</v>
      </c>
      <c r="AO14" s="269">
        <f>+(7*15077+5*12060+6*9045+2*6030)/20*(AG14)</f>
        <v>1761466.2030000002</v>
      </c>
      <c r="AP14" s="270">
        <v>25723.87</v>
      </c>
      <c r="AQ14" s="316" t="s">
        <v>36</v>
      </c>
      <c r="AR14" s="21" t="s">
        <v>117</v>
      </c>
      <c r="AS14" s="336">
        <v>43893</v>
      </c>
      <c r="AT14" s="336"/>
      <c r="AU14" s="323"/>
      <c r="AV14" s="7"/>
      <c r="AW14" s="7"/>
      <c r="AX14" s="7"/>
      <c r="AY14" s="7"/>
      <c r="AZ14" s="7"/>
      <c r="BA14" s="7"/>
      <c r="BB14" s="7"/>
      <c r="BC14" s="7"/>
      <c r="BD14" s="7"/>
      <c r="BE14" s="7"/>
      <c r="BF14" s="7"/>
      <c r="BG14" s="8"/>
      <c r="BH14" s="8"/>
      <c r="BI14" s="8"/>
      <c r="BJ14" s="8"/>
      <c r="BK14" s="8"/>
      <c r="BL14" s="8"/>
      <c r="BM14" s="8"/>
      <c r="BN14" s="8"/>
      <c r="BO14" s="8"/>
      <c r="BP14" s="8"/>
      <c r="BQ14" s="8"/>
      <c r="BR14" s="8"/>
      <c r="BS14" s="8"/>
      <c r="BT14" s="8"/>
      <c r="BU14" s="8"/>
      <c r="BV14" s="8"/>
      <c r="IP14" s="8"/>
      <c r="IQ14" s="8"/>
      <c r="IR14" s="8"/>
      <c r="IS14" s="8"/>
      <c r="IT14" s="8"/>
      <c r="IU14" s="8"/>
      <c r="IV14" s="8"/>
    </row>
    <row r="15" spans="1:256" s="9" customFormat="1" ht="51">
      <c r="A15" s="370"/>
      <c r="B15" s="105">
        <v>14</v>
      </c>
      <c r="C15" s="108">
        <v>518978</v>
      </c>
      <c r="D15" s="1">
        <v>43860</v>
      </c>
      <c r="E15" s="3">
        <v>39784</v>
      </c>
      <c r="F15" s="3">
        <v>138510</v>
      </c>
      <c r="G15" s="3">
        <v>20436</v>
      </c>
      <c r="H15" s="3">
        <v>40</v>
      </c>
      <c r="I15" s="3"/>
      <c r="J15" s="3">
        <v>364</v>
      </c>
      <c r="K15" s="3">
        <v>5</v>
      </c>
      <c r="L15" s="148" t="s">
        <v>52</v>
      </c>
      <c r="M15" s="148" t="s">
        <v>118</v>
      </c>
      <c r="N15" s="148" t="s">
        <v>119</v>
      </c>
      <c r="O15" s="148"/>
      <c r="P15" s="148" t="s">
        <v>116</v>
      </c>
      <c r="Q15" s="148"/>
      <c r="R15" s="148"/>
      <c r="S15" s="148"/>
      <c r="T15" s="3">
        <v>1</v>
      </c>
      <c r="U15" s="3"/>
      <c r="V15" s="3"/>
      <c r="W15" s="3"/>
      <c r="X15" s="148" t="s">
        <v>44</v>
      </c>
      <c r="Y15" s="3">
        <v>2</v>
      </c>
      <c r="Z15" s="3"/>
      <c r="AA15" s="3">
        <v>3</v>
      </c>
      <c r="AB15" s="3"/>
      <c r="AC15" s="3"/>
      <c r="AD15" s="3"/>
      <c r="AE15" s="182"/>
      <c r="AF15" s="182"/>
      <c r="AG15" s="182">
        <f>77+(14+4.73)/2</f>
        <v>86.364999999999995</v>
      </c>
      <c r="AH15" s="183"/>
      <c r="AI15" s="183"/>
      <c r="AJ15" s="184"/>
      <c r="AK15" s="184">
        <v>312</v>
      </c>
      <c r="AL15" s="184">
        <f>+(77+14+4.73)/AK15</f>
        <v>0.30682692307692311</v>
      </c>
      <c r="AM15" s="184">
        <f>+AG15/AK15</f>
        <v>0.27681089743589743</v>
      </c>
      <c r="AN15" s="184">
        <f>+(2+32+5)/(1+8+1)</f>
        <v>3.9</v>
      </c>
      <c r="AO15" s="263">
        <f>+(9*8934+6*6700+4466*5)/20*AG15</f>
        <v>617233.38199999998</v>
      </c>
      <c r="AP15" s="271">
        <v>12932.26</v>
      </c>
      <c r="AQ15" s="313" t="s">
        <v>36</v>
      </c>
      <c r="AR15" s="34" t="s">
        <v>120</v>
      </c>
      <c r="AS15" s="334">
        <v>43900</v>
      </c>
      <c r="AT15" s="334"/>
      <c r="AU15" s="317"/>
      <c r="AV15" s="7"/>
      <c r="AW15" s="7"/>
      <c r="AX15" s="7"/>
      <c r="AY15" s="7"/>
      <c r="AZ15" s="7"/>
      <c r="BA15" s="7"/>
      <c r="BB15" s="7"/>
      <c r="BC15" s="7"/>
      <c r="BD15" s="7"/>
      <c r="BE15" s="7"/>
      <c r="BF15" s="7"/>
      <c r="BG15" s="8"/>
      <c r="BH15" s="8"/>
      <c r="BI15" s="8"/>
      <c r="BJ15" s="8"/>
      <c r="BK15" s="8"/>
      <c r="BL15" s="8"/>
      <c r="BM15" s="8"/>
      <c r="BN15" s="8"/>
      <c r="BO15" s="8"/>
      <c r="BP15" s="8"/>
      <c r="BQ15" s="8"/>
      <c r="BR15" s="8"/>
      <c r="BS15" s="8"/>
      <c r="BT15" s="8"/>
      <c r="BU15" s="8"/>
      <c r="BV15" s="8"/>
      <c r="IP15" s="8"/>
      <c r="IQ15" s="8"/>
      <c r="IR15" s="8"/>
      <c r="IS15" s="8"/>
      <c r="IT15" s="8"/>
      <c r="IU15" s="8"/>
      <c r="IV15" s="8"/>
    </row>
    <row r="16" spans="1:256" s="9" customFormat="1" ht="77.25" thickBot="1">
      <c r="A16" s="371"/>
      <c r="B16" s="128">
        <v>15</v>
      </c>
      <c r="C16" s="54">
        <v>519284</v>
      </c>
      <c r="D16" s="35">
        <v>43866</v>
      </c>
      <c r="E16" s="15">
        <v>46439</v>
      </c>
      <c r="F16" s="15">
        <v>149407</v>
      </c>
      <c r="G16" s="15">
        <v>32258</v>
      </c>
      <c r="H16" s="15">
        <v>268</v>
      </c>
      <c r="I16" s="15"/>
      <c r="J16" s="15">
        <v>1</v>
      </c>
      <c r="K16" s="15">
        <v>13</v>
      </c>
      <c r="L16" s="150" t="s">
        <v>121</v>
      </c>
      <c r="M16" s="150" t="s">
        <v>122</v>
      </c>
      <c r="N16" s="150" t="s">
        <v>123</v>
      </c>
      <c r="O16" s="150"/>
      <c r="P16" s="150" t="s">
        <v>124</v>
      </c>
      <c r="Q16" s="150"/>
      <c r="R16" s="150"/>
      <c r="S16" s="150"/>
      <c r="T16" s="15">
        <f>1+4</f>
        <v>5</v>
      </c>
      <c r="U16" s="15"/>
      <c r="V16" s="15"/>
      <c r="W16" s="15"/>
      <c r="X16" s="150" t="s">
        <v>96</v>
      </c>
      <c r="Y16" s="15">
        <v>2</v>
      </c>
      <c r="Z16" s="15">
        <f>1+1+1</f>
        <v>3</v>
      </c>
      <c r="AA16" s="15">
        <f>+Y16+1</f>
        <v>3</v>
      </c>
      <c r="AB16" s="15">
        <f>+Z16+3</f>
        <v>6</v>
      </c>
      <c r="AC16" s="15"/>
      <c r="AD16" s="15"/>
      <c r="AE16" s="186">
        <f>100.13+56.7/2</f>
        <v>128.47999999999999</v>
      </c>
      <c r="AF16" s="187"/>
      <c r="AG16" s="187">
        <f>24.74/2+27.78*2+4.17*2+13.37*2+22.09</f>
        <v>125.10000000000001</v>
      </c>
      <c r="AH16" s="195"/>
      <c r="AI16" s="195"/>
      <c r="AJ16" s="195"/>
      <c r="AK16" s="195">
        <v>2730</v>
      </c>
      <c r="AL16" s="195">
        <f>(100.13+56.7+24+27.78*2+4.17*2+22.09)/AK16</f>
        <v>9.7736263736263734E-2</v>
      </c>
      <c r="AM16" s="196">
        <f>+(AE16+AG16)/AK16</f>
        <v>9.2886446886446886E-2</v>
      </c>
      <c r="AN16" s="195"/>
      <c r="AO16" s="272">
        <f>+((15077*1+3*12060+9045*5+6030*13)/22*(101.65+8.34/2+27.74))+24*12060</f>
        <v>1351072.0145454546</v>
      </c>
      <c r="AP16" s="273">
        <v>47375.39</v>
      </c>
      <c r="AQ16" s="318" t="s">
        <v>36</v>
      </c>
      <c r="AR16" s="36" t="s">
        <v>125</v>
      </c>
      <c r="AS16" s="338">
        <v>43900</v>
      </c>
      <c r="AT16" s="354"/>
      <c r="AU16" s="322" t="s">
        <v>126</v>
      </c>
      <c r="AV16" s="37"/>
      <c r="AW16" s="37"/>
      <c r="AX16" s="37"/>
      <c r="AY16" s="37"/>
      <c r="AZ16" s="37"/>
      <c r="BA16" s="37"/>
      <c r="BB16" s="37"/>
      <c r="BC16" s="37"/>
      <c r="BD16" s="37"/>
      <c r="BE16" s="8"/>
      <c r="BF16" s="8"/>
      <c r="BG16" s="8"/>
      <c r="BH16" s="8"/>
      <c r="BI16" s="8"/>
      <c r="BJ16" s="8"/>
      <c r="BK16" s="8"/>
      <c r="BL16" s="8"/>
      <c r="BM16" s="8"/>
      <c r="BN16" s="8"/>
      <c r="BO16" s="8"/>
      <c r="BP16" s="8"/>
      <c r="BQ16" s="8"/>
      <c r="BR16" s="8"/>
      <c r="BS16" s="8"/>
      <c r="BT16" s="8"/>
      <c r="IN16" s="8"/>
      <c r="IO16" s="8"/>
      <c r="IP16" s="8"/>
      <c r="IQ16" s="8"/>
      <c r="IR16" s="8"/>
      <c r="IS16" s="8"/>
      <c r="IT16" s="8"/>
      <c r="IU16" s="8"/>
      <c r="IV16" s="8"/>
    </row>
    <row r="17" spans="1:256" s="9" customFormat="1" ht="102">
      <c r="A17" s="370" t="s">
        <v>127</v>
      </c>
      <c r="B17" s="103">
        <v>16</v>
      </c>
      <c r="C17" s="384">
        <v>519287</v>
      </c>
      <c r="D17" s="38">
        <v>43867</v>
      </c>
      <c r="E17" s="19">
        <v>52635</v>
      </c>
      <c r="F17" s="19">
        <v>50476</v>
      </c>
      <c r="G17" s="19">
        <v>5615</v>
      </c>
      <c r="H17" s="19"/>
      <c r="I17" s="19"/>
      <c r="J17" s="19">
        <v>668</v>
      </c>
      <c r="K17" s="19">
        <v>11</v>
      </c>
      <c r="L17" s="151" t="s">
        <v>99</v>
      </c>
      <c r="M17" s="151" t="s">
        <v>128</v>
      </c>
      <c r="N17" s="151" t="s">
        <v>129</v>
      </c>
      <c r="O17" s="151"/>
      <c r="P17" s="151" t="s">
        <v>130</v>
      </c>
      <c r="Q17" s="151" t="s">
        <v>130</v>
      </c>
      <c r="R17" s="151" t="s">
        <v>130</v>
      </c>
      <c r="S17" s="151" t="s">
        <v>131</v>
      </c>
      <c r="T17" s="19">
        <v>2</v>
      </c>
      <c r="U17" s="19">
        <v>1</v>
      </c>
      <c r="V17" s="19"/>
      <c r="W17" s="19"/>
      <c r="X17" s="151" t="s">
        <v>96</v>
      </c>
      <c r="Y17" s="19">
        <f>1+2</f>
        <v>3</v>
      </c>
      <c r="Z17" s="19">
        <v>2</v>
      </c>
      <c r="AA17" s="19">
        <f>1+1+2+1</f>
        <v>5</v>
      </c>
      <c r="AB17" s="19">
        <f>2+1</f>
        <v>3</v>
      </c>
      <c r="AC17" s="19"/>
      <c r="AD17" s="19"/>
      <c r="AE17" s="189">
        <f>5.25*10.5</f>
        <v>55.125</v>
      </c>
      <c r="AF17" s="189"/>
      <c r="AG17" s="189">
        <f>137.4+33.39-AE17</f>
        <v>115.66500000000002</v>
      </c>
      <c r="AH17" s="190"/>
      <c r="AI17" s="190">
        <f>+(7.84*4.79)+(7.35*6.2)</f>
        <v>83.12360000000001</v>
      </c>
      <c r="AJ17" s="191"/>
      <c r="AK17" s="191">
        <v>556.5</v>
      </c>
      <c r="AL17" s="191">
        <f>+(AE17+AG17)/AK17</f>
        <v>0.30690026954177901</v>
      </c>
      <c r="AM17" s="191">
        <f>+(AE17+AG17+AI17)/AK17</f>
        <v>0.45626882300089855</v>
      </c>
      <c r="AN17" s="191"/>
      <c r="AO17" s="269">
        <f>+((8*15077+12060*4+6*9045+6030*2)/20*AI17)+((8*15077+12060*4+6*9045+6030*2)/20*AG17)</f>
        <v>2337614.7839800003</v>
      </c>
      <c r="AP17" s="270">
        <v>14408.91</v>
      </c>
      <c r="AQ17" s="316" t="s">
        <v>36</v>
      </c>
      <c r="AR17" s="20" t="s">
        <v>132</v>
      </c>
      <c r="AS17" s="336">
        <v>43937</v>
      </c>
      <c r="AT17" s="336"/>
      <c r="AU17" s="323" t="s">
        <v>133</v>
      </c>
      <c r="AV17" s="7"/>
      <c r="AW17" s="7"/>
      <c r="AX17" s="7"/>
      <c r="AY17" s="7"/>
      <c r="AZ17" s="7"/>
      <c r="BA17" s="7"/>
      <c r="BB17" s="7"/>
      <c r="BC17" s="7"/>
      <c r="BD17" s="7"/>
      <c r="BE17" s="7"/>
      <c r="BF17" s="7"/>
      <c r="BG17" s="8"/>
      <c r="BH17" s="8"/>
      <c r="BI17" s="8"/>
      <c r="BJ17" s="8"/>
      <c r="BK17" s="8"/>
      <c r="BL17" s="8"/>
      <c r="BM17" s="8"/>
      <c r="BN17" s="8"/>
      <c r="BO17" s="8"/>
      <c r="BP17" s="8"/>
      <c r="BQ17" s="8"/>
      <c r="BR17" s="8"/>
      <c r="BS17" s="8"/>
      <c r="BT17" s="8"/>
      <c r="BU17" s="8"/>
      <c r="BV17" s="8"/>
      <c r="IP17" s="8"/>
      <c r="IQ17" s="8"/>
      <c r="IR17" s="8"/>
      <c r="IS17" s="8"/>
      <c r="IT17" s="8"/>
      <c r="IU17" s="8"/>
      <c r="IV17" s="8"/>
    </row>
    <row r="18" spans="1:256" s="9" customFormat="1" ht="51">
      <c r="A18" s="370"/>
      <c r="B18" s="105">
        <v>17</v>
      </c>
      <c r="C18" s="25">
        <v>520144</v>
      </c>
      <c r="D18" s="10">
        <v>43888</v>
      </c>
      <c r="E18" s="3">
        <v>49441</v>
      </c>
      <c r="F18" s="3">
        <v>159643</v>
      </c>
      <c r="G18" s="3">
        <v>21136</v>
      </c>
      <c r="H18" s="3">
        <v>34</v>
      </c>
      <c r="I18" s="3"/>
      <c r="J18" s="3">
        <v>351</v>
      </c>
      <c r="K18" s="3">
        <v>6</v>
      </c>
      <c r="L18" s="148" t="s">
        <v>52</v>
      </c>
      <c r="M18" s="148" t="s">
        <v>134</v>
      </c>
      <c r="N18" s="148" t="s">
        <v>135</v>
      </c>
      <c r="O18" s="148"/>
      <c r="P18" s="148" t="s">
        <v>136</v>
      </c>
      <c r="Q18" s="148"/>
      <c r="R18" s="148"/>
      <c r="S18" s="148"/>
      <c r="T18" s="3">
        <v>1</v>
      </c>
      <c r="U18" s="3"/>
      <c r="V18" s="3"/>
      <c r="W18" s="3"/>
      <c r="X18" s="148" t="s">
        <v>44</v>
      </c>
      <c r="Y18" s="3">
        <v>2</v>
      </c>
      <c r="Z18" s="3"/>
      <c r="AA18" s="3">
        <v>3</v>
      </c>
      <c r="AB18" s="3"/>
      <c r="AC18" s="3"/>
      <c r="AD18" s="3"/>
      <c r="AE18" s="182"/>
      <c r="AF18" s="183"/>
      <c r="AG18" s="183">
        <f>55.85+6.23/2</f>
        <v>58.965000000000003</v>
      </c>
      <c r="AH18" s="185"/>
      <c r="AI18" s="185"/>
      <c r="AJ18" s="185"/>
      <c r="AK18" s="185">
        <v>313.64999999999998</v>
      </c>
      <c r="AL18" s="185">
        <f>+(55.85+6.23)/AK18</f>
        <v>0.1979276263350869</v>
      </c>
      <c r="AM18" s="197">
        <f>+AG18/AK18</f>
        <v>0.18799617407938787</v>
      </c>
      <c r="AN18" s="185"/>
      <c r="AO18" s="266">
        <f>+(2*15077+12060*3+4*9045+6030*10)/19*AG18</f>
        <v>505280.3952631579</v>
      </c>
      <c r="AP18" s="274">
        <v>8166.62</v>
      </c>
      <c r="AQ18" s="178" t="s">
        <v>36</v>
      </c>
      <c r="AR18" s="28" t="s">
        <v>137</v>
      </c>
      <c r="AS18" s="339">
        <v>43937</v>
      </c>
      <c r="AT18" s="344"/>
      <c r="AU18" s="317" t="s">
        <v>138</v>
      </c>
      <c r="AV18" s="37"/>
      <c r="AW18" s="37"/>
      <c r="AX18" s="37"/>
      <c r="AY18" s="37"/>
      <c r="AZ18" s="37"/>
      <c r="BA18" s="37"/>
      <c r="BB18" s="37"/>
      <c r="BC18" s="37"/>
      <c r="BD18" s="37"/>
      <c r="BE18" s="8"/>
      <c r="BF18" s="8"/>
      <c r="BG18" s="8"/>
      <c r="BH18" s="8"/>
      <c r="BI18" s="8"/>
      <c r="BJ18" s="8"/>
      <c r="BK18" s="8"/>
      <c r="BL18" s="8"/>
      <c r="BM18" s="8"/>
      <c r="BN18" s="8"/>
      <c r="BO18" s="8"/>
      <c r="BP18" s="8"/>
      <c r="BQ18" s="8"/>
      <c r="BR18" s="8"/>
      <c r="BS18" s="8"/>
      <c r="BT18" s="8"/>
      <c r="IN18" s="8"/>
      <c r="IO18" s="8"/>
      <c r="IP18" s="8"/>
      <c r="IQ18" s="8"/>
      <c r="IR18" s="8"/>
      <c r="IS18" s="8"/>
      <c r="IT18" s="8"/>
      <c r="IU18" s="8"/>
      <c r="IV18" s="8"/>
    </row>
    <row r="19" spans="1:256" s="9" customFormat="1" ht="63.75">
      <c r="A19" s="370"/>
      <c r="B19" s="105">
        <v>18</v>
      </c>
      <c r="C19" s="108">
        <v>517757</v>
      </c>
      <c r="D19" s="13">
        <v>43832</v>
      </c>
      <c r="E19" s="3">
        <v>39274</v>
      </c>
      <c r="F19" s="3">
        <v>138092</v>
      </c>
      <c r="G19" s="3">
        <v>20409</v>
      </c>
      <c r="H19" s="3">
        <v>62</v>
      </c>
      <c r="I19" s="3"/>
      <c r="J19" s="3">
        <v>434</v>
      </c>
      <c r="K19" s="3">
        <v>2</v>
      </c>
      <c r="L19" s="148" t="s">
        <v>52</v>
      </c>
      <c r="M19" s="148" t="s">
        <v>139</v>
      </c>
      <c r="N19" s="148" t="s">
        <v>140</v>
      </c>
      <c r="O19" s="148"/>
      <c r="P19" s="148" t="s">
        <v>141</v>
      </c>
      <c r="Q19" s="148" t="s">
        <v>142</v>
      </c>
      <c r="R19" s="148" t="s">
        <v>141</v>
      </c>
      <c r="S19" s="148" t="s">
        <v>143</v>
      </c>
      <c r="T19" s="3"/>
      <c r="U19" s="3">
        <f>1+1</f>
        <v>2</v>
      </c>
      <c r="V19" s="3"/>
      <c r="W19" s="3"/>
      <c r="X19" s="148" t="s">
        <v>144</v>
      </c>
      <c r="Y19" s="3"/>
      <c r="Z19" s="3">
        <v>1</v>
      </c>
      <c r="AA19" s="3"/>
      <c r="AB19" s="3">
        <f>+Z19+3+1</f>
        <v>5</v>
      </c>
      <c r="AC19" s="3"/>
      <c r="AD19" s="3"/>
      <c r="AE19" s="182"/>
      <c r="AF19" s="182"/>
      <c r="AG19" s="182"/>
      <c r="AH19" s="183"/>
      <c r="AI19" s="183">
        <f>4*8.15</f>
        <v>32.6</v>
      </c>
      <c r="AJ19" s="183">
        <f>175.5+(1.8*2.2)/2-AI19</f>
        <v>144.88</v>
      </c>
      <c r="AK19" s="184">
        <v>1297.5</v>
      </c>
      <c r="AL19" s="184">
        <f>+(175.5+(1.8*2.2))/AK19</f>
        <v>0.13831213872832371</v>
      </c>
      <c r="AM19" s="184">
        <f>+(AI19+AJ19)/AK19</f>
        <v>0.13678612716763006</v>
      </c>
      <c r="AN19" s="184"/>
      <c r="AO19" s="263">
        <f>+AJ19*8934+((1*11168+3*8934+6*6700+9*4466)/19*AI19)</f>
        <v>1497445.6252631578</v>
      </c>
      <c r="AP19" s="264">
        <v>9178.1200000000008</v>
      </c>
      <c r="AQ19" s="313" t="s">
        <v>36</v>
      </c>
      <c r="AR19" s="4" t="s">
        <v>145</v>
      </c>
      <c r="AS19" s="334">
        <v>43937</v>
      </c>
      <c r="AT19" s="334"/>
      <c r="AU19" s="317" t="s">
        <v>146</v>
      </c>
      <c r="AV19" s="7"/>
      <c r="AW19" s="7"/>
      <c r="AX19" s="7"/>
      <c r="AY19" s="7"/>
      <c r="AZ19" s="7"/>
      <c r="BA19" s="7"/>
      <c r="BB19" s="7"/>
      <c r="BC19" s="7"/>
      <c r="BD19" s="7"/>
      <c r="BE19" s="7"/>
      <c r="BF19" s="7"/>
      <c r="BG19" s="8"/>
      <c r="BH19" s="8"/>
      <c r="BI19" s="8"/>
      <c r="BJ19" s="8"/>
      <c r="BK19" s="8"/>
      <c r="BL19" s="8"/>
      <c r="BM19" s="8"/>
      <c r="BN19" s="8"/>
      <c r="BO19" s="8"/>
      <c r="BP19" s="8"/>
      <c r="BQ19" s="8"/>
      <c r="BR19" s="8"/>
      <c r="BS19" s="8"/>
      <c r="BT19" s="8"/>
      <c r="BU19" s="8"/>
      <c r="BV19" s="8"/>
      <c r="IP19" s="8"/>
      <c r="IQ19" s="8"/>
      <c r="IR19" s="8"/>
      <c r="IS19" s="8"/>
      <c r="IT19" s="8"/>
      <c r="IU19" s="8"/>
      <c r="IV19" s="8"/>
    </row>
    <row r="20" spans="1:256" s="31" customFormat="1" ht="102">
      <c r="A20" s="370"/>
      <c r="B20" s="104">
        <v>19</v>
      </c>
      <c r="C20" s="25">
        <v>520132</v>
      </c>
      <c r="D20" s="10">
        <v>43888</v>
      </c>
      <c r="E20" s="25">
        <v>26694</v>
      </c>
      <c r="F20" s="25">
        <v>122401</v>
      </c>
      <c r="G20" s="25">
        <v>6288</v>
      </c>
      <c r="H20" s="25"/>
      <c r="I20" s="25"/>
      <c r="J20" s="25">
        <v>801</v>
      </c>
      <c r="K20" s="25">
        <v>10</v>
      </c>
      <c r="L20" s="148" t="s">
        <v>99</v>
      </c>
      <c r="M20" s="148" t="s">
        <v>147</v>
      </c>
      <c r="N20" s="148" t="s">
        <v>148</v>
      </c>
      <c r="O20" s="148"/>
      <c r="P20" s="148" t="s">
        <v>141</v>
      </c>
      <c r="Q20" s="148"/>
      <c r="R20" s="148"/>
      <c r="S20" s="148"/>
      <c r="T20" s="25">
        <f>2+1</f>
        <v>3</v>
      </c>
      <c r="U20" s="26"/>
      <c r="V20" s="25"/>
      <c r="W20" s="25"/>
      <c r="X20" s="148" t="s">
        <v>96</v>
      </c>
      <c r="Y20" s="25">
        <f>2+1+1</f>
        <v>4</v>
      </c>
      <c r="Z20" s="26"/>
      <c r="AA20" s="27">
        <f>2+1+1+1</f>
        <v>5</v>
      </c>
      <c r="AB20" s="26"/>
      <c r="AC20" s="27"/>
      <c r="AD20" s="26"/>
      <c r="AE20" s="183">
        <f>62.3+6.5/2</f>
        <v>65.55</v>
      </c>
      <c r="AF20" s="183"/>
      <c r="AG20" s="183">
        <f>72.9+26.73+66.4/2</f>
        <v>132.83000000000001</v>
      </c>
      <c r="AH20" s="197"/>
      <c r="AI20" s="198"/>
      <c r="AJ20" s="198"/>
      <c r="AK20" s="197">
        <v>483.99</v>
      </c>
      <c r="AL20" s="197">
        <f>+(62.3+6.5+72.9+66.4)/AK20</f>
        <v>0.42996756131325026</v>
      </c>
      <c r="AM20" s="197">
        <f>+(AE20+AG20)/AK20</f>
        <v>0.40988450174590385</v>
      </c>
      <c r="AN20" s="197"/>
      <c r="AO20" s="275">
        <f>+(7*12060+5*9045+6030*9)/21*AG20</f>
        <v>1163306.1642857145</v>
      </c>
      <c r="AP20" s="276"/>
      <c r="AQ20" s="178" t="s">
        <v>36</v>
      </c>
      <c r="AR20" s="28" t="s">
        <v>149</v>
      </c>
      <c r="AS20" s="340">
        <v>43942</v>
      </c>
      <c r="AT20" s="355"/>
      <c r="AU20" s="378" t="s">
        <v>150</v>
      </c>
      <c r="AV20" s="39"/>
      <c r="AW20" s="39"/>
      <c r="AX20" s="39"/>
      <c r="AY20" s="39"/>
      <c r="AZ20" s="39"/>
      <c r="BA20" s="39"/>
      <c r="BB20" s="39"/>
      <c r="BC20" s="39"/>
      <c r="BD20" s="39"/>
      <c r="BE20" s="30"/>
      <c r="BF20" s="30"/>
      <c r="BG20" s="30"/>
      <c r="BH20" s="30"/>
      <c r="BI20" s="30"/>
      <c r="BJ20" s="30"/>
      <c r="BK20" s="30"/>
      <c r="BL20" s="30"/>
      <c r="BM20" s="30"/>
      <c r="BN20" s="30"/>
      <c r="BO20" s="30"/>
      <c r="BP20" s="30"/>
      <c r="BQ20" s="30"/>
      <c r="BR20" s="30"/>
      <c r="BS20" s="30"/>
      <c r="BT20" s="30"/>
      <c r="IN20" s="30"/>
      <c r="IO20" s="30"/>
      <c r="IP20" s="30"/>
      <c r="IQ20" s="30"/>
      <c r="IR20" s="30"/>
      <c r="IS20" s="30"/>
      <c r="IT20" s="30"/>
      <c r="IU20" s="30"/>
      <c r="IV20" s="30"/>
    </row>
    <row r="21" spans="1:256" s="31" customFormat="1" ht="25.5">
      <c r="A21" s="370"/>
      <c r="B21" s="108">
        <v>20</v>
      </c>
      <c r="C21" s="108">
        <v>518015</v>
      </c>
      <c r="D21" s="40">
        <v>43838</v>
      </c>
      <c r="E21" s="25">
        <v>48054</v>
      </c>
      <c r="F21" s="25">
        <v>148990</v>
      </c>
      <c r="G21" s="25">
        <v>32448</v>
      </c>
      <c r="H21" s="25">
        <v>327</v>
      </c>
      <c r="I21" s="25"/>
      <c r="J21" s="25">
        <v>3</v>
      </c>
      <c r="K21" s="25">
        <v>18</v>
      </c>
      <c r="L21" s="148"/>
      <c r="M21" s="148" t="s">
        <v>151</v>
      </c>
      <c r="N21" s="148" t="s">
        <v>152</v>
      </c>
      <c r="O21" s="148"/>
      <c r="P21" s="148" t="s">
        <v>153</v>
      </c>
      <c r="Q21" s="148" t="s">
        <v>153</v>
      </c>
      <c r="R21" s="148" t="s">
        <v>153</v>
      </c>
      <c r="S21" s="148" t="s">
        <v>152</v>
      </c>
      <c r="T21" s="25"/>
      <c r="U21" s="26">
        <v>1</v>
      </c>
      <c r="V21" s="25"/>
      <c r="W21" s="25"/>
      <c r="X21" s="148" t="s">
        <v>154</v>
      </c>
      <c r="Y21" s="25"/>
      <c r="Z21" s="26"/>
      <c r="AA21" s="27"/>
      <c r="AB21" s="26"/>
      <c r="AC21" s="27"/>
      <c r="AD21" s="26"/>
      <c r="AE21" s="183"/>
      <c r="AF21" s="183"/>
      <c r="AG21" s="183"/>
      <c r="AH21" s="183"/>
      <c r="AI21" s="192"/>
      <c r="AJ21" s="193">
        <f>128.27+4.45/2+90</f>
        <v>220.495</v>
      </c>
      <c r="AK21" s="194">
        <v>374.5</v>
      </c>
      <c r="AL21" s="194">
        <f>+AJ21/AK21</f>
        <v>0.58877169559412557</v>
      </c>
      <c r="AM21" s="194">
        <f>+(128.27+4.45/2+90)/AK21</f>
        <v>0.58877169559412557</v>
      </c>
      <c r="AN21" s="194">
        <f>+(15+8+5)/(5+2+1)</f>
        <v>3.5</v>
      </c>
      <c r="AO21" s="263">
        <f>+AJ21*8934</f>
        <v>1969902.33</v>
      </c>
      <c r="AP21" s="263">
        <v>8107.72</v>
      </c>
      <c r="AQ21" s="313" t="s">
        <v>65</v>
      </c>
      <c r="AR21" s="6" t="s">
        <v>155</v>
      </c>
      <c r="AS21" s="337">
        <v>43942</v>
      </c>
      <c r="AT21" s="337"/>
      <c r="AU21" s="317" t="s">
        <v>156</v>
      </c>
      <c r="AV21" s="29"/>
      <c r="AW21" s="29"/>
      <c r="AX21" s="29"/>
      <c r="AY21" s="29"/>
      <c r="AZ21" s="29"/>
      <c r="BA21" s="29"/>
      <c r="BB21" s="29"/>
      <c r="BC21" s="29"/>
      <c r="BD21" s="29"/>
      <c r="BE21" s="29"/>
      <c r="BF21" s="29"/>
      <c r="BG21" s="30"/>
      <c r="BH21" s="30"/>
      <c r="BI21" s="30"/>
      <c r="BJ21" s="30"/>
      <c r="BK21" s="30"/>
      <c r="BL21" s="30"/>
      <c r="BM21" s="30"/>
      <c r="BN21" s="30"/>
      <c r="BO21" s="30"/>
      <c r="BP21" s="30"/>
      <c r="BQ21" s="30"/>
      <c r="BR21" s="30"/>
      <c r="BS21" s="30"/>
      <c r="BT21" s="30"/>
      <c r="BU21" s="30"/>
      <c r="BV21" s="30"/>
      <c r="IP21" s="30"/>
      <c r="IQ21" s="30"/>
      <c r="IR21" s="30"/>
      <c r="IS21" s="30"/>
      <c r="IT21" s="30"/>
      <c r="IU21" s="30"/>
      <c r="IV21" s="30"/>
    </row>
    <row r="22" spans="1:256" s="31" customFormat="1" ht="64.5" thickBot="1">
      <c r="A22" s="371"/>
      <c r="B22" s="128">
        <v>21</v>
      </c>
      <c r="C22" s="54">
        <v>520457</v>
      </c>
      <c r="D22" s="35">
        <v>43894</v>
      </c>
      <c r="E22" s="54">
        <v>56543</v>
      </c>
      <c r="F22" s="54">
        <v>512</v>
      </c>
      <c r="G22" s="54">
        <v>4180</v>
      </c>
      <c r="H22" s="54"/>
      <c r="I22" s="54"/>
      <c r="J22" s="54">
        <v>19</v>
      </c>
      <c r="K22" s="54">
        <v>15</v>
      </c>
      <c r="L22" s="150" t="s">
        <v>31</v>
      </c>
      <c r="M22" s="150" t="s">
        <v>157</v>
      </c>
      <c r="N22" s="150" t="s">
        <v>158</v>
      </c>
      <c r="O22" s="150"/>
      <c r="P22" s="150" t="s">
        <v>159</v>
      </c>
      <c r="Q22" s="150" t="s">
        <v>159</v>
      </c>
      <c r="R22" s="150" t="s">
        <v>159</v>
      </c>
      <c r="S22" s="150" t="s">
        <v>160</v>
      </c>
      <c r="T22" s="54">
        <f>2+1</f>
        <v>3</v>
      </c>
      <c r="U22" s="54">
        <v>1</v>
      </c>
      <c r="V22" s="54"/>
      <c r="W22" s="54"/>
      <c r="X22" s="150" t="s">
        <v>161</v>
      </c>
      <c r="Y22" s="54"/>
      <c r="Z22" s="54"/>
      <c r="AA22" s="54"/>
      <c r="AB22" s="54"/>
      <c r="AC22" s="54"/>
      <c r="AD22" s="179"/>
      <c r="AE22" s="199">
        <v>33.200000000000003</v>
      </c>
      <c r="AF22" s="200">
        <v>52</v>
      </c>
      <c r="AG22" s="201"/>
      <c r="AH22" s="202"/>
      <c r="AI22" s="203">
        <f>78.8+7/2+1/2</f>
        <v>82.8</v>
      </c>
      <c r="AJ22" s="204"/>
      <c r="AK22" s="205">
        <v>292.48</v>
      </c>
      <c r="AL22" s="196">
        <f>+(AE22+AF22+78.8+7+1)/AK22</f>
        <v>0.58807439824945296</v>
      </c>
      <c r="AM22" s="196">
        <f>+(AE22+AF22+AI22)/AK22</f>
        <v>0.57439824945295404</v>
      </c>
      <c r="AN22" s="196">
        <f>+(2+21+4)/(1+7+1)</f>
        <v>3</v>
      </c>
      <c r="AO22" s="277">
        <f>+((8*11168+3*8934+6*6700+3*4466)/20*AI22)</f>
        <v>702740.16</v>
      </c>
      <c r="AP22" s="278">
        <v>3791.53</v>
      </c>
      <c r="AQ22" s="318" t="s">
        <v>36</v>
      </c>
      <c r="AR22" s="36" t="s">
        <v>162</v>
      </c>
      <c r="AS22" s="341">
        <v>43970</v>
      </c>
      <c r="AT22" s="356"/>
      <c r="AU22" s="322" t="s">
        <v>163</v>
      </c>
      <c r="AV22" s="39"/>
      <c r="AW22" s="39"/>
      <c r="AX22" s="39"/>
      <c r="AY22" s="39"/>
      <c r="AZ22" s="39"/>
      <c r="BA22" s="39"/>
      <c r="BB22" s="39"/>
      <c r="BC22" s="39"/>
      <c r="BD22" s="39"/>
      <c r="BE22" s="30"/>
      <c r="BF22" s="30"/>
      <c r="BG22" s="30"/>
      <c r="BH22" s="30"/>
      <c r="BI22" s="30"/>
      <c r="BJ22" s="30"/>
      <c r="BK22" s="30"/>
      <c r="BL22" s="30"/>
      <c r="BM22" s="30"/>
      <c r="BN22" s="30"/>
      <c r="BO22" s="30"/>
      <c r="BP22" s="30"/>
      <c r="BQ22" s="30"/>
      <c r="BR22" s="30"/>
      <c r="BS22" s="30"/>
      <c r="BT22" s="30"/>
      <c r="IN22" s="30"/>
      <c r="IO22" s="30"/>
      <c r="IP22" s="30"/>
      <c r="IQ22" s="30"/>
      <c r="IR22" s="30"/>
      <c r="IS22" s="30"/>
      <c r="IT22" s="30"/>
      <c r="IU22" s="30"/>
      <c r="IV22" s="30"/>
    </row>
    <row r="23" spans="1:256" s="9" customFormat="1" ht="63.75">
      <c r="A23" s="370" t="s">
        <v>164</v>
      </c>
      <c r="B23" s="103">
        <v>22</v>
      </c>
      <c r="C23" s="57">
        <v>521146</v>
      </c>
      <c r="D23" s="18">
        <v>43907</v>
      </c>
      <c r="E23" s="19">
        <v>46751</v>
      </c>
      <c r="F23" s="19">
        <v>149931</v>
      </c>
      <c r="G23" s="19">
        <v>9213</v>
      </c>
      <c r="H23" s="19"/>
      <c r="I23" s="19"/>
      <c r="J23" s="19">
        <v>914</v>
      </c>
      <c r="K23" s="19">
        <v>23</v>
      </c>
      <c r="L23" s="151" t="s">
        <v>31</v>
      </c>
      <c r="M23" s="151" t="s">
        <v>165</v>
      </c>
      <c r="N23" s="151" t="s">
        <v>166</v>
      </c>
      <c r="O23" s="151"/>
      <c r="P23" s="151" t="s">
        <v>34</v>
      </c>
      <c r="Q23" s="151" t="s">
        <v>34</v>
      </c>
      <c r="R23" s="151" t="s">
        <v>34</v>
      </c>
      <c r="S23" s="151" t="s">
        <v>143</v>
      </c>
      <c r="T23" s="19"/>
      <c r="U23" s="19">
        <v>2</v>
      </c>
      <c r="V23" s="19"/>
      <c r="W23" s="19"/>
      <c r="X23" s="151" t="s">
        <v>161</v>
      </c>
      <c r="Y23" s="19"/>
      <c r="Z23" s="19">
        <v>2</v>
      </c>
      <c r="AA23" s="19"/>
      <c r="AB23" s="19">
        <f>+Z23+1</f>
        <v>3</v>
      </c>
      <c r="AC23" s="19"/>
      <c r="AD23" s="19"/>
      <c r="AE23" s="189"/>
      <c r="AF23" s="190"/>
      <c r="AG23" s="190"/>
      <c r="AH23" s="206"/>
      <c r="AI23" s="206">
        <f>58.45+16.12/2</f>
        <v>66.510000000000005</v>
      </c>
      <c r="AJ23" s="206">
        <v>62.75</v>
      </c>
      <c r="AK23" s="206">
        <v>225.11</v>
      </c>
      <c r="AL23" s="206">
        <f>+(119.2+16.12)/AK23</f>
        <v>0.60112833725734083</v>
      </c>
      <c r="AM23" s="207">
        <f>+(AI23+AJ23)/AK23</f>
        <v>0.57420816489716131</v>
      </c>
      <c r="AN23" s="206"/>
      <c r="AO23" s="279">
        <f>+(AJ23*12060)+((6*12060+6*9045+8*6030)/20*AI23)</f>
        <v>1338295.1850000001</v>
      </c>
      <c r="AP23" s="280">
        <v>5401.47</v>
      </c>
      <c r="AQ23" s="320" t="s">
        <v>36</v>
      </c>
      <c r="AR23" s="41" t="s">
        <v>167</v>
      </c>
      <c r="AS23" s="342">
        <v>43980</v>
      </c>
      <c r="AT23" s="357"/>
      <c r="AU23" s="323" t="s">
        <v>168</v>
      </c>
      <c r="AV23" s="37"/>
      <c r="AW23" s="37"/>
      <c r="AX23" s="37"/>
      <c r="AY23" s="37"/>
      <c r="AZ23" s="37"/>
      <c r="BA23" s="37"/>
      <c r="BB23" s="37"/>
      <c r="BC23" s="37"/>
      <c r="BD23" s="37"/>
      <c r="BE23" s="8"/>
      <c r="BF23" s="8"/>
      <c r="BG23" s="8"/>
      <c r="BH23" s="8"/>
      <c r="BI23" s="8"/>
      <c r="BJ23" s="8"/>
      <c r="BK23" s="8"/>
      <c r="BL23" s="8"/>
      <c r="BM23" s="8"/>
      <c r="BN23" s="8"/>
      <c r="BO23" s="8"/>
      <c r="BP23" s="8"/>
      <c r="BQ23" s="8"/>
      <c r="BR23" s="8"/>
      <c r="BS23" s="8"/>
      <c r="BT23" s="8"/>
      <c r="IN23" s="8"/>
      <c r="IO23" s="8"/>
      <c r="IP23" s="8"/>
      <c r="IQ23" s="8"/>
      <c r="IR23" s="8"/>
      <c r="IS23" s="8"/>
      <c r="IT23" s="8"/>
      <c r="IU23" s="8"/>
      <c r="IV23" s="8"/>
    </row>
    <row r="24" spans="1:256" s="9" customFormat="1" ht="64.5" thickBot="1">
      <c r="A24" s="371"/>
      <c r="B24" s="128">
        <v>23</v>
      </c>
      <c r="C24" s="54">
        <v>520434</v>
      </c>
      <c r="D24" s="14">
        <v>43865</v>
      </c>
      <c r="E24" s="15">
        <v>37889</v>
      </c>
      <c r="F24" s="15">
        <v>137012</v>
      </c>
      <c r="G24" s="15">
        <v>31467</v>
      </c>
      <c r="H24" s="15">
        <v>223</v>
      </c>
      <c r="I24" s="15"/>
      <c r="J24" s="15">
        <v>3</v>
      </c>
      <c r="K24" s="15">
        <v>4</v>
      </c>
      <c r="L24" s="150" t="s">
        <v>39</v>
      </c>
      <c r="M24" s="150" t="s">
        <v>169</v>
      </c>
      <c r="N24" s="150" t="s">
        <v>170</v>
      </c>
      <c r="O24" s="150"/>
      <c r="P24" s="150" t="s">
        <v>136</v>
      </c>
      <c r="Q24" s="150"/>
      <c r="R24" s="150"/>
      <c r="S24" s="150"/>
      <c r="T24" s="15">
        <v>1</v>
      </c>
      <c r="U24" s="15"/>
      <c r="V24" s="15"/>
      <c r="W24" s="15"/>
      <c r="X24" s="150" t="s">
        <v>44</v>
      </c>
      <c r="Y24" s="15">
        <v>2</v>
      </c>
      <c r="Z24" s="15"/>
      <c r="AA24" s="15">
        <f>+Y24+1</f>
        <v>3</v>
      </c>
      <c r="AB24" s="15"/>
      <c r="AC24" s="15">
        <f>+Y24+1</f>
        <v>3</v>
      </c>
      <c r="AD24" s="15"/>
      <c r="AE24" s="186"/>
      <c r="AF24" s="187"/>
      <c r="AG24" s="187">
        <f>79.74+13.52/2</f>
        <v>86.5</v>
      </c>
      <c r="AH24" s="195"/>
      <c r="AI24" s="195"/>
      <c r="AJ24" s="195"/>
      <c r="AK24" s="195">
        <v>2140</v>
      </c>
      <c r="AL24" s="195">
        <f>+(76.714+13.52)/AK24</f>
        <v>4.2165420560747659E-2</v>
      </c>
      <c r="AM24" s="196">
        <f>+AG24/AK24</f>
        <v>4.042056074766355E-2</v>
      </c>
      <c r="AN24" s="195"/>
      <c r="AO24" s="272">
        <f>+(2*15077+6*12060+4*9045+8*6030)/20*(AG24)</f>
        <v>808489.55</v>
      </c>
      <c r="AP24" s="273">
        <v>11730.4</v>
      </c>
      <c r="AQ24" s="318" t="s">
        <v>36</v>
      </c>
      <c r="AR24" s="36" t="s">
        <v>171</v>
      </c>
      <c r="AS24" s="338">
        <v>43980</v>
      </c>
      <c r="AT24" s="354"/>
      <c r="AU24" s="322" t="s">
        <v>172</v>
      </c>
      <c r="AV24" s="42"/>
      <c r="AW24" s="37"/>
      <c r="AX24" s="37"/>
      <c r="AY24" s="37"/>
      <c r="AZ24" s="37"/>
      <c r="BA24" s="37"/>
      <c r="BB24" s="37"/>
      <c r="BC24" s="37"/>
      <c r="BD24" s="37"/>
      <c r="BE24" s="8"/>
      <c r="BF24" s="8"/>
      <c r="BG24" s="8"/>
      <c r="BH24" s="8"/>
      <c r="BI24" s="8"/>
      <c r="BJ24" s="8"/>
      <c r="BK24" s="8"/>
      <c r="BL24" s="8"/>
      <c r="BM24" s="8"/>
      <c r="BN24" s="8"/>
      <c r="BO24" s="8"/>
      <c r="BP24" s="8"/>
      <c r="BQ24" s="8"/>
      <c r="BR24" s="8"/>
      <c r="BS24" s="8"/>
      <c r="BT24" s="8"/>
      <c r="IN24" s="8"/>
      <c r="IO24" s="8"/>
      <c r="IP24" s="8"/>
      <c r="IQ24" s="8"/>
      <c r="IR24" s="8"/>
      <c r="IS24" s="8"/>
      <c r="IT24" s="8"/>
      <c r="IU24" s="8"/>
      <c r="IV24" s="8"/>
    </row>
    <row r="25" spans="1:256" s="9" customFormat="1" ht="127.5">
      <c r="A25" s="370" t="s">
        <v>173</v>
      </c>
      <c r="B25" s="103">
        <v>24</v>
      </c>
      <c r="C25" s="57">
        <v>514813</v>
      </c>
      <c r="D25" s="18">
        <v>43760</v>
      </c>
      <c r="E25" s="19">
        <v>8968</v>
      </c>
      <c r="F25" s="19">
        <v>668</v>
      </c>
      <c r="G25" s="19">
        <v>1365</v>
      </c>
      <c r="H25" s="19"/>
      <c r="I25" s="19"/>
      <c r="J25" s="19">
        <v>75</v>
      </c>
      <c r="K25" s="19">
        <v>8</v>
      </c>
      <c r="L25" s="151" t="s">
        <v>86</v>
      </c>
      <c r="M25" s="151" t="s">
        <v>174</v>
      </c>
      <c r="N25" s="151" t="s">
        <v>175</v>
      </c>
      <c r="O25" s="152" t="s">
        <v>176</v>
      </c>
      <c r="P25" s="151" t="s">
        <v>177</v>
      </c>
      <c r="Q25" s="151" t="s">
        <v>177</v>
      </c>
      <c r="R25" s="151" t="s">
        <v>177</v>
      </c>
      <c r="S25" s="151" t="s">
        <v>178</v>
      </c>
      <c r="T25" s="19"/>
      <c r="U25" s="19">
        <v>2</v>
      </c>
      <c r="V25" s="19"/>
      <c r="W25" s="19"/>
      <c r="X25" s="151" t="s">
        <v>179</v>
      </c>
      <c r="Y25" s="19"/>
      <c r="Z25" s="19">
        <v>2</v>
      </c>
      <c r="AA25" s="19"/>
      <c r="AB25" s="19">
        <f>2+2</f>
        <v>4</v>
      </c>
      <c r="AC25" s="19"/>
      <c r="AD25" s="19"/>
      <c r="AE25" s="189"/>
      <c r="AF25" s="190"/>
      <c r="AG25" s="190">
        <v>228.76</v>
      </c>
      <c r="AH25" s="206"/>
      <c r="AI25" s="206">
        <v>360.35</v>
      </c>
      <c r="AJ25" s="206">
        <v>404.49</v>
      </c>
      <c r="AK25" s="206">
        <v>633.32000000000005</v>
      </c>
      <c r="AL25" s="206">
        <v>0.71</v>
      </c>
      <c r="AM25" s="207">
        <v>1.57</v>
      </c>
      <c r="AN25" s="206">
        <f>+(2+6+21)/(2+3+7)</f>
        <v>2.4166666666666665</v>
      </c>
      <c r="AO25" s="279">
        <f>+((9*1+5*2+7*3+2*4)/23*228.76)+((9*1+5*2+7*3+2*4)/23*(360.35+404.49))</f>
        <v>2073.6</v>
      </c>
      <c r="AP25" s="280">
        <v>71685.33</v>
      </c>
      <c r="AQ25" s="320" t="s">
        <v>65</v>
      </c>
      <c r="AR25" s="41" t="s">
        <v>180</v>
      </c>
      <c r="AS25" s="342">
        <v>43983</v>
      </c>
      <c r="AT25" s="357"/>
      <c r="AU25" s="323" t="s">
        <v>181</v>
      </c>
      <c r="AV25" s="37"/>
      <c r="AW25" s="37"/>
      <c r="AX25" s="37"/>
      <c r="AY25" s="37"/>
      <c r="AZ25" s="37"/>
      <c r="BA25" s="37"/>
      <c r="BB25" s="37"/>
      <c r="BC25" s="37"/>
      <c r="BD25" s="37"/>
      <c r="BE25" s="8"/>
      <c r="BF25" s="8"/>
      <c r="BG25" s="8"/>
      <c r="BH25" s="8"/>
      <c r="BI25" s="8"/>
      <c r="BJ25" s="8"/>
      <c r="BK25" s="8"/>
      <c r="BL25" s="8"/>
      <c r="BM25" s="8"/>
      <c r="BN25" s="8"/>
      <c r="BO25" s="8"/>
      <c r="BP25" s="8"/>
      <c r="BQ25" s="8"/>
      <c r="BR25" s="8"/>
      <c r="BS25" s="8"/>
      <c r="BT25" s="8"/>
      <c r="IN25" s="8"/>
      <c r="IO25" s="8"/>
      <c r="IP25" s="8"/>
      <c r="IQ25" s="8"/>
      <c r="IR25" s="8"/>
      <c r="IS25" s="8"/>
      <c r="IT25" s="8"/>
      <c r="IU25" s="8"/>
      <c r="IV25" s="8"/>
    </row>
    <row r="26" spans="1:256" s="9" customFormat="1" ht="51">
      <c r="A26" s="370"/>
      <c r="B26" s="105">
        <v>25</v>
      </c>
      <c r="C26" s="108">
        <v>443001</v>
      </c>
      <c r="D26" s="13">
        <v>43199</v>
      </c>
      <c r="E26" s="3">
        <v>40518</v>
      </c>
      <c r="F26" s="3">
        <v>139033</v>
      </c>
      <c r="G26" s="3">
        <v>20497</v>
      </c>
      <c r="H26" s="3"/>
      <c r="I26" s="3"/>
      <c r="J26" s="3">
        <v>352</v>
      </c>
      <c r="K26" s="3">
        <v>6</v>
      </c>
      <c r="L26" s="148" t="s">
        <v>52</v>
      </c>
      <c r="M26" s="148" t="s">
        <v>182</v>
      </c>
      <c r="N26" s="148" t="s">
        <v>183</v>
      </c>
      <c r="O26" s="148"/>
      <c r="P26" s="148" t="s">
        <v>184</v>
      </c>
      <c r="Q26" s="148" t="s">
        <v>184</v>
      </c>
      <c r="R26" s="148" t="s">
        <v>184</v>
      </c>
      <c r="S26" s="148" t="s">
        <v>185</v>
      </c>
      <c r="T26" s="3"/>
      <c r="U26" s="3"/>
      <c r="V26" s="3">
        <v>1</v>
      </c>
      <c r="W26" s="3"/>
      <c r="X26" s="148" t="s">
        <v>44</v>
      </c>
      <c r="Y26" s="3">
        <v>2</v>
      </c>
      <c r="Z26" s="3">
        <v>4</v>
      </c>
      <c r="AA26" s="3">
        <f>2+1</f>
        <v>3</v>
      </c>
      <c r="AB26" s="3">
        <v>4</v>
      </c>
      <c r="AC26" s="3"/>
      <c r="AD26" s="3"/>
      <c r="AE26" s="182">
        <f>91.05+10.41/2</f>
        <v>96.254999999999995</v>
      </c>
      <c r="AF26" s="182"/>
      <c r="AG26" s="182">
        <f>53.19+1.86/2</f>
        <v>54.12</v>
      </c>
      <c r="AH26" s="183"/>
      <c r="AI26" s="183">
        <f>96.48+1.66/2</f>
        <v>97.31</v>
      </c>
      <c r="AJ26" s="183"/>
      <c r="AK26" s="184">
        <v>330</v>
      </c>
      <c r="AL26" s="184">
        <f>+(146.68+9.83)/AK26</f>
        <v>0.47427272727272735</v>
      </c>
      <c r="AM26" s="184">
        <f>+(AE26+AG26+AI26)/AK26</f>
        <v>0.75056060606060604</v>
      </c>
      <c r="AN26" s="184"/>
      <c r="AO26" s="263">
        <f>+(7*15077+5*12060+9*9045+2*6030)/23*(AG26+AI26)</f>
        <v>1707234.987826087</v>
      </c>
      <c r="AP26" s="264">
        <v>13179.14</v>
      </c>
      <c r="AQ26" s="313" t="s">
        <v>36</v>
      </c>
      <c r="AR26" s="4" t="s">
        <v>186</v>
      </c>
      <c r="AS26" s="334">
        <v>43984</v>
      </c>
      <c r="AT26" s="334"/>
      <c r="AU26" s="317" t="s">
        <v>187</v>
      </c>
      <c r="AV26" s="7"/>
      <c r="AW26" s="7"/>
      <c r="AX26" s="7"/>
      <c r="AY26" s="7"/>
      <c r="AZ26" s="7"/>
      <c r="BA26" s="7"/>
      <c r="BB26" s="7"/>
      <c r="BC26" s="7"/>
      <c r="BD26" s="7"/>
      <c r="BE26" s="7"/>
      <c r="BF26" s="7"/>
      <c r="BG26" s="8"/>
      <c r="BH26" s="8"/>
      <c r="BI26" s="8"/>
      <c r="BJ26" s="8"/>
      <c r="BK26" s="8"/>
      <c r="BL26" s="8"/>
      <c r="BM26" s="8"/>
      <c r="BN26" s="8"/>
      <c r="BO26" s="8"/>
      <c r="BP26" s="8"/>
      <c r="BQ26" s="8"/>
      <c r="BR26" s="8"/>
      <c r="BS26" s="8"/>
      <c r="BT26" s="8"/>
      <c r="BU26" s="8"/>
      <c r="BV26" s="8"/>
      <c r="IP26" s="8"/>
      <c r="IQ26" s="8"/>
      <c r="IR26" s="8"/>
      <c r="IS26" s="8"/>
      <c r="IT26" s="8"/>
      <c r="IU26" s="8"/>
      <c r="IV26" s="8"/>
    </row>
    <row r="27" spans="1:256" s="31" customFormat="1" ht="51">
      <c r="A27" s="370"/>
      <c r="B27" s="105">
        <v>26</v>
      </c>
      <c r="C27" s="110">
        <v>521552</v>
      </c>
      <c r="D27" s="43">
        <v>43962</v>
      </c>
      <c r="E27" s="25">
        <v>21447</v>
      </c>
      <c r="F27" s="25">
        <v>110672</v>
      </c>
      <c r="G27" s="25">
        <v>5147</v>
      </c>
      <c r="H27" s="25"/>
      <c r="I27" s="25"/>
      <c r="J27" s="25">
        <v>529</v>
      </c>
      <c r="K27" s="25">
        <v>6</v>
      </c>
      <c r="L27" s="148" t="s">
        <v>31</v>
      </c>
      <c r="M27" s="148" t="s">
        <v>188</v>
      </c>
      <c r="N27" s="148" t="s">
        <v>189</v>
      </c>
      <c r="O27" s="148"/>
      <c r="P27" s="148" t="s">
        <v>190</v>
      </c>
      <c r="Q27" s="148" t="s">
        <v>190</v>
      </c>
      <c r="R27" s="148" t="s">
        <v>190</v>
      </c>
      <c r="S27" s="148" t="s">
        <v>191</v>
      </c>
      <c r="T27" s="25"/>
      <c r="U27" s="25">
        <v>3</v>
      </c>
      <c r="V27" s="25"/>
      <c r="W27" s="25"/>
      <c r="X27" s="148" t="s">
        <v>96</v>
      </c>
      <c r="Y27" s="25"/>
      <c r="Z27" s="25">
        <f>3*3</f>
        <v>9</v>
      </c>
      <c r="AA27" s="25"/>
      <c r="AB27" s="25">
        <f>+Z27+3</f>
        <v>12</v>
      </c>
      <c r="AC27" s="25"/>
      <c r="AD27" s="25"/>
      <c r="AE27" s="183"/>
      <c r="AF27" s="183"/>
      <c r="AG27" s="183"/>
      <c r="AH27" s="197"/>
      <c r="AI27" s="197">
        <f>129.37+129.37+17.46/2</f>
        <v>267.47000000000003</v>
      </c>
      <c r="AJ27" s="197"/>
      <c r="AK27" s="197">
        <v>265.62</v>
      </c>
      <c r="AL27" s="197">
        <f>+(129.37+17.46)/AK27</f>
        <v>0.552782170017318</v>
      </c>
      <c r="AM27" s="197">
        <f>+AI27/AK27</f>
        <v>1.0069648369851669</v>
      </c>
      <c r="AN27" s="197">
        <f>+(18+12)/(6+3)</f>
        <v>3.3333333333333335</v>
      </c>
      <c r="AO27" s="275">
        <f>+(2*15077+13*12060+7*9045+1*6030)/23*AI27</f>
        <v>2980301.9186956524</v>
      </c>
      <c r="AP27" s="281">
        <v>11221.7</v>
      </c>
      <c r="AQ27" s="178" t="s">
        <v>192</v>
      </c>
      <c r="AR27" s="6" t="s">
        <v>193</v>
      </c>
      <c r="AS27" s="340">
        <v>44011</v>
      </c>
      <c r="AT27" s="355"/>
      <c r="AU27" s="317" t="s">
        <v>194</v>
      </c>
      <c r="AV27" s="39"/>
      <c r="AW27" s="39"/>
      <c r="AX27" s="39"/>
      <c r="AY27" s="39"/>
      <c r="AZ27" s="39"/>
      <c r="BA27" s="39"/>
      <c r="BB27" s="39"/>
      <c r="BC27" s="39"/>
      <c r="BD27" s="39"/>
      <c r="BE27" s="30"/>
      <c r="BF27" s="30"/>
      <c r="BG27" s="30"/>
      <c r="BH27" s="30"/>
      <c r="BI27" s="30"/>
      <c r="BJ27" s="30"/>
      <c r="BK27" s="30"/>
      <c r="BL27" s="30"/>
      <c r="BM27" s="30"/>
      <c r="BN27" s="30"/>
      <c r="BO27" s="30"/>
      <c r="BP27" s="30"/>
      <c r="BQ27" s="30"/>
      <c r="BR27" s="30"/>
      <c r="BS27" s="30"/>
      <c r="BT27" s="30"/>
      <c r="IN27" s="30"/>
      <c r="IO27" s="30"/>
      <c r="IP27" s="30"/>
      <c r="IQ27" s="30"/>
      <c r="IR27" s="30"/>
      <c r="IS27" s="30"/>
      <c r="IT27" s="30"/>
      <c r="IU27" s="30"/>
      <c r="IV27" s="30"/>
    </row>
    <row r="28" spans="1:256" s="31" customFormat="1" ht="89.25">
      <c r="A28" s="370"/>
      <c r="B28" s="105">
        <v>27</v>
      </c>
      <c r="C28" s="110">
        <v>519354</v>
      </c>
      <c r="D28" s="43">
        <v>43868</v>
      </c>
      <c r="E28" s="25">
        <v>7585</v>
      </c>
      <c r="F28" s="25">
        <v>2062</v>
      </c>
      <c r="G28" s="25">
        <v>985</v>
      </c>
      <c r="H28" s="25"/>
      <c r="I28" s="25"/>
      <c r="J28" s="25">
        <v>184</v>
      </c>
      <c r="K28" s="25">
        <v>20</v>
      </c>
      <c r="L28" s="148" t="s">
        <v>86</v>
      </c>
      <c r="M28" s="148" t="s">
        <v>195</v>
      </c>
      <c r="N28" s="148" t="s">
        <v>196</v>
      </c>
      <c r="O28" s="148"/>
      <c r="P28" s="148" t="s">
        <v>184</v>
      </c>
      <c r="Q28" s="148" t="s">
        <v>184</v>
      </c>
      <c r="R28" s="148" t="s">
        <v>184</v>
      </c>
      <c r="S28" s="148" t="s">
        <v>197</v>
      </c>
      <c r="T28" s="25">
        <v>1</v>
      </c>
      <c r="U28" s="25">
        <v>1</v>
      </c>
      <c r="V28" s="25"/>
      <c r="W28" s="25"/>
      <c r="X28" s="148" t="s">
        <v>198</v>
      </c>
      <c r="Y28" s="25"/>
      <c r="Z28" s="25"/>
      <c r="AA28" s="25">
        <f>+Y28*2</f>
        <v>0</v>
      </c>
      <c r="AB28" s="25">
        <f>+Z28*2</f>
        <v>0</v>
      </c>
      <c r="AC28" s="25"/>
      <c r="AD28" s="25"/>
      <c r="AE28" s="183"/>
      <c r="AF28" s="183">
        <v>101.6</v>
      </c>
      <c r="AG28" s="183"/>
      <c r="AH28" s="197"/>
      <c r="AI28" s="197"/>
      <c r="AJ28" s="197">
        <f>89+43.94/2+133</f>
        <v>243.97</v>
      </c>
      <c r="AK28" s="197">
        <v>288.60000000000002</v>
      </c>
      <c r="AL28" s="197">
        <f>+(AF28+89+43.84)/AK28</f>
        <v>0.81233541233541229</v>
      </c>
      <c r="AM28" s="197">
        <f>+(AF28+AJ28)/AK28</f>
        <v>1.1974012474012472</v>
      </c>
      <c r="AN28" s="197"/>
      <c r="AO28" s="275">
        <f>+AJ28*8934</f>
        <v>2179627.98</v>
      </c>
      <c r="AP28" s="281">
        <v>14720.32</v>
      </c>
      <c r="AQ28" s="178" t="s">
        <v>36</v>
      </c>
      <c r="AR28" s="28" t="s">
        <v>199</v>
      </c>
      <c r="AS28" s="340">
        <v>44011</v>
      </c>
      <c r="AT28" s="355"/>
      <c r="AU28" s="317" t="s">
        <v>200</v>
      </c>
      <c r="AV28" s="39"/>
      <c r="AW28" s="39"/>
      <c r="AX28" s="39"/>
      <c r="AY28" s="39"/>
      <c r="AZ28" s="39"/>
      <c r="BA28" s="39"/>
      <c r="BB28" s="39"/>
      <c r="BC28" s="39"/>
      <c r="BD28" s="39"/>
      <c r="BE28" s="30"/>
      <c r="BF28" s="30"/>
      <c r="BG28" s="30"/>
      <c r="BH28" s="30"/>
      <c r="BI28" s="30"/>
      <c r="BJ28" s="30"/>
      <c r="BK28" s="30"/>
      <c r="BL28" s="30"/>
      <c r="BM28" s="30"/>
      <c r="BN28" s="30"/>
      <c r="BO28" s="30"/>
      <c r="BP28" s="30"/>
      <c r="BQ28" s="30"/>
      <c r="BR28" s="30"/>
      <c r="BS28" s="30"/>
      <c r="BT28" s="30"/>
      <c r="IN28" s="30"/>
      <c r="IO28" s="30"/>
      <c r="IP28" s="30"/>
      <c r="IQ28" s="30"/>
      <c r="IR28" s="30"/>
      <c r="IS28" s="30"/>
      <c r="IT28" s="30"/>
      <c r="IU28" s="30"/>
      <c r="IV28" s="30"/>
    </row>
    <row r="29" spans="1:256" s="31" customFormat="1" ht="102.75" thickBot="1">
      <c r="A29" s="371"/>
      <c r="B29" s="128">
        <v>28</v>
      </c>
      <c r="C29" s="385">
        <v>521163</v>
      </c>
      <c r="D29" s="44">
        <v>43908</v>
      </c>
      <c r="E29" s="54">
        <v>47985</v>
      </c>
      <c r="F29" s="54">
        <v>158721</v>
      </c>
      <c r="G29" s="54">
        <v>32429</v>
      </c>
      <c r="H29" s="54">
        <v>111</v>
      </c>
      <c r="I29" s="54"/>
      <c r="J29" s="54">
        <v>6</v>
      </c>
      <c r="K29" s="54">
        <v>1</v>
      </c>
      <c r="L29" s="150" t="s">
        <v>73</v>
      </c>
      <c r="M29" s="150" t="s">
        <v>201</v>
      </c>
      <c r="N29" s="150" t="s">
        <v>202</v>
      </c>
      <c r="O29" s="150"/>
      <c r="P29" s="150" t="s">
        <v>203</v>
      </c>
      <c r="Q29" s="150" t="s">
        <v>203</v>
      </c>
      <c r="R29" s="150" t="s">
        <v>203</v>
      </c>
      <c r="S29" s="150" t="s">
        <v>204</v>
      </c>
      <c r="T29" s="54"/>
      <c r="U29" s="54">
        <v>1</v>
      </c>
      <c r="V29" s="54"/>
      <c r="W29" s="54"/>
      <c r="X29" s="150" t="s">
        <v>44</v>
      </c>
      <c r="Y29" s="54"/>
      <c r="Z29" s="54">
        <v>4</v>
      </c>
      <c r="AA29" s="54"/>
      <c r="AB29" s="54">
        <f>+Z29+1</f>
        <v>5</v>
      </c>
      <c r="AC29" s="54"/>
      <c r="AD29" s="54"/>
      <c r="AE29" s="187"/>
      <c r="AF29" s="187"/>
      <c r="AG29" s="187"/>
      <c r="AH29" s="196"/>
      <c r="AI29" s="196">
        <f>151.5+60/2+129.4</f>
        <v>310.89999999999998</v>
      </c>
      <c r="AJ29" s="196"/>
      <c r="AK29" s="196">
        <v>2160</v>
      </c>
      <c r="AL29" s="196">
        <f>+(151.5/AK29)</f>
        <v>7.013888888888889E-2</v>
      </c>
      <c r="AM29" s="196">
        <f>+AI29/AK29</f>
        <v>0.14393518518518517</v>
      </c>
      <c r="AN29" s="196">
        <f>+(4+18)/(2+6)</f>
        <v>2.75</v>
      </c>
      <c r="AO29" s="277">
        <f>+(10*15077+8*12060+5*9045+2*6030)/25*(AI29)</f>
        <v>3787197.26</v>
      </c>
      <c r="AP29" s="282">
        <v>13648.75</v>
      </c>
      <c r="AQ29" s="318" t="s">
        <v>36</v>
      </c>
      <c r="AR29" s="36" t="s">
        <v>205</v>
      </c>
      <c r="AS29" s="341">
        <v>44012</v>
      </c>
      <c r="AT29" s="356"/>
      <c r="AU29" s="322" t="s">
        <v>206</v>
      </c>
      <c r="AV29" s="45"/>
      <c r="AW29" s="45"/>
      <c r="AX29" s="39"/>
      <c r="AY29" s="39"/>
      <c r="AZ29" s="39"/>
      <c r="BA29" s="39"/>
      <c r="BB29" s="39"/>
      <c r="BC29" s="39"/>
      <c r="BD29" s="39"/>
      <c r="BE29" s="30"/>
      <c r="BF29" s="30"/>
      <c r="BG29" s="30"/>
      <c r="BH29" s="30"/>
      <c r="BI29" s="30"/>
      <c r="BJ29" s="30"/>
      <c r="BK29" s="30"/>
      <c r="BL29" s="30"/>
      <c r="BM29" s="30"/>
      <c r="BN29" s="30"/>
      <c r="BO29" s="30"/>
      <c r="BP29" s="30"/>
      <c r="BQ29" s="30"/>
      <c r="BR29" s="30"/>
      <c r="BS29" s="30"/>
      <c r="BT29" s="30"/>
      <c r="IN29" s="30"/>
      <c r="IO29" s="30"/>
      <c r="IP29" s="30"/>
      <c r="IQ29" s="30"/>
      <c r="IR29" s="30"/>
      <c r="IS29" s="30"/>
      <c r="IT29" s="30"/>
      <c r="IU29" s="30"/>
      <c r="IV29" s="30"/>
    </row>
    <row r="30" spans="1:256" s="31" customFormat="1" ht="127.5">
      <c r="A30" s="370" t="s">
        <v>207</v>
      </c>
      <c r="B30" s="103">
        <v>29</v>
      </c>
      <c r="C30" s="386">
        <v>520289</v>
      </c>
      <c r="D30" s="46">
        <v>43892</v>
      </c>
      <c r="E30" s="57">
        <v>21699</v>
      </c>
      <c r="F30" s="57">
        <v>110842</v>
      </c>
      <c r="G30" s="57">
        <v>1764</v>
      </c>
      <c r="H30" s="57"/>
      <c r="I30" s="57"/>
      <c r="J30" s="57">
        <v>481</v>
      </c>
      <c r="K30" s="57">
        <v>11</v>
      </c>
      <c r="L30" s="151" t="s">
        <v>31</v>
      </c>
      <c r="M30" s="151" t="s">
        <v>208</v>
      </c>
      <c r="N30" s="151" t="s">
        <v>209</v>
      </c>
      <c r="O30" s="151"/>
      <c r="P30" s="151" t="s">
        <v>210</v>
      </c>
      <c r="Q30" s="151"/>
      <c r="R30" s="151"/>
      <c r="S30" s="151"/>
      <c r="T30" s="57">
        <f>2+1</f>
        <v>3</v>
      </c>
      <c r="U30" s="57"/>
      <c r="V30" s="57"/>
      <c r="W30" s="57"/>
      <c r="X30" s="151" t="s">
        <v>161</v>
      </c>
      <c r="Y30" s="57">
        <v>2</v>
      </c>
      <c r="Z30" s="57"/>
      <c r="AA30" s="57">
        <f>2+2</f>
        <v>4</v>
      </c>
      <c r="AB30" s="57"/>
      <c r="AC30" s="57"/>
      <c r="AD30" s="57"/>
      <c r="AE30" s="190">
        <f>118.38+2.03/2</f>
        <v>119.395</v>
      </c>
      <c r="AF30" s="190"/>
      <c r="AG30" s="190">
        <f>30.61/2+50.46-AH30</f>
        <v>36.396249999999995</v>
      </c>
      <c r="AH30" s="207">
        <f>+(7.7*3.85)-(0.85*0.65)+0.85*0.65/2</f>
        <v>29.368750000000006</v>
      </c>
      <c r="AI30" s="207"/>
      <c r="AJ30" s="207"/>
      <c r="AK30" s="207">
        <v>366.72</v>
      </c>
      <c r="AL30" s="207">
        <f>+(118.38+2.03+50.46+30.81)/AK30</f>
        <v>0.54995636998254793</v>
      </c>
      <c r="AM30" s="207">
        <f>+(AE30+AG30+AH30)/AK30</f>
        <v>0.50490837696335078</v>
      </c>
      <c r="AN30" s="207"/>
      <c r="AO30" s="283">
        <f>+(AH30*12060)+((2*15077+7*12060+6*9045+5*6030)/20*(AG30))</f>
        <v>716318.89362500003</v>
      </c>
      <c r="AP30" s="284">
        <v>11841.56</v>
      </c>
      <c r="AQ30" s="320" t="s">
        <v>211</v>
      </c>
      <c r="AR30" s="41" t="s">
        <v>212</v>
      </c>
      <c r="AS30" s="343">
        <v>44013</v>
      </c>
      <c r="AT30" s="358"/>
      <c r="AU30" s="323" t="s">
        <v>213</v>
      </c>
      <c r="AV30" s="39"/>
      <c r="AW30" s="39"/>
      <c r="AX30" s="39"/>
      <c r="AY30" s="39"/>
      <c r="AZ30" s="39"/>
      <c r="BA30" s="39"/>
      <c r="BB30" s="39"/>
      <c r="BC30" s="39"/>
      <c r="BD30" s="39"/>
      <c r="BE30" s="30"/>
      <c r="BF30" s="30"/>
      <c r="BG30" s="30"/>
      <c r="BH30" s="30"/>
      <c r="BI30" s="30"/>
      <c r="BJ30" s="30"/>
      <c r="BK30" s="30"/>
      <c r="BL30" s="30"/>
      <c r="BM30" s="30"/>
      <c r="BN30" s="30"/>
      <c r="BO30" s="30"/>
      <c r="BP30" s="30"/>
      <c r="BQ30" s="30"/>
      <c r="BR30" s="30"/>
      <c r="BS30" s="30"/>
      <c r="BT30" s="30"/>
      <c r="IN30" s="30"/>
      <c r="IO30" s="30"/>
      <c r="IP30" s="30"/>
      <c r="IQ30" s="30"/>
      <c r="IR30" s="30"/>
      <c r="IS30" s="30"/>
      <c r="IT30" s="30"/>
      <c r="IU30" s="30"/>
      <c r="IV30" s="30"/>
    </row>
    <row r="31" spans="1:256" s="31" customFormat="1" ht="114.75">
      <c r="A31" s="370"/>
      <c r="B31" s="129">
        <v>30</v>
      </c>
      <c r="C31" s="109">
        <v>518973.52157300001</v>
      </c>
      <c r="D31" s="40">
        <v>43860</v>
      </c>
      <c r="E31" s="25">
        <v>15303</v>
      </c>
      <c r="F31" s="25">
        <v>915</v>
      </c>
      <c r="G31" s="25">
        <v>4516</v>
      </c>
      <c r="H31" s="25"/>
      <c r="I31" s="25"/>
      <c r="J31" s="25">
        <v>181</v>
      </c>
      <c r="K31" s="25">
        <v>6</v>
      </c>
      <c r="L31" s="148" t="s">
        <v>99</v>
      </c>
      <c r="M31" s="148" t="s">
        <v>214</v>
      </c>
      <c r="N31" s="148" t="s">
        <v>215</v>
      </c>
      <c r="O31" s="148"/>
      <c r="P31" s="148" t="s">
        <v>216</v>
      </c>
      <c r="Q31" s="148" t="s">
        <v>216</v>
      </c>
      <c r="R31" s="148" t="s">
        <v>216</v>
      </c>
      <c r="S31" s="148" t="s">
        <v>217</v>
      </c>
      <c r="T31" s="25"/>
      <c r="U31" s="25">
        <v>1</v>
      </c>
      <c r="V31" s="25"/>
      <c r="W31" s="25"/>
      <c r="X31" s="148" t="s">
        <v>44</v>
      </c>
      <c r="Y31" s="25"/>
      <c r="Z31" s="25">
        <f>1+2</f>
        <v>3</v>
      </c>
      <c r="AA31" s="25"/>
      <c r="AB31" s="25">
        <f>+Z31+1</f>
        <v>4</v>
      </c>
      <c r="AC31" s="25"/>
      <c r="AD31" s="25"/>
      <c r="AE31" s="183"/>
      <c r="AF31" s="183"/>
      <c r="AG31" s="183"/>
      <c r="AH31" s="183"/>
      <c r="AI31" s="183">
        <f>164.32+50.1</f>
        <v>214.42</v>
      </c>
      <c r="AJ31" s="194"/>
      <c r="AK31" s="194">
        <v>306.88</v>
      </c>
      <c r="AL31" s="194">
        <f>+(164.33/AK31)</f>
        <v>0.53548618352450472</v>
      </c>
      <c r="AM31" s="194">
        <f>+AI31/AK31</f>
        <v>0.69870959332638161</v>
      </c>
      <c r="AN31" s="194"/>
      <c r="AO31" s="263">
        <f>+(11168*7+12*8934+6700*5+4466)/25*(AI31)</f>
        <v>1915628.2799999998</v>
      </c>
      <c r="AP31" s="263">
        <v>9740</v>
      </c>
      <c r="AQ31" s="313" t="s">
        <v>36</v>
      </c>
      <c r="AR31" s="5" t="s">
        <v>218</v>
      </c>
      <c r="AS31" s="337">
        <v>44015</v>
      </c>
      <c r="AT31" s="337"/>
      <c r="AU31" s="317" t="s">
        <v>219</v>
      </c>
      <c r="AV31" s="29"/>
      <c r="AW31" s="29"/>
      <c r="AX31" s="29"/>
      <c r="AY31" s="29"/>
      <c r="AZ31" s="29"/>
      <c r="BA31" s="29"/>
      <c r="BB31" s="29"/>
      <c r="BC31" s="29"/>
      <c r="BD31" s="29"/>
      <c r="BE31" s="29"/>
      <c r="BF31" s="29"/>
      <c r="BG31" s="30"/>
      <c r="BH31" s="30"/>
      <c r="BI31" s="30"/>
      <c r="BJ31" s="30"/>
      <c r="BK31" s="30"/>
      <c r="BL31" s="30"/>
      <c r="BM31" s="30"/>
      <c r="BN31" s="30"/>
      <c r="BO31" s="30"/>
      <c r="BP31" s="30"/>
      <c r="BQ31" s="30"/>
      <c r="BR31" s="30"/>
      <c r="BS31" s="30"/>
      <c r="BT31" s="30"/>
      <c r="BU31" s="30"/>
      <c r="BV31" s="30"/>
      <c r="IP31" s="30"/>
      <c r="IQ31" s="30"/>
      <c r="IR31" s="30"/>
      <c r="IS31" s="30"/>
      <c r="IT31" s="30"/>
      <c r="IU31" s="30"/>
      <c r="IV31" s="30"/>
    </row>
    <row r="32" spans="1:256" s="31" customFormat="1" ht="38.25">
      <c r="A32" s="370"/>
      <c r="B32" s="105">
        <v>31</v>
      </c>
      <c r="C32" s="110">
        <v>520539</v>
      </c>
      <c r="D32" s="43">
        <v>43895</v>
      </c>
      <c r="E32" s="25">
        <v>49504</v>
      </c>
      <c r="F32" s="25">
        <v>159680</v>
      </c>
      <c r="G32" s="25">
        <v>32673</v>
      </c>
      <c r="H32" s="25">
        <v>181</v>
      </c>
      <c r="I32" s="25"/>
      <c r="J32" s="25">
        <v>2</v>
      </c>
      <c r="K32" s="25">
        <v>4</v>
      </c>
      <c r="L32" s="148" t="s">
        <v>73</v>
      </c>
      <c r="M32" s="148" t="s">
        <v>220</v>
      </c>
      <c r="N32" s="148" t="s">
        <v>221</v>
      </c>
      <c r="O32" s="148"/>
      <c r="P32" s="148" t="s">
        <v>222</v>
      </c>
      <c r="Q32" s="148" t="s">
        <v>222</v>
      </c>
      <c r="R32" s="148" t="s">
        <v>222</v>
      </c>
      <c r="S32" s="148" t="s">
        <v>43</v>
      </c>
      <c r="T32" s="25"/>
      <c r="U32" s="25">
        <v>1</v>
      </c>
      <c r="V32" s="25"/>
      <c r="W32" s="25"/>
      <c r="X32" s="148" t="s">
        <v>44</v>
      </c>
      <c r="Y32" s="25"/>
      <c r="Z32" s="25">
        <v>2</v>
      </c>
      <c r="AA32" s="25"/>
      <c r="AB32" s="25">
        <f>+Z32+1</f>
        <v>3</v>
      </c>
      <c r="AC32" s="25"/>
      <c r="AD32" s="25">
        <f>+Z32*2</f>
        <v>4</v>
      </c>
      <c r="AE32" s="183"/>
      <c r="AF32" s="183"/>
      <c r="AG32" s="183"/>
      <c r="AH32" s="197"/>
      <c r="AI32" s="197">
        <f>66.5+38.6/2</f>
        <v>85.8</v>
      </c>
      <c r="AJ32" s="197"/>
      <c r="AK32" s="197">
        <v>2022.32</v>
      </c>
      <c r="AL32" s="197">
        <f>+(68.5+38.6)/AK32</f>
        <v>5.2958977807666438E-2</v>
      </c>
      <c r="AM32" s="197">
        <f>+AI32/AK32</f>
        <v>4.2426520036393842E-2</v>
      </c>
      <c r="AN32" s="197">
        <f>+(4+15+8)/(2+5+2)</f>
        <v>3</v>
      </c>
      <c r="AO32" s="275">
        <f>+(7*15077+4*12060+5*9045+4*6030)/20*AI32</f>
        <v>957201.96000000008</v>
      </c>
      <c r="AP32" s="281">
        <v>4053.4</v>
      </c>
      <c r="AQ32" s="178" t="s">
        <v>36</v>
      </c>
      <c r="AR32" s="28" t="s">
        <v>223</v>
      </c>
      <c r="AS32" s="340">
        <v>44020</v>
      </c>
      <c r="AT32" s="355"/>
      <c r="AU32" s="317" t="s">
        <v>224</v>
      </c>
      <c r="AV32" s="39"/>
      <c r="AW32" s="39"/>
      <c r="AX32" s="39"/>
      <c r="AY32" s="39"/>
      <c r="AZ32" s="39"/>
      <c r="BA32" s="39"/>
      <c r="BB32" s="39"/>
      <c r="BC32" s="39"/>
      <c r="BD32" s="39"/>
      <c r="BE32" s="30"/>
      <c r="BF32" s="30"/>
      <c r="BG32" s="30"/>
      <c r="BH32" s="30"/>
      <c r="BI32" s="30"/>
      <c r="BJ32" s="30"/>
      <c r="BK32" s="30"/>
      <c r="BL32" s="30"/>
      <c r="BM32" s="30"/>
      <c r="BN32" s="30"/>
      <c r="BO32" s="30"/>
      <c r="BP32" s="30"/>
      <c r="BQ32" s="30"/>
      <c r="BR32" s="30"/>
      <c r="BS32" s="30"/>
      <c r="BT32" s="30"/>
      <c r="IN32" s="30"/>
      <c r="IO32" s="30"/>
      <c r="IP32" s="30"/>
      <c r="IQ32" s="30"/>
      <c r="IR32" s="30"/>
      <c r="IS32" s="30"/>
      <c r="IT32" s="30"/>
      <c r="IU32" s="30"/>
      <c r="IV32" s="30"/>
    </row>
    <row r="33" spans="1:256" s="31" customFormat="1" ht="114.75">
      <c r="A33" s="370" t="s">
        <v>225</v>
      </c>
      <c r="B33" s="105">
        <v>519657</v>
      </c>
      <c r="C33" s="110">
        <v>43878</v>
      </c>
      <c r="D33" s="2" t="s">
        <v>226</v>
      </c>
      <c r="E33" s="25">
        <v>56290</v>
      </c>
      <c r="F33" s="25">
        <v>165033</v>
      </c>
      <c r="G33" s="25">
        <v>33543</v>
      </c>
      <c r="H33" s="25">
        <v>354</v>
      </c>
      <c r="I33" s="25"/>
      <c r="J33" s="25"/>
      <c r="K33" s="25">
        <v>89</v>
      </c>
      <c r="L33" s="148" t="s">
        <v>227</v>
      </c>
      <c r="M33" s="148" t="s">
        <v>228</v>
      </c>
      <c r="N33" s="148" t="s">
        <v>229</v>
      </c>
      <c r="O33" s="148"/>
      <c r="P33" s="148" t="s">
        <v>153</v>
      </c>
      <c r="Q33" s="148"/>
      <c r="R33" s="148"/>
      <c r="S33" s="148"/>
      <c r="T33" s="25">
        <v>2</v>
      </c>
      <c r="U33" s="25"/>
      <c r="V33" s="25"/>
      <c r="W33" s="25"/>
      <c r="X33" s="148" t="s">
        <v>96</v>
      </c>
      <c r="Y33" s="25">
        <v>2</v>
      </c>
      <c r="Z33" s="25"/>
      <c r="AA33" s="25">
        <v>2</v>
      </c>
      <c r="AB33" s="25"/>
      <c r="AC33" s="25"/>
      <c r="AD33" s="25"/>
      <c r="AE33" s="183"/>
      <c r="AF33" s="183"/>
      <c r="AG33" s="183">
        <v>63.6</v>
      </c>
      <c r="AH33" s="197"/>
      <c r="AI33" s="197"/>
      <c r="AJ33" s="197"/>
      <c r="AK33" s="197">
        <f>46.8*20</f>
        <v>936</v>
      </c>
      <c r="AL33" s="197">
        <f>+AG33/AK33</f>
        <v>6.7948717948717957E-2</v>
      </c>
      <c r="AM33" s="197">
        <f>+AG33/AK33</f>
        <v>6.7948717948717957E-2</v>
      </c>
      <c r="AN33" s="197">
        <f>+(9+24)/(3+6)</f>
        <v>3.6666666666666665</v>
      </c>
      <c r="AO33" s="275">
        <f>+(6*8934+6700*12+2*4466)/20*AG33</f>
        <v>454536.48000000004</v>
      </c>
      <c r="AP33" s="281"/>
      <c r="AQ33" s="178" t="s">
        <v>65</v>
      </c>
      <c r="AR33" s="28" t="s">
        <v>230</v>
      </c>
      <c r="AS33" s="340"/>
      <c r="AT33" s="355"/>
      <c r="AU33" s="317" t="s">
        <v>126</v>
      </c>
      <c r="AV33" s="39"/>
      <c r="AW33" s="39"/>
      <c r="AX33" s="39"/>
      <c r="AY33" s="39"/>
      <c r="AZ33" s="39"/>
      <c r="BA33" s="39"/>
      <c r="BB33" s="39"/>
      <c r="BC33" s="39"/>
      <c r="BD33" s="39"/>
      <c r="BE33" s="30"/>
      <c r="BF33" s="30"/>
      <c r="BG33" s="30"/>
      <c r="BH33" s="30"/>
      <c r="BI33" s="30"/>
      <c r="BJ33" s="30"/>
      <c r="BK33" s="30"/>
      <c r="BL33" s="30"/>
      <c r="BM33" s="30"/>
      <c r="BN33" s="30"/>
      <c r="BO33" s="30"/>
      <c r="BP33" s="30"/>
      <c r="BQ33" s="30"/>
      <c r="BR33" s="30"/>
      <c r="BS33" s="30"/>
      <c r="BT33" s="30"/>
      <c r="IN33" s="30"/>
      <c r="IO33" s="30"/>
      <c r="IP33" s="30"/>
      <c r="IQ33" s="30"/>
      <c r="IR33" s="30"/>
      <c r="IS33" s="30"/>
      <c r="IT33" s="30"/>
      <c r="IU33" s="30"/>
      <c r="IV33" s="30"/>
    </row>
    <row r="34" spans="1:256" ht="63.75">
      <c r="A34" s="370"/>
      <c r="B34" s="105">
        <v>32</v>
      </c>
      <c r="C34" s="25">
        <v>521741</v>
      </c>
      <c r="D34" s="10">
        <v>44011</v>
      </c>
      <c r="E34" s="3">
        <v>32924</v>
      </c>
      <c r="F34" s="3">
        <v>131652</v>
      </c>
      <c r="G34" s="3">
        <v>4017</v>
      </c>
      <c r="H34" s="3"/>
      <c r="I34" s="3"/>
      <c r="J34" s="3">
        <v>755</v>
      </c>
      <c r="K34" s="3">
        <v>17</v>
      </c>
      <c r="L34" s="148" t="s">
        <v>99</v>
      </c>
      <c r="M34" s="148" t="s">
        <v>231</v>
      </c>
      <c r="N34" s="148" t="s">
        <v>232</v>
      </c>
      <c r="O34" s="148"/>
      <c r="P34" s="148" t="s">
        <v>222</v>
      </c>
      <c r="Q34" s="148"/>
      <c r="R34" s="148"/>
      <c r="S34" s="148"/>
      <c r="T34" s="3">
        <v>1</v>
      </c>
      <c r="U34" s="3"/>
      <c r="V34" s="3"/>
      <c r="W34" s="3"/>
      <c r="X34" s="148" t="s">
        <v>44</v>
      </c>
      <c r="Y34" s="3">
        <v>2</v>
      </c>
      <c r="Z34" s="3"/>
      <c r="AA34" s="3">
        <f>2+1</f>
        <v>3</v>
      </c>
      <c r="AB34" s="3"/>
      <c r="AC34" s="3">
        <f>+Y34+1</f>
        <v>3</v>
      </c>
      <c r="AD34" s="3"/>
      <c r="AE34" s="182"/>
      <c r="AF34" s="183"/>
      <c r="AG34" s="183">
        <f>61.15+5.17/2</f>
        <v>63.734999999999999</v>
      </c>
      <c r="AH34" s="185"/>
      <c r="AI34" s="185"/>
      <c r="AJ34" s="185"/>
      <c r="AK34" s="185">
        <v>484.97</v>
      </c>
      <c r="AL34" s="185">
        <f>+(61.15+5.17)/AK34</f>
        <v>0.13675072684908343</v>
      </c>
      <c r="AM34" s="197">
        <f>+AG34/AK34</f>
        <v>0.13142050023712806</v>
      </c>
      <c r="AN34" s="185"/>
      <c r="AO34" s="266">
        <f>+(2*15077+3*12060+9045*10+5*6030)/20*AG34</f>
        <v>595711.92450000008</v>
      </c>
      <c r="AP34" s="274">
        <v>10006.25</v>
      </c>
      <c r="AQ34" s="178" t="s">
        <v>36</v>
      </c>
      <c r="AR34" s="28" t="s">
        <v>233</v>
      </c>
      <c r="AS34" s="339">
        <v>44020</v>
      </c>
      <c r="AT34" s="344"/>
      <c r="AU34" s="317"/>
    </row>
    <row r="35" spans="1:256" s="31" customFormat="1" ht="63.75">
      <c r="A35" s="370"/>
      <c r="B35" s="105">
        <v>33</v>
      </c>
      <c r="C35" s="110">
        <v>520538</v>
      </c>
      <c r="D35" s="43">
        <v>43895</v>
      </c>
      <c r="E35" s="25">
        <v>56308</v>
      </c>
      <c r="F35" s="25">
        <v>165173</v>
      </c>
      <c r="G35" s="25">
        <v>33607</v>
      </c>
      <c r="H35" s="25">
        <v>326</v>
      </c>
      <c r="I35" s="25"/>
      <c r="J35" s="25">
        <v>16</v>
      </c>
      <c r="K35" s="25">
        <v>6</v>
      </c>
      <c r="L35" s="148" t="s">
        <v>52</v>
      </c>
      <c r="M35" s="148" t="s">
        <v>234</v>
      </c>
      <c r="N35" s="148" t="s">
        <v>235</v>
      </c>
      <c r="O35" s="148"/>
      <c r="P35" s="148" t="s">
        <v>236</v>
      </c>
      <c r="Q35" s="148"/>
      <c r="R35" s="148"/>
      <c r="S35" s="148"/>
      <c r="T35" s="25">
        <v>1</v>
      </c>
      <c r="U35" s="25"/>
      <c r="V35" s="25"/>
      <c r="W35" s="25"/>
      <c r="X35" s="148" t="s">
        <v>44</v>
      </c>
      <c r="Y35" s="25">
        <v>2</v>
      </c>
      <c r="Z35" s="25"/>
      <c r="AA35" s="25">
        <f>+Y35+1</f>
        <v>3</v>
      </c>
      <c r="AB35" s="25"/>
      <c r="AC35" s="25">
        <f>+Y35+1</f>
        <v>3</v>
      </c>
      <c r="AD35" s="25"/>
      <c r="AE35" s="183">
        <v>54.78</v>
      </c>
      <c r="AF35" s="183"/>
      <c r="AG35" s="183">
        <v>65.84</v>
      </c>
      <c r="AH35" s="197"/>
      <c r="AI35" s="197"/>
      <c r="AJ35" s="197"/>
      <c r="AK35" s="197">
        <v>168.75</v>
      </c>
      <c r="AL35" s="197">
        <f>+(AE35+AG35)/AK35</f>
        <v>0.71478518518518519</v>
      </c>
      <c r="AM35" s="197">
        <f>+AL35</f>
        <v>0.71478518518518519</v>
      </c>
      <c r="AN35" s="197"/>
      <c r="AO35" s="275">
        <f>+(7*15077+5*12060+9045*4+46030)/20*AG35</f>
        <v>816577.30800000008</v>
      </c>
      <c r="AP35" s="281">
        <v>11556.63</v>
      </c>
      <c r="AQ35" s="178" t="s">
        <v>36</v>
      </c>
      <c r="AR35" s="28" t="s">
        <v>237</v>
      </c>
      <c r="AS35" s="340">
        <v>44020</v>
      </c>
      <c r="AT35" s="355"/>
      <c r="AU35" s="317" t="s">
        <v>238</v>
      </c>
      <c r="AV35" s="39"/>
      <c r="AW35" s="39"/>
      <c r="AX35" s="39"/>
      <c r="AY35" s="39"/>
      <c r="AZ35" s="39"/>
      <c r="BA35" s="39"/>
      <c r="BB35" s="39"/>
      <c r="BC35" s="39"/>
      <c r="BD35" s="39"/>
      <c r="BE35" s="30"/>
      <c r="BF35" s="30"/>
      <c r="BG35" s="30"/>
      <c r="BH35" s="30"/>
      <c r="BI35" s="30"/>
      <c r="BJ35" s="30"/>
      <c r="BK35" s="30"/>
      <c r="BL35" s="30"/>
      <c r="BM35" s="30"/>
      <c r="BN35" s="30"/>
      <c r="BO35" s="30"/>
      <c r="BP35" s="30"/>
      <c r="BQ35" s="30"/>
      <c r="BR35" s="30"/>
      <c r="BS35" s="30"/>
      <c r="BT35" s="30"/>
      <c r="IN35" s="30"/>
      <c r="IO35" s="30"/>
      <c r="IP35" s="30"/>
      <c r="IQ35" s="30"/>
      <c r="IR35" s="30"/>
      <c r="IS35" s="30"/>
      <c r="IT35" s="30"/>
      <c r="IU35" s="30"/>
      <c r="IV35" s="30"/>
    </row>
    <row r="36" spans="1:256" s="9" customFormat="1" ht="51">
      <c r="A36" s="370"/>
      <c r="B36" s="105">
        <v>34</v>
      </c>
      <c r="C36" s="108">
        <v>519306</v>
      </c>
      <c r="D36" s="1">
        <v>43868</v>
      </c>
      <c r="E36" s="3">
        <v>26456</v>
      </c>
      <c r="F36" s="3">
        <v>119782</v>
      </c>
      <c r="G36" s="3">
        <v>5991</v>
      </c>
      <c r="H36" s="3"/>
      <c r="I36" s="3"/>
      <c r="J36" s="3">
        <v>319</v>
      </c>
      <c r="K36" s="3">
        <v>5</v>
      </c>
      <c r="L36" s="148" t="s">
        <v>239</v>
      </c>
      <c r="M36" s="148" t="s">
        <v>240</v>
      </c>
      <c r="N36" s="148" t="s">
        <v>241</v>
      </c>
      <c r="O36" s="148"/>
      <c r="P36" s="148" t="s">
        <v>242</v>
      </c>
      <c r="Q36" s="148" t="s">
        <v>242</v>
      </c>
      <c r="R36" s="148" t="s">
        <v>242</v>
      </c>
      <c r="S36" s="148" t="s">
        <v>197</v>
      </c>
      <c r="T36" s="3"/>
      <c r="U36" s="3">
        <v>1</v>
      </c>
      <c r="V36" s="3"/>
      <c r="W36" s="3"/>
      <c r="X36" s="148" t="s">
        <v>57</v>
      </c>
      <c r="Y36" s="3"/>
      <c r="Z36" s="3"/>
      <c r="AA36" s="3"/>
      <c r="AB36" s="3"/>
      <c r="AC36" s="3"/>
      <c r="AD36" s="3"/>
      <c r="AE36" s="182"/>
      <c r="AF36" s="182"/>
      <c r="AG36" s="182"/>
      <c r="AH36" s="183"/>
      <c r="AI36" s="183"/>
      <c r="AJ36" s="184">
        <v>118.25</v>
      </c>
      <c r="AK36" s="184">
        <v>200</v>
      </c>
      <c r="AL36" s="184">
        <f>+AJ36/AK36</f>
        <v>0.59125000000000005</v>
      </c>
      <c r="AM36" s="184">
        <f>+AJ36/AK36</f>
        <v>0.59125000000000005</v>
      </c>
      <c r="AN36" s="184"/>
      <c r="AO36" s="264">
        <f>36020.36+118.25*12060</f>
        <v>1462115.36</v>
      </c>
      <c r="AP36" s="264">
        <v>7544.13</v>
      </c>
      <c r="AQ36" s="313" t="s">
        <v>65</v>
      </c>
      <c r="AR36" s="4" t="s">
        <v>243</v>
      </c>
      <c r="AS36" s="334">
        <v>44025</v>
      </c>
      <c r="AT36" s="334"/>
      <c r="AU36" s="317" t="s">
        <v>244</v>
      </c>
      <c r="AV36" s="7"/>
      <c r="AW36" s="7"/>
      <c r="AX36" s="7"/>
      <c r="AY36" s="7"/>
      <c r="AZ36" s="7"/>
      <c r="BA36" s="7"/>
      <c r="BB36" s="7"/>
      <c r="BC36" s="7"/>
      <c r="BD36" s="7"/>
      <c r="BE36" s="7"/>
      <c r="BF36" s="7"/>
      <c r="BG36" s="8"/>
      <c r="BH36" s="8"/>
      <c r="BI36" s="8"/>
      <c r="BJ36" s="8"/>
      <c r="BK36" s="8"/>
      <c r="BL36" s="8"/>
      <c r="BM36" s="8"/>
      <c r="BN36" s="8"/>
      <c r="BO36" s="8"/>
      <c r="BP36" s="8"/>
      <c r="BQ36" s="8"/>
      <c r="BR36" s="8"/>
      <c r="BS36" s="8"/>
      <c r="BT36" s="8"/>
      <c r="BU36" s="8"/>
      <c r="BV36" s="8"/>
      <c r="IP36" s="8"/>
      <c r="IQ36" s="8"/>
      <c r="IR36" s="8"/>
      <c r="IS36" s="8"/>
      <c r="IT36" s="8"/>
      <c r="IU36" s="8"/>
      <c r="IV36" s="8"/>
    </row>
    <row r="37" spans="1:256" ht="102">
      <c r="A37" s="370"/>
      <c r="B37" s="105">
        <v>35</v>
      </c>
      <c r="C37" s="25">
        <v>521664</v>
      </c>
      <c r="D37" s="10">
        <v>44007</v>
      </c>
      <c r="E37" s="3">
        <v>58238</v>
      </c>
      <c r="F37" s="3">
        <v>165488</v>
      </c>
      <c r="G37" s="3">
        <v>33653</v>
      </c>
      <c r="H37" s="3">
        <v>3</v>
      </c>
      <c r="I37" s="3"/>
      <c r="J37" s="3">
        <v>8</v>
      </c>
      <c r="K37" s="3">
        <v>11</v>
      </c>
      <c r="L37" s="148" t="s">
        <v>245</v>
      </c>
      <c r="M37" s="148" t="s">
        <v>246</v>
      </c>
      <c r="N37" s="148" t="s">
        <v>247</v>
      </c>
      <c r="O37" s="148"/>
      <c r="P37" s="148" t="s">
        <v>248</v>
      </c>
      <c r="Q37" s="148" t="s">
        <v>248</v>
      </c>
      <c r="R37" s="148" t="s">
        <v>248</v>
      </c>
      <c r="S37" s="148" t="s">
        <v>249</v>
      </c>
      <c r="T37" s="3"/>
      <c r="U37" s="3">
        <v>1</v>
      </c>
      <c r="V37" s="3"/>
      <c r="W37" s="3"/>
      <c r="X37" s="148" t="s">
        <v>44</v>
      </c>
      <c r="Y37" s="3"/>
      <c r="Z37" s="3">
        <v>3</v>
      </c>
      <c r="AA37" s="3"/>
      <c r="AB37" s="3">
        <f>+Z37+2</f>
        <v>5</v>
      </c>
      <c r="AC37" s="3"/>
      <c r="AD37" s="3"/>
      <c r="AE37" s="182"/>
      <c r="AF37" s="183"/>
      <c r="AG37" s="183"/>
      <c r="AH37" s="185"/>
      <c r="AI37" s="185">
        <f>162.7+206.4/2+126+2.4/2</f>
        <v>393.09999999999997</v>
      </c>
      <c r="AJ37" s="185"/>
      <c r="AK37" s="185">
        <v>1683.02</v>
      </c>
      <c r="AL37" s="185">
        <f>+(162.7+206.4)/AK37</f>
        <v>0.21930814844743379</v>
      </c>
      <c r="AM37" s="197">
        <f>+AI37/AK37</f>
        <v>0.23356822854155029</v>
      </c>
      <c r="AN37" s="185"/>
      <c r="AO37" s="266">
        <f>605000+(9*15077+10*12060+9045*2+1*6030)/22*AI37</f>
        <v>5615470.4681818178</v>
      </c>
      <c r="AP37" s="281">
        <v>51227.55</v>
      </c>
      <c r="AQ37" s="178" t="s">
        <v>36</v>
      </c>
      <c r="AR37" s="28" t="s">
        <v>250</v>
      </c>
      <c r="AS37" s="339">
        <v>44026</v>
      </c>
      <c r="AT37" s="344"/>
      <c r="AU37" s="317" t="s">
        <v>251</v>
      </c>
    </row>
    <row r="38" spans="1:256" s="31" customFormat="1" ht="76.5">
      <c r="A38" s="370"/>
      <c r="B38" s="105">
        <v>36</v>
      </c>
      <c r="C38" s="110">
        <v>521852</v>
      </c>
      <c r="D38" s="43">
        <v>44014</v>
      </c>
      <c r="E38" s="25">
        <v>21445</v>
      </c>
      <c r="F38" s="25">
        <v>110670</v>
      </c>
      <c r="G38" s="25">
        <v>5145</v>
      </c>
      <c r="H38" s="25"/>
      <c r="I38" s="25"/>
      <c r="J38" s="25">
        <v>529</v>
      </c>
      <c r="K38" s="25">
        <v>8</v>
      </c>
      <c r="L38" s="148" t="s">
        <v>31</v>
      </c>
      <c r="M38" s="148" t="s">
        <v>252</v>
      </c>
      <c r="N38" s="148" t="s">
        <v>253</v>
      </c>
      <c r="O38" s="148"/>
      <c r="P38" s="148" t="s">
        <v>254</v>
      </c>
      <c r="Q38" s="148"/>
      <c r="R38" s="148"/>
      <c r="S38" s="148"/>
      <c r="T38" s="25">
        <v>3</v>
      </c>
      <c r="U38" s="25"/>
      <c r="V38" s="25"/>
      <c r="W38" s="25"/>
      <c r="X38" s="148" t="s">
        <v>96</v>
      </c>
      <c r="Y38" s="25">
        <f>2+1+1</f>
        <v>4</v>
      </c>
      <c r="Z38" s="25"/>
      <c r="AA38" s="25">
        <f>+Y38+1+1+1</f>
        <v>7</v>
      </c>
      <c r="AB38" s="25"/>
      <c r="AC38" s="25"/>
      <c r="AD38" s="25"/>
      <c r="AE38" s="183">
        <f>64.96+4.6/2</f>
        <v>67.259999999999991</v>
      </c>
      <c r="AF38" s="183"/>
      <c r="AG38" s="183">
        <f>+(45.03-4.6)/2+7.81/2+5.26+32.68+35.49+0.66/2+0.63/2+3.97/2</f>
        <v>100.18</v>
      </c>
      <c r="AH38" s="197"/>
      <c r="AI38" s="197"/>
      <c r="AJ38" s="197"/>
      <c r="AK38" s="197">
        <v>379.62</v>
      </c>
      <c r="AL38" s="197">
        <f>+(64.02+45.03+7.81+32.68+6.4+5.25+0.65+0.64)/AK38</f>
        <v>0.42800695432274377</v>
      </c>
      <c r="AM38" s="197">
        <f>+(AE38+AG38)/AK38</f>
        <v>0.44107265159896736</v>
      </c>
      <c r="AN38" s="197"/>
      <c r="AO38" s="285">
        <f>+(7*15077+5*12060+9045*9+2*6030)/23*AG38</f>
        <v>1129438.031304348</v>
      </c>
      <c r="AP38" s="281">
        <v>16745.93</v>
      </c>
      <c r="AQ38" s="178" t="s">
        <v>65</v>
      </c>
      <c r="AR38" s="28" t="s">
        <v>255</v>
      </c>
      <c r="AS38" s="340">
        <v>44026</v>
      </c>
      <c r="AT38" s="355"/>
      <c r="AU38" s="317" t="s">
        <v>256</v>
      </c>
      <c r="AV38" s="39"/>
      <c r="AW38" s="39"/>
      <c r="AX38" s="39"/>
      <c r="AY38" s="39"/>
      <c r="AZ38" s="39"/>
      <c r="BA38" s="39"/>
      <c r="BB38" s="39"/>
      <c r="BC38" s="39"/>
      <c r="BD38" s="39"/>
      <c r="BE38" s="30"/>
      <c r="BF38" s="30"/>
      <c r="BG38" s="30"/>
      <c r="BH38" s="30"/>
      <c r="BI38" s="30"/>
      <c r="BJ38" s="30"/>
      <c r="BK38" s="30"/>
      <c r="BL38" s="30"/>
      <c r="BM38" s="30"/>
      <c r="BN38" s="30"/>
      <c r="BO38" s="30"/>
      <c r="BP38" s="30"/>
      <c r="BQ38" s="30"/>
      <c r="BR38" s="30"/>
      <c r="BS38" s="30"/>
      <c r="BT38" s="30"/>
      <c r="IN38" s="30"/>
      <c r="IO38" s="30"/>
      <c r="IP38" s="30"/>
      <c r="IQ38" s="30"/>
      <c r="IR38" s="30"/>
      <c r="IS38" s="30"/>
      <c r="IT38" s="30"/>
      <c r="IU38" s="30"/>
      <c r="IV38" s="30"/>
    </row>
    <row r="39" spans="1:256" s="31" customFormat="1" ht="76.5">
      <c r="A39" s="370"/>
      <c r="B39" s="105">
        <v>37</v>
      </c>
      <c r="C39" s="110">
        <v>522011</v>
      </c>
      <c r="D39" s="43">
        <v>44020</v>
      </c>
      <c r="E39" s="25">
        <v>25417</v>
      </c>
      <c r="F39" s="25">
        <v>119028</v>
      </c>
      <c r="G39" s="25">
        <v>5821</v>
      </c>
      <c r="H39" s="25"/>
      <c r="I39" s="25"/>
      <c r="J39" s="25">
        <v>37</v>
      </c>
      <c r="K39" s="25">
        <v>16</v>
      </c>
      <c r="L39" s="148" t="s">
        <v>31</v>
      </c>
      <c r="M39" s="148" t="s">
        <v>257</v>
      </c>
      <c r="N39" s="148" t="s">
        <v>258</v>
      </c>
      <c r="O39" s="148"/>
      <c r="P39" s="148" t="s">
        <v>142</v>
      </c>
      <c r="Q39" s="148" t="s">
        <v>142</v>
      </c>
      <c r="R39" s="148" t="s">
        <v>142</v>
      </c>
      <c r="S39" s="148" t="s">
        <v>259</v>
      </c>
      <c r="T39" s="25"/>
      <c r="U39" s="25"/>
      <c r="V39" s="25">
        <v>1</v>
      </c>
      <c r="W39" s="25"/>
      <c r="X39" s="148" t="s">
        <v>44</v>
      </c>
      <c r="Y39" s="25">
        <v>3</v>
      </c>
      <c r="Z39" s="25">
        <v>1</v>
      </c>
      <c r="AA39" s="25">
        <f>+Y39+1</f>
        <v>4</v>
      </c>
      <c r="AB39" s="25">
        <v>1</v>
      </c>
      <c r="AC39" s="25"/>
      <c r="AD39" s="25"/>
      <c r="AE39" s="183">
        <f>122.2+29.82/2</f>
        <v>137.11000000000001</v>
      </c>
      <c r="AF39" s="183"/>
      <c r="AG39" s="183"/>
      <c r="AH39" s="197"/>
      <c r="AI39" s="197">
        <f>20.45+31.58/2+11.1+57.35/2</f>
        <v>76.015000000000001</v>
      </c>
      <c r="AJ39" s="197"/>
      <c r="AK39" s="197">
        <v>262.75</v>
      </c>
      <c r="AL39" s="197"/>
      <c r="AM39" s="197"/>
      <c r="AN39" s="197"/>
      <c r="AO39" s="285">
        <f>+((6*15077+12060*12+4*9045+1*6030)/23*57.35)+610000</f>
        <v>1301670.9217391303</v>
      </c>
      <c r="AP39" s="281">
        <v>41211.51</v>
      </c>
      <c r="AQ39" s="178" t="s">
        <v>36</v>
      </c>
      <c r="AR39" s="28" t="s">
        <v>260</v>
      </c>
      <c r="AS39" s="340">
        <v>44026</v>
      </c>
      <c r="AT39" s="355"/>
      <c r="AU39" s="317"/>
      <c r="AV39" s="39"/>
      <c r="AW39" s="39"/>
      <c r="AX39" s="39"/>
      <c r="AY39" s="39"/>
      <c r="AZ39" s="39"/>
      <c r="BA39" s="39"/>
      <c r="BB39" s="39"/>
      <c r="BC39" s="39"/>
      <c r="BD39" s="39"/>
      <c r="BE39" s="30"/>
      <c r="BF39" s="30"/>
      <c r="BG39" s="30"/>
      <c r="BH39" s="30"/>
      <c r="BI39" s="30"/>
      <c r="BJ39" s="30"/>
      <c r="BK39" s="30"/>
      <c r="BL39" s="30"/>
      <c r="BM39" s="30"/>
      <c r="BN39" s="30"/>
      <c r="BO39" s="30"/>
      <c r="BP39" s="30"/>
      <c r="BQ39" s="30"/>
      <c r="BR39" s="30"/>
      <c r="BS39" s="30"/>
      <c r="BT39" s="30"/>
      <c r="IN39" s="30"/>
      <c r="IO39" s="30"/>
      <c r="IP39" s="30"/>
      <c r="IQ39" s="30"/>
      <c r="IR39" s="30"/>
      <c r="IS39" s="30"/>
      <c r="IT39" s="30"/>
      <c r="IU39" s="30"/>
      <c r="IV39" s="30"/>
    </row>
    <row r="40" spans="1:256" s="12" customFormat="1" ht="76.5">
      <c r="A40" s="370"/>
      <c r="B40" s="130">
        <v>38</v>
      </c>
      <c r="C40" s="111">
        <v>521881</v>
      </c>
      <c r="D40" s="47">
        <v>44014</v>
      </c>
      <c r="E40" s="136">
        <v>52947</v>
      </c>
      <c r="F40" s="136">
        <v>162355</v>
      </c>
      <c r="G40" s="136">
        <v>21261</v>
      </c>
      <c r="H40" s="137">
        <v>26</v>
      </c>
      <c r="I40" s="138"/>
      <c r="J40" s="136">
        <v>309</v>
      </c>
      <c r="K40" s="136">
        <v>3</v>
      </c>
      <c r="L40" s="153" t="s">
        <v>52</v>
      </c>
      <c r="M40" s="153" t="s">
        <v>261</v>
      </c>
      <c r="N40" s="153" t="s">
        <v>262</v>
      </c>
      <c r="O40" s="154"/>
      <c r="P40" s="155" t="s">
        <v>263</v>
      </c>
      <c r="Q40" s="156"/>
      <c r="R40" s="156"/>
      <c r="S40" s="156"/>
      <c r="T40" s="141">
        <f>1+1</f>
        <v>2</v>
      </c>
      <c r="U40" s="141"/>
      <c r="V40" s="141"/>
      <c r="W40" s="141"/>
      <c r="X40" s="155" t="s">
        <v>264</v>
      </c>
      <c r="Y40" s="141">
        <v>4</v>
      </c>
      <c r="Z40" s="141"/>
      <c r="AA40" s="141">
        <f>+Y40+2</f>
        <v>6</v>
      </c>
      <c r="AB40" s="141"/>
      <c r="AC40" s="141">
        <f>+Y40*2</f>
        <v>8</v>
      </c>
      <c r="AD40" s="141"/>
      <c r="AE40" s="185">
        <f>61.17+78.31+7.92/2+2.83/2+14.7/2+6.67/2</f>
        <v>155.54000000000002</v>
      </c>
      <c r="AF40" s="185"/>
      <c r="AG40" s="185">
        <f>47.11+14.06</f>
        <v>61.17</v>
      </c>
      <c r="AH40" s="185">
        <f>83.13+7.2/2</f>
        <v>86.72999999999999</v>
      </c>
      <c r="AI40" s="185"/>
      <c r="AJ40" s="185"/>
      <c r="AK40" s="208">
        <v>312.49</v>
      </c>
      <c r="AL40" s="185">
        <f>+(83.13+61.17+7.2+25.45)/AK40</f>
        <v>0.56625812025984823</v>
      </c>
      <c r="AM40" s="185">
        <f>+(83.13+61.17+7.2/2+25.45/2+61.19+76.31+6.87/2)/AK40</f>
        <v>0.96502288073218345</v>
      </c>
      <c r="AN40" s="185"/>
      <c r="AO40" s="286">
        <f>+(AH40*12060)+((3*15077+4*12060+5*9045+10*6030)/22*AG40)</f>
        <v>1599263.1327272728</v>
      </c>
      <c r="AP40" s="287">
        <v>20909.689999999999</v>
      </c>
      <c r="AQ40" s="321" t="s">
        <v>36</v>
      </c>
      <c r="AR40" s="48" t="s">
        <v>265</v>
      </c>
      <c r="AS40" s="344">
        <v>44027</v>
      </c>
      <c r="AT40" s="344"/>
      <c r="AU40" s="329"/>
    </row>
    <row r="41" spans="1:256" s="31" customFormat="1" ht="51">
      <c r="A41" s="370"/>
      <c r="B41" s="101">
        <v>39</v>
      </c>
      <c r="C41" s="108">
        <v>518952</v>
      </c>
      <c r="D41" s="40">
        <v>43860</v>
      </c>
      <c r="E41" s="25">
        <v>8525</v>
      </c>
      <c r="F41" s="25">
        <v>2152</v>
      </c>
      <c r="G41" s="25">
        <v>127</v>
      </c>
      <c r="H41" s="25"/>
      <c r="I41" s="25"/>
      <c r="J41" s="25">
        <v>105</v>
      </c>
      <c r="K41" s="25">
        <v>1</v>
      </c>
      <c r="L41" s="148"/>
      <c r="M41" s="148" t="s">
        <v>266</v>
      </c>
      <c r="N41" s="148" t="s">
        <v>267</v>
      </c>
      <c r="O41" s="148" t="s">
        <v>268</v>
      </c>
      <c r="P41" s="148" t="s">
        <v>269</v>
      </c>
      <c r="Q41" s="148"/>
      <c r="R41" s="148"/>
      <c r="S41" s="148"/>
      <c r="T41" s="25">
        <v>1</v>
      </c>
      <c r="U41" s="25"/>
      <c r="V41" s="25"/>
      <c r="W41" s="25"/>
      <c r="X41" s="148" t="s">
        <v>270</v>
      </c>
      <c r="Y41" s="25">
        <v>1</v>
      </c>
      <c r="Z41" s="25"/>
      <c r="AA41" s="25"/>
      <c r="AB41" s="25"/>
      <c r="AC41" s="25"/>
      <c r="AD41" s="25"/>
      <c r="AE41" s="183"/>
      <c r="AF41" s="183">
        <v>1377.64</v>
      </c>
      <c r="AG41" s="183"/>
      <c r="AH41" s="183">
        <f>20.45+3.86/2</f>
        <v>22.38</v>
      </c>
      <c r="AI41" s="183"/>
      <c r="AJ41" s="194"/>
      <c r="AK41" s="194">
        <v>2251.6</v>
      </c>
      <c r="AL41" s="194">
        <v>0.6</v>
      </c>
      <c r="AM41" s="194">
        <f>+(AF41+AH41)/AK41</f>
        <v>0.62178895007994328</v>
      </c>
      <c r="AN41" s="194"/>
      <c r="AO41" s="263">
        <v>139123.34</v>
      </c>
      <c r="AP41" s="263">
        <v>7656.15</v>
      </c>
      <c r="AQ41" s="313" t="s">
        <v>36</v>
      </c>
      <c r="AR41" s="6" t="s">
        <v>271</v>
      </c>
      <c r="AS41" s="337">
        <v>44032</v>
      </c>
      <c r="AT41" s="337"/>
      <c r="AU41" s="317" t="s">
        <v>272</v>
      </c>
      <c r="AV41" s="29"/>
      <c r="AW41" s="29"/>
      <c r="AX41" s="29"/>
      <c r="AY41" s="29"/>
      <c r="AZ41" s="29"/>
      <c r="BA41" s="29"/>
      <c r="BB41" s="29"/>
      <c r="BC41" s="29"/>
      <c r="BD41" s="29"/>
      <c r="BE41" s="29"/>
      <c r="BF41" s="29"/>
      <c r="BG41" s="30"/>
      <c r="BH41" s="30"/>
      <c r="BI41" s="30"/>
      <c r="BJ41" s="30"/>
      <c r="BK41" s="30"/>
      <c r="BL41" s="30"/>
      <c r="BM41" s="30"/>
      <c r="BN41" s="30"/>
      <c r="BO41" s="30"/>
      <c r="BP41" s="30"/>
      <c r="BQ41" s="30"/>
      <c r="BR41" s="30"/>
      <c r="BS41" s="30"/>
      <c r="BT41" s="30"/>
      <c r="BU41" s="30"/>
      <c r="BV41" s="30"/>
      <c r="IP41" s="30"/>
      <c r="IQ41" s="30"/>
      <c r="IR41" s="30"/>
      <c r="IS41" s="30"/>
      <c r="IT41" s="30"/>
      <c r="IU41" s="30"/>
      <c r="IV41" s="30"/>
    </row>
    <row r="42" spans="1:256" s="31" customFormat="1" ht="76.5">
      <c r="A42" s="370"/>
      <c r="B42" s="101">
        <v>40</v>
      </c>
      <c r="C42" s="108">
        <v>521853</v>
      </c>
      <c r="D42" s="40">
        <v>44014</v>
      </c>
      <c r="E42" s="25">
        <v>39998</v>
      </c>
      <c r="F42" s="25">
        <v>138678</v>
      </c>
      <c r="G42" s="25">
        <v>20492</v>
      </c>
      <c r="H42" s="25">
        <v>41</v>
      </c>
      <c r="I42" s="25"/>
      <c r="J42" s="25">
        <v>365</v>
      </c>
      <c r="K42" s="25">
        <v>2</v>
      </c>
      <c r="L42" s="148" t="s">
        <v>52</v>
      </c>
      <c r="M42" s="148" t="s">
        <v>273</v>
      </c>
      <c r="N42" s="148" t="s">
        <v>274</v>
      </c>
      <c r="O42" s="148"/>
      <c r="P42" s="148" t="s">
        <v>254</v>
      </c>
      <c r="Q42" s="148"/>
      <c r="R42" s="148"/>
      <c r="S42" s="148"/>
      <c r="T42" s="25">
        <f>3+2</f>
        <v>5</v>
      </c>
      <c r="U42" s="25"/>
      <c r="V42" s="25"/>
      <c r="W42" s="25"/>
      <c r="X42" s="148" t="s">
        <v>275</v>
      </c>
      <c r="Y42" s="25">
        <f>3+2+1</f>
        <v>6</v>
      </c>
      <c r="Z42" s="25"/>
      <c r="AA42" s="25">
        <f>+Y42+1</f>
        <v>7</v>
      </c>
      <c r="AB42" s="25"/>
      <c r="AC42" s="25">
        <f>+Y42*2</f>
        <v>12</v>
      </c>
      <c r="AD42" s="25"/>
      <c r="AE42" s="183"/>
      <c r="AF42" s="183"/>
      <c r="AG42" s="183">
        <f>71.68+14.27/2+76.45+53.98</f>
        <v>209.245</v>
      </c>
      <c r="AH42" s="183">
        <f>82.3+12.42/2</f>
        <v>88.509999999999991</v>
      </c>
      <c r="AI42" s="183"/>
      <c r="AJ42" s="194"/>
      <c r="AK42" s="194">
        <v>324</v>
      </c>
      <c r="AL42" s="194">
        <f>+(71.68+14.27+76.45+82.3+12.42)/AK42</f>
        <v>0.79358024691358031</v>
      </c>
      <c r="AM42" s="194">
        <f>+(AG42+AH42)/AK42</f>
        <v>0.91899691358024693</v>
      </c>
      <c r="AN42" s="194"/>
      <c r="AO42" s="263">
        <f>+(AH42*12060)+((6*15077+7*12060+8*9045+5*6030)/26*AG42)</f>
        <v>3299849.4092307687</v>
      </c>
      <c r="AP42" s="263">
        <v>48059.86</v>
      </c>
      <c r="AQ42" s="313" t="s">
        <v>65</v>
      </c>
      <c r="AR42" s="6" t="s">
        <v>276</v>
      </c>
      <c r="AS42" s="337">
        <v>44033</v>
      </c>
      <c r="AT42" s="337"/>
      <c r="AU42" s="317" t="s">
        <v>256</v>
      </c>
      <c r="AV42" s="29"/>
      <c r="AW42" s="29"/>
      <c r="AX42" s="29"/>
      <c r="AY42" s="29"/>
      <c r="AZ42" s="29"/>
      <c r="BA42" s="29"/>
      <c r="BB42" s="29"/>
      <c r="BC42" s="29"/>
      <c r="BD42" s="29"/>
      <c r="BE42" s="29"/>
      <c r="BF42" s="29"/>
      <c r="BG42" s="30"/>
      <c r="BH42" s="30"/>
      <c r="BI42" s="30"/>
      <c r="BJ42" s="30"/>
      <c r="BK42" s="30"/>
      <c r="BL42" s="30"/>
      <c r="BM42" s="30"/>
      <c r="BN42" s="30"/>
      <c r="BO42" s="30"/>
      <c r="BP42" s="30"/>
      <c r="BQ42" s="30"/>
      <c r="BR42" s="30"/>
      <c r="BS42" s="30"/>
      <c r="BT42" s="30"/>
      <c r="BU42" s="30"/>
      <c r="BV42" s="30"/>
      <c r="IP42" s="30"/>
      <c r="IQ42" s="30"/>
      <c r="IR42" s="30"/>
      <c r="IS42" s="30"/>
      <c r="IT42" s="30"/>
      <c r="IU42" s="30"/>
      <c r="IV42" s="30"/>
    </row>
    <row r="43" spans="1:256" s="31" customFormat="1" ht="76.5">
      <c r="A43" s="370"/>
      <c r="B43" s="105">
        <v>41</v>
      </c>
      <c r="C43" s="109">
        <v>522122</v>
      </c>
      <c r="D43" s="40">
        <v>44026</v>
      </c>
      <c r="E43" s="25">
        <v>11179</v>
      </c>
      <c r="F43" s="25">
        <v>102611</v>
      </c>
      <c r="G43" s="25">
        <v>3372</v>
      </c>
      <c r="H43" s="25"/>
      <c r="I43" s="25"/>
      <c r="J43" s="25">
        <v>46</v>
      </c>
      <c r="K43" s="25">
        <v>8</v>
      </c>
      <c r="L43" s="148" t="s">
        <v>31</v>
      </c>
      <c r="M43" s="148" t="s">
        <v>277</v>
      </c>
      <c r="N43" s="148" t="s">
        <v>278</v>
      </c>
      <c r="O43" s="148"/>
      <c r="P43" s="148" t="s">
        <v>279</v>
      </c>
      <c r="Q43" s="148" t="s">
        <v>279</v>
      </c>
      <c r="R43" s="148" t="s">
        <v>279</v>
      </c>
      <c r="S43" s="148" t="s">
        <v>280</v>
      </c>
      <c r="T43" s="25">
        <v>1</v>
      </c>
      <c r="U43" s="25">
        <v>1</v>
      </c>
      <c r="V43" s="25"/>
      <c r="W43" s="25"/>
      <c r="X43" s="148" t="s">
        <v>44</v>
      </c>
      <c r="Y43" s="25">
        <v>1</v>
      </c>
      <c r="Z43" s="25">
        <v>2</v>
      </c>
      <c r="AA43" s="25"/>
      <c r="AB43" s="25"/>
      <c r="AC43" s="25"/>
      <c r="AD43" s="25"/>
      <c r="AE43" s="183">
        <f>44.9+37.7</f>
        <v>82.6</v>
      </c>
      <c r="AF43" s="183"/>
      <c r="AG43" s="183"/>
      <c r="AH43" s="183"/>
      <c r="AI43" s="183">
        <f>47.11+46.75</f>
        <v>93.86</v>
      </c>
      <c r="AJ43" s="194"/>
      <c r="AK43" s="194">
        <v>149.09</v>
      </c>
      <c r="AL43" s="194">
        <f>+(44.9+47.11)/AK43</f>
        <v>0.61714400697565219</v>
      </c>
      <c r="AM43" s="194"/>
      <c r="AN43" s="194"/>
      <c r="AO43" s="263">
        <f>+((15077*8+4*12060+6*9045+6030*4)/22*(47.11+46.75))+((15077*8+4*12060+6*9045+6030*4)/22*(37.7+44.9/2))</f>
        <v>1730834.3845454548</v>
      </c>
      <c r="AP43" s="263">
        <v>1001</v>
      </c>
      <c r="AQ43" s="313" t="s">
        <v>36</v>
      </c>
      <c r="AR43" s="5" t="s">
        <v>281</v>
      </c>
      <c r="AS43" s="337">
        <v>44034</v>
      </c>
      <c r="AT43" s="337"/>
      <c r="AU43" s="317" t="s">
        <v>282</v>
      </c>
      <c r="AV43" s="29"/>
      <c r="AW43" s="29"/>
      <c r="AX43" s="29"/>
      <c r="AY43" s="29"/>
      <c r="AZ43" s="29"/>
      <c r="BA43" s="29"/>
      <c r="BB43" s="29"/>
      <c r="BC43" s="29"/>
      <c r="BD43" s="29"/>
      <c r="BE43" s="29"/>
      <c r="BF43" s="29"/>
      <c r="BG43" s="30"/>
      <c r="BH43" s="30"/>
      <c r="BI43" s="30"/>
      <c r="BJ43" s="30"/>
      <c r="BK43" s="30"/>
      <c r="BL43" s="30"/>
      <c r="BM43" s="30"/>
      <c r="BN43" s="30"/>
      <c r="BO43" s="30"/>
      <c r="BP43" s="30"/>
      <c r="BQ43" s="30"/>
      <c r="BR43" s="30"/>
      <c r="BS43" s="30"/>
      <c r="BT43" s="30"/>
      <c r="BU43" s="30"/>
      <c r="BV43" s="30"/>
      <c r="IP43" s="30"/>
      <c r="IQ43" s="30"/>
      <c r="IR43" s="30"/>
      <c r="IS43" s="30"/>
      <c r="IT43" s="30"/>
      <c r="IU43" s="30"/>
      <c r="IV43" s="30"/>
    </row>
    <row r="44" spans="1:256" s="31" customFormat="1" ht="90" thickBot="1">
      <c r="A44" s="371"/>
      <c r="B44" s="128">
        <v>42</v>
      </c>
      <c r="C44" s="54" t="s">
        <v>283</v>
      </c>
      <c r="D44" s="35">
        <v>44026</v>
      </c>
      <c r="E44" s="54">
        <v>57727</v>
      </c>
      <c r="F44" s="54">
        <v>166234</v>
      </c>
      <c r="G44" s="54">
        <v>33753</v>
      </c>
      <c r="H44" s="54">
        <v>247</v>
      </c>
      <c r="I44" s="54"/>
      <c r="J44" s="54">
        <v>4</v>
      </c>
      <c r="K44" s="54">
        <v>3</v>
      </c>
      <c r="L44" s="150" t="s">
        <v>39</v>
      </c>
      <c r="M44" s="150" t="s">
        <v>284</v>
      </c>
      <c r="N44" s="150" t="s">
        <v>285</v>
      </c>
      <c r="O44" s="150"/>
      <c r="P44" s="150" t="s">
        <v>286</v>
      </c>
      <c r="Q44" s="150" t="s">
        <v>286</v>
      </c>
      <c r="R44" s="150" t="s">
        <v>286</v>
      </c>
      <c r="S44" s="150" t="s">
        <v>287</v>
      </c>
      <c r="T44" s="54"/>
      <c r="U44" s="54">
        <v>1</v>
      </c>
      <c r="V44" s="54"/>
      <c r="W44" s="54"/>
      <c r="X44" s="150" t="s">
        <v>44</v>
      </c>
      <c r="Y44" s="54"/>
      <c r="Z44" s="54">
        <v>4</v>
      </c>
      <c r="AA44" s="54"/>
      <c r="AB44" s="54">
        <f>+Z44+2</f>
        <v>6</v>
      </c>
      <c r="AC44" s="54"/>
      <c r="AD44" s="54">
        <f>+Z44*2</f>
        <v>8</v>
      </c>
      <c r="AE44" s="187"/>
      <c r="AF44" s="187"/>
      <c r="AG44" s="187"/>
      <c r="AH44" s="196"/>
      <c r="AI44" s="196">
        <f>451.57+207.22/2+110.37</f>
        <v>665.55</v>
      </c>
      <c r="AJ44" s="196"/>
      <c r="AK44" s="196">
        <v>1728</v>
      </c>
      <c r="AL44" s="196">
        <f>+(451.57+207.22)/AK44</f>
        <v>0.38124421296296296</v>
      </c>
      <c r="AM44" s="196">
        <f>+(451.57+207.22/2+110.37)/AK44</f>
        <v>0.38515624999999998</v>
      </c>
      <c r="AN44" s="196">
        <f>+(2+21+4)/(1+7+1)</f>
        <v>3</v>
      </c>
      <c r="AO44" s="277"/>
      <c r="AP44" s="282">
        <v>64068.02</v>
      </c>
      <c r="AQ44" s="318" t="s">
        <v>36</v>
      </c>
      <c r="AR44" s="36" t="s">
        <v>288</v>
      </c>
      <c r="AS44" s="341">
        <v>44036</v>
      </c>
      <c r="AT44" s="356"/>
      <c r="AU44" s="322" t="s">
        <v>289</v>
      </c>
      <c r="AV44" s="39"/>
      <c r="AW44" s="39"/>
      <c r="AX44" s="39"/>
      <c r="AY44" s="39"/>
      <c r="AZ44" s="39"/>
      <c r="BA44" s="39"/>
      <c r="BB44" s="39"/>
      <c r="BC44" s="39"/>
      <c r="BD44" s="39"/>
      <c r="BE44" s="30"/>
      <c r="BF44" s="30"/>
      <c r="BG44" s="30"/>
      <c r="BH44" s="30"/>
      <c r="BI44" s="30"/>
      <c r="BJ44" s="30"/>
      <c r="BK44" s="30"/>
      <c r="BL44" s="30"/>
      <c r="BM44" s="30"/>
      <c r="BN44" s="30"/>
      <c r="BO44" s="30"/>
      <c r="BP44" s="30"/>
      <c r="BQ44" s="30"/>
      <c r="BR44" s="30"/>
      <c r="BS44" s="30"/>
      <c r="BT44" s="30"/>
      <c r="IN44" s="30"/>
      <c r="IO44" s="30"/>
      <c r="IP44" s="30"/>
      <c r="IQ44" s="30"/>
      <c r="IR44" s="30"/>
      <c r="IS44" s="30"/>
      <c r="IT44" s="30"/>
      <c r="IU44" s="30"/>
      <c r="IV44" s="30"/>
    </row>
    <row r="45" spans="1:256" s="31" customFormat="1" ht="114.75">
      <c r="A45" s="370" t="s">
        <v>290</v>
      </c>
      <c r="B45" s="103">
        <v>43</v>
      </c>
      <c r="C45" s="57" t="s">
        <v>291</v>
      </c>
      <c r="D45" s="50">
        <v>44045</v>
      </c>
      <c r="E45" s="57">
        <v>111</v>
      </c>
      <c r="F45" s="57">
        <v>100660</v>
      </c>
      <c r="G45" s="57">
        <v>2634</v>
      </c>
      <c r="H45" s="57"/>
      <c r="I45" s="57"/>
      <c r="J45" s="57">
        <v>712</v>
      </c>
      <c r="K45" s="57">
        <v>14</v>
      </c>
      <c r="L45" s="151" t="s">
        <v>99</v>
      </c>
      <c r="M45" s="151" t="s">
        <v>292</v>
      </c>
      <c r="N45" s="151" t="s">
        <v>293</v>
      </c>
      <c r="O45" s="151"/>
      <c r="P45" s="151" t="s">
        <v>279</v>
      </c>
      <c r="Q45" s="151"/>
      <c r="R45" s="151"/>
      <c r="S45" s="151"/>
      <c r="T45" s="57">
        <f>1+2</f>
        <v>3</v>
      </c>
      <c r="U45" s="57"/>
      <c r="V45" s="57"/>
      <c r="W45" s="57"/>
      <c r="X45" s="151" t="s">
        <v>96</v>
      </c>
      <c r="Y45" s="57">
        <f>3+1+1</f>
        <v>5</v>
      </c>
      <c r="Z45" s="57"/>
      <c r="AA45" s="57"/>
      <c r="AB45" s="57"/>
      <c r="AC45" s="57"/>
      <c r="AD45" s="57"/>
      <c r="AE45" s="190">
        <v>46.69</v>
      </c>
      <c r="AF45" s="190"/>
      <c r="AG45" s="190">
        <f>122.21+63.78/2+25.11</f>
        <v>179.20999999999998</v>
      </c>
      <c r="AH45" s="207"/>
      <c r="AI45" s="207"/>
      <c r="AJ45" s="207"/>
      <c r="AK45" s="207">
        <v>372</v>
      </c>
      <c r="AL45" s="207">
        <f>+(122.21+63.78+46.69)/AK45</f>
        <v>0.62548387096774194</v>
      </c>
      <c r="AM45" s="207">
        <f>+(AE45+AG45)/AK45</f>
        <v>0.60725806451612896</v>
      </c>
      <c r="AN45" s="207"/>
      <c r="AO45" s="283">
        <f>+((8*15077+6*12060+4*9045+5*6030)/23*AG45)+45135.82</f>
        <v>2065580.5269565214</v>
      </c>
      <c r="AP45" s="284">
        <v>32765.83</v>
      </c>
      <c r="AQ45" s="320" t="s">
        <v>36</v>
      </c>
      <c r="AR45" s="41" t="s">
        <v>294</v>
      </c>
      <c r="AS45" s="343">
        <v>44048</v>
      </c>
      <c r="AT45" s="358"/>
      <c r="AU45" s="323" t="s">
        <v>295</v>
      </c>
      <c r="AV45" s="39"/>
      <c r="AW45" s="39"/>
      <c r="AX45" s="39"/>
      <c r="AY45" s="39"/>
      <c r="AZ45" s="39"/>
      <c r="BA45" s="39"/>
      <c r="BB45" s="39"/>
      <c r="BC45" s="39"/>
      <c r="BD45" s="39"/>
      <c r="BE45" s="30"/>
      <c r="BF45" s="30"/>
      <c r="BG45" s="30"/>
      <c r="BH45" s="30"/>
      <c r="BI45" s="30"/>
      <c r="BJ45" s="30"/>
      <c r="BK45" s="30"/>
      <c r="BL45" s="30"/>
      <c r="BM45" s="30"/>
      <c r="BN45" s="30"/>
      <c r="BO45" s="30"/>
      <c r="BP45" s="30"/>
      <c r="BQ45" s="30"/>
      <c r="BR45" s="30"/>
      <c r="BS45" s="30"/>
      <c r="BT45" s="30"/>
      <c r="IN45" s="30"/>
      <c r="IO45" s="30"/>
      <c r="IP45" s="30"/>
      <c r="IQ45" s="30"/>
      <c r="IR45" s="30"/>
      <c r="IS45" s="30"/>
      <c r="IT45" s="30"/>
      <c r="IU45" s="30"/>
      <c r="IV45" s="30"/>
    </row>
    <row r="46" spans="1:256" s="31" customFormat="1" ht="38.25">
      <c r="A46" s="370"/>
      <c r="B46" s="101">
        <v>44</v>
      </c>
      <c r="C46" s="109">
        <v>519087</v>
      </c>
      <c r="D46" s="40">
        <v>43861</v>
      </c>
      <c r="E46" s="25">
        <v>22865</v>
      </c>
      <c r="F46" s="25">
        <v>117719</v>
      </c>
      <c r="G46" s="25">
        <v>642</v>
      </c>
      <c r="H46" s="25"/>
      <c r="I46" s="25">
        <v>74</v>
      </c>
      <c r="J46" s="25">
        <v>511</v>
      </c>
      <c r="K46" s="25">
        <v>4</v>
      </c>
      <c r="L46" s="148" t="s">
        <v>31</v>
      </c>
      <c r="M46" s="148" t="s">
        <v>296</v>
      </c>
      <c r="N46" s="148" t="s">
        <v>297</v>
      </c>
      <c r="O46" s="148"/>
      <c r="P46" s="148" t="s">
        <v>136</v>
      </c>
      <c r="Q46" s="148" t="s">
        <v>136</v>
      </c>
      <c r="R46" s="148" t="s">
        <v>136</v>
      </c>
      <c r="S46" s="148" t="s">
        <v>298</v>
      </c>
      <c r="T46" s="25"/>
      <c r="U46" s="25">
        <v>1</v>
      </c>
      <c r="V46" s="25"/>
      <c r="W46" s="25"/>
      <c r="X46" s="148" t="s">
        <v>44</v>
      </c>
      <c r="Y46" s="25">
        <v>2</v>
      </c>
      <c r="Z46" s="25"/>
      <c r="AA46" s="25">
        <v>3</v>
      </c>
      <c r="AB46" s="25"/>
      <c r="AC46" s="25"/>
      <c r="AD46" s="25"/>
      <c r="AE46" s="183"/>
      <c r="AF46" s="183"/>
      <c r="AG46" s="183"/>
      <c r="AH46" s="183"/>
      <c r="AI46" s="183">
        <f>128.83+18.4/2</f>
        <v>138.03</v>
      </c>
      <c r="AJ46" s="194"/>
      <c r="AK46" s="194">
        <v>167.08</v>
      </c>
      <c r="AL46" s="194">
        <f>+((6.3*3.55)+16.4+62.83)/AK46</f>
        <v>0.60806200622456308</v>
      </c>
      <c r="AM46" s="194">
        <f>+AI46/AK46</f>
        <v>0.82613119463729945</v>
      </c>
      <c r="AN46" s="194">
        <f>+(4+15+4+12)/(2+5+1+2)</f>
        <v>3.5</v>
      </c>
      <c r="AO46" s="263">
        <f>+(6*11168+7*8934+6*6700+4466*2)/21*(128.83+18.4/2+((3.55*6.3)/2))</f>
        <v>1269571.0035714286</v>
      </c>
      <c r="AP46" s="263">
        <v>9152.34</v>
      </c>
      <c r="AQ46" s="313" t="s">
        <v>36</v>
      </c>
      <c r="AR46" s="6" t="s">
        <v>299</v>
      </c>
      <c r="AS46" s="337">
        <v>44048</v>
      </c>
      <c r="AT46" s="337"/>
      <c r="AU46" s="317" t="s">
        <v>300</v>
      </c>
      <c r="AV46" s="29"/>
      <c r="AW46" s="29"/>
      <c r="AX46" s="29"/>
      <c r="AY46" s="29"/>
      <c r="AZ46" s="29"/>
      <c r="BA46" s="29"/>
      <c r="BB46" s="29"/>
      <c r="BC46" s="29"/>
      <c r="BD46" s="29"/>
      <c r="BE46" s="29"/>
      <c r="BF46" s="29"/>
      <c r="BG46" s="30"/>
      <c r="BH46" s="30"/>
      <c r="BI46" s="30"/>
      <c r="BJ46" s="30"/>
      <c r="BK46" s="30"/>
      <c r="BL46" s="30"/>
      <c r="BM46" s="30"/>
      <c r="BN46" s="30"/>
      <c r="BO46" s="30"/>
      <c r="BP46" s="30"/>
      <c r="BQ46" s="30"/>
      <c r="BR46" s="30"/>
      <c r="BS46" s="30"/>
      <c r="BT46" s="30"/>
      <c r="BU46" s="30"/>
      <c r="BV46" s="30"/>
      <c r="IP46" s="30"/>
      <c r="IQ46" s="30"/>
      <c r="IR46" s="30"/>
      <c r="IS46" s="30"/>
      <c r="IT46" s="30"/>
      <c r="IU46" s="30"/>
      <c r="IV46" s="30"/>
    </row>
    <row r="47" spans="1:256" s="31" customFormat="1" ht="51">
      <c r="A47" s="370"/>
      <c r="B47" s="105">
        <v>45</v>
      </c>
      <c r="C47" s="25">
        <v>521489</v>
      </c>
      <c r="D47" s="10">
        <v>43864</v>
      </c>
      <c r="E47" s="25">
        <v>20389</v>
      </c>
      <c r="F47" s="25">
        <v>108606</v>
      </c>
      <c r="G47" s="25">
        <v>3278</v>
      </c>
      <c r="H47" s="25"/>
      <c r="I47" s="25"/>
      <c r="J47" s="25">
        <v>98</v>
      </c>
      <c r="K47" s="25">
        <v>9</v>
      </c>
      <c r="L47" s="148" t="s">
        <v>86</v>
      </c>
      <c r="M47" s="148" t="s">
        <v>301</v>
      </c>
      <c r="N47" s="148" t="s">
        <v>302</v>
      </c>
      <c r="O47" s="148"/>
      <c r="P47" s="148" t="s">
        <v>303</v>
      </c>
      <c r="Q47" s="148"/>
      <c r="R47" s="148"/>
      <c r="S47" s="148"/>
      <c r="T47" s="25">
        <v>2</v>
      </c>
      <c r="U47" s="25"/>
      <c r="V47" s="25"/>
      <c r="W47" s="25"/>
      <c r="X47" s="148" t="s">
        <v>96</v>
      </c>
      <c r="Y47" s="25">
        <v>2</v>
      </c>
      <c r="Z47" s="25"/>
      <c r="AA47" s="25">
        <f>+Y47+2</f>
        <v>4</v>
      </c>
      <c r="AB47" s="25"/>
      <c r="AC47" s="25"/>
      <c r="AD47" s="25"/>
      <c r="AE47" s="183"/>
      <c r="AF47" s="183"/>
      <c r="AG47" s="183">
        <f>130+8.76/2</f>
        <v>134.38</v>
      </c>
      <c r="AH47" s="197"/>
      <c r="AI47" s="197"/>
      <c r="AJ47" s="197"/>
      <c r="AK47" s="197">
        <v>238.16</v>
      </c>
      <c r="AL47" s="197">
        <f>+(130+8.76)/AK47</f>
        <v>0.58263352368155863</v>
      </c>
      <c r="AM47" s="197">
        <f>+AG47/AK47</f>
        <v>0.56424252603291902</v>
      </c>
      <c r="AN47" s="197"/>
      <c r="AO47" s="275">
        <f>+(5*51077+4*12060+7*9045+6030*5)/21*(130+8.76/2)</f>
        <v>2540997.8190476187</v>
      </c>
      <c r="AP47" s="281">
        <v>20536.12</v>
      </c>
      <c r="AQ47" s="178" t="s">
        <v>192</v>
      </c>
      <c r="AR47" s="28" t="s">
        <v>304</v>
      </c>
      <c r="AS47" s="340">
        <v>44062</v>
      </c>
      <c r="AT47" s="355"/>
      <c r="AU47" s="317" t="s">
        <v>305</v>
      </c>
      <c r="AV47" s="39"/>
      <c r="AW47" s="39"/>
      <c r="AX47" s="39"/>
      <c r="AY47" s="39"/>
      <c r="AZ47" s="39"/>
      <c r="BA47" s="39"/>
      <c r="BB47" s="39"/>
      <c r="BC47" s="39"/>
      <c r="BD47" s="39"/>
      <c r="BE47" s="30"/>
      <c r="BF47" s="30"/>
      <c r="BG47" s="30"/>
      <c r="BH47" s="30"/>
      <c r="BI47" s="30"/>
      <c r="BJ47" s="30"/>
      <c r="BK47" s="30"/>
      <c r="BL47" s="30"/>
      <c r="BM47" s="30"/>
      <c r="BN47" s="30"/>
      <c r="BO47" s="30"/>
      <c r="BP47" s="30"/>
      <c r="BQ47" s="30"/>
      <c r="BR47" s="30"/>
      <c r="BS47" s="30"/>
      <c r="BT47" s="30"/>
      <c r="IN47" s="30"/>
      <c r="IO47" s="30"/>
      <c r="IP47" s="30"/>
      <c r="IQ47" s="30"/>
      <c r="IR47" s="30"/>
      <c r="IS47" s="30"/>
      <c r="IT47" s="30"/>
      <c r="IU47" s="30"/>
      <c r="IV47" s="30"/>
    </row>
    <row r="48" spans="1:256" s="31" customFormat="1" ht="51">
      <c r="A48" s="370"/>
      <c r="B48" s="105">
        <v>46</v>
      </c>
      <c r="C48" s="25" t="s">
        <v>306</v>
      </c>
      <c r="D48" s="51">
        <v>44054</v>
      </c>
      <c r="E48" s="25">
        <v>44615</v>
      </c>
      <c r="F48" s="25">
        <v>142094</v>
      </c>
      <c r="G48" s="25">
        <v>8952</v>
      </c>
      <c r="H48" s="25"/>
      <c r="I48" s="25"/>
      <c r="J48" s="25">
        <v>276</v>
      </c>
      <c r="K48" s="25">
        <v>12</v>
      </c>
      <c r="L48" s="148" t="s">
        <v>31</v>
      </c>
      <c r="M48" s="148" t="s">
        <v>307</v>
      </c>
      <c r="N48" s="148" t="s">
        <v>308</v>
      </c>
      <c r="O48" s="148"/>
      <c r="P48" s="148" t="s">
        <v>34</v>
      </c>
      <c r="Q48" s="148"/>
      <c r="R48" s="148"/>
      <c r="S48" s="148"/>
      <c r="T48" s="25">
        <v>3</v>
      </c>
      <c r="U48" s="25"/>
      <c r="V48" s="25"/>
      <c r="W48" s="25"/>
      <c r="X48" s="148" t="s">
        <v>309</v>
      </c>
      <c r="Y48" s="25">
        <v>3</v>
      </c>
      <c r="Z48" s="25"/>
      <c r="AA48" s="25">
        <f>+Y48+2</f>
        <v>5</v>
      </c>
      <c r="AB48" s="25"/>
      <c r="AC48" s="25"/>
      <c r="AD48" s="25"/>
      <c r="AE48" s="183"/>
      <c r="AF48" s="183"/>
      <c r="AG48" s="183">
        <f>76.4+12.32/2+64.68</f>
        <v>147.24</v>
      </c>
      <c r="AH48" s="197"/>
      <c r="AI48" s="197"/>
      <c r="AJ48" s="197"/>
      <c r="AK48" s="197">
        <v>165.24</v>
      </c>
      <c r="AL48" s="197">
        <f>+(76.4+12.32)/AK48</f>
        <v>0.53691600096828851</v>
      </c>
      <c r="AM48" s="197">
        <f>+AG48/AK48</f>
        <v>0.89106753812636164</v>
      </c>
      <c r="AN48" s="197"/>
      <c r="AO48" s="275">
        <f>+(15077+4*12060+9045*6+10*6030)/21*AG48</f>
        <v>1247241.9942857143</v>
      </c>
      <c r="AP48" s="281">
        <v>18460.46</v>
      </c>
      <c r="AQ48" s="178" t="s">
        <v>36</v>
      </c>
      <c r="AR48" s="28" t="s">
        <v>310</v>
      </c>
      <c r="AS48" s="340">
        <v>44064</v>
      </c>
      <c r="AT48" s="359"/>
      <c r="AU48" s="379" t="s">
        <v>311</v>
      </c>
      <c r="AV48" s="39"/>
      <c r="AW48" s="39"/>
      <c r="AX48" s="39"/>
      <c r="AY48" s="39"/>
      <c r="AZ48" s="39"/>
      <c r="BA48" s="39"/>
      <c r="BB48" s="39"/>
      <c r="BC48" s="39"/>
      <c r="BD48" s="39"/>
      <c r="BE48" s="30"/>
      <c r="BF48" s="30"/>
      <c r="BG48" s="30"/>
      <c r="BH48" s="30"/>
      <c r="BI48" s="30"/>
      <c r="BJ48" s="30"/>
      <c r="BK48" s="30"/>
      <c r="BL48" s="30"/>
      <c r="BM48" s="30"/>
      <c r="BN48" s="30"/>
      <c r="BO48" s="30"/>
      <c r="BP48" s="30"/>
      <c r="BQ48" s="30"/>
      <c r="BR48" s="30"/>
      <c r="BS48" s="30"/>
      <c r="BT48" s="30"/>
      <c r="IN48" s="30"/>
      <c r="IO48" s="30"/>
      <c r="IP48" s="30"/>
      <c r="IQ48" s="30"/>
      <c r="IR48" s="30"/>
      <c r="IS48" s="30"/>
      <c r="IT48" s="30"/>
      <c r="IU48" s="30"/>
      <c r="IV48" s="30"/>
    </row>
    <row r="49" spans="1:256" s="31" customFormat="1" ht="63.75">
      <c r="A49" s="370"/>
      <c r="B49" s="105">
        <v>47</v>
      </c>
      <c r="C49" s="25" t="s">
        <v>312</v>
      </c>
      <c r="D49" s="10">
        <v>43854</v>
      </c>
      <c r="E49" s="25">
        <v>58253</v>
      </c>
      <c r="F49" s="25">
        <v>166616</v>
      </c>
      <c r="G49" s="25">
        <v>3799</v>
      </c>
      <c r="H49" s="25">
        <v>327</v>
      </c>
      <c r="I49" s="25"/>
      <c r="J49" s="25">
        <v>8</v>
      </c>
      <c r="K49" s="25">
        <v>5</v>
      </c>
      <c r="L49" s="148" t="s">
        <v>52</v>
      </c>
      <c r="M49" s="148" t="s">
        <v>313</v>
      </c>
      <c r="N49" s="148" t="s">
        <v>314</v>
      </c>
      <c r="O49" s="148"/>
      <c r="P49" s="148" t="s">
        <v>315</v>
      </c>
      <c r="Q49" s="148"/>
      <c r="R49" s="148"/>
      <c r="S49" s="148"/>
      <c r="T49" s="25">
        <v>1</v>
      </c>
      <c r="U49" s="25"/>
      <c r="V49" s="25"/>
      <c r="W49" s="25"/>
      <c r="X49" s="148" t="s">
        <v>44</v>
      </c>
      <c r="Y49" s="25">
        <v>2</v>
      </c>
      <c r="Z49" s="25"/>
      <c r="AA49" s="25">
        <f>+Y49+1</f>
        <v>3</v>
      </c>
      <c r="AB49" s="25"/>
      <c r="AC49" s="25">
        <f>+Y49*2</f>
        <v>4</v>
      </c>
      <c r="AD49" s="25"/>
      <c r="AE49" s="183"/>
      <c r="AF49" s="183"/>
      <c r="AG49" s="183">
        <f>103.43+64.08/2</f>
        <v>135.47</v>
      </c>
      <c r="AH49" s="197"/>
      <c r="AI49" s="197"/>
      <c r="AJ49" s="197"/>
      <c r="AK49" s="197">
        <v>370.5</v>
      </c>
      <c r="AL49" s="197">
        <f>+(103.43+64.08)/AK49</f>
        <v>0.45211875843454791</v>
      </c>
      <c r="AM49" s="197">
        <f>+AG49/AK49</f>
        <v>0.36564102564102563</v>
      </c>
      <c r="AN49" s="197"/>
      <c r="AO49" s="265">
        <f>+(12*12060+4*9045+3*6030)/19*AG49</f>
        <v>1418798.7</v>
      </c>
      <c r="AP49" s="281">
        <v>21049.82</v>
      </c>
      <c r="AQ49" s="178" t="s">
        <v>36</v>
      </c>
      <c r="AR49" s="28" t="s">
        <v>316</v>
      </c>
      <c r="AS49" s="340">
        <v>44069</v>
      </c>
      <c r="AT49" s="359"/>
      <c r="AU49" s="379" t="s">
        <v>317</v>
      </c>
      <c r="AV49" s="39"/>
      <c r="AW49" s="39"/>
      <c r="AX49" s="39"/>
      <c r="AY49" s="39"/>
      <c r="AZ49" s="39"/>
      <c r="BA49" s="39"/>
      <c r="BB49" s="39"/>
      <c r="BC49" s="39"/>
      <c r="BD49" s="39"/>
      <c r="BE49" s="30"/>
      <c r="BF49" s="30"/>
      <c r="BG49" s="30"/>
      <c r="BH49" s="30"/>
      <c r="BI49" s="30"/>
      <c r="BJ49" s="30"/>
      <c r="BK49" s="30"/>
      <c r="BL49" s="30"/>
      <c r="BM49" s="30"/>
      <c r="BN49" s="30"/>
      <c r="BO49" s="30"/>
      <c r="BP49" s="30"/>
      <c r="BQ49" s="30"/>
      <c r="BR49" s="30"/>
      <c r="BS49" s="30"/>
      <c r="BT49" s="30"/>
      <c r="IN49" s="30"/>
      <c r="IO49" s="30"/>
      <c r="IP49" s="30"/>
      <c r="IQ49" s="30"/>
      <c r="IR49" s="30"/>
      <c r="IS49" s="30"/>
      <c r="IT49" s="30"/>
      <c r="IU49" s="30"/>
      <c r="IV49" s="30"/>
    </row>
    <row r="50" spans="1:256" s="31" customFormat="1" ht="89.25">
      <c r="A50" s="370"/>
      <c r="B50" s="105">
        <v>48</v>
      </c>
      <c r="C50" s="25" t="s">
        <v>318</v>
      </c>
      <c r="D50" s="43">
        <v>43966</v>
      </c>
      <c r="E50" s="25">
        <v>6668</v>
      </c>
      <c r="F50" s="25">
        <v>2242</v>
      </c>
      <c r="G50" s="25">
        <v>2229</v>
      </c>
      <c r="H50" s="25"/>
      <c r="I50" s="25"/>
      <c r="J50" s="25">
        <v>26</v>
      </c>
      <c r="K50" s="25">
        <v>19</v>
      </c>
      <c r="L50" s="148" t="s">
        <v>239</v>
      </c>
      <c r="M50" s="148" t="s">
        <v>319</v>
      </c>
      <c r="N50" s="148" t="s">
        <v>320</v>
      </c>
      <c r="O50" s="148"/>
      <c r="P50" s="148" t="s">
        <v>321</v>
      </c>
      <c r="Q50" s="148" t="s">
        <v>322</v>
      </c>
      <c r="R50" s="148" t="s">
        <v>321</v>
      </c>
      <c r="S50" s="148" t="s">
        <v>323</v>
      </c>
      <c r="T50" s="25"/>
      <c r="U50" s="25">
        <v>1</v>
      </c>
      <c r="V50" s="25"/>
      <c r="W50" s="25"/>
      <c r="X50" s="148" t="s">
        <v>44</v>
      </c>
      <c r="Y50" s="25"/>
      <c r="Z50" s="25">
        <v>3</v>
      </c>
      <c r="AA50" s="25"/>
      <c r="AB50" s="25">
        <f>+Z50+2</f>
        <v>5</v>
      </c>
      <c r="AC50" s="25"/>
      <c r="AD50" s="25"/>
      <c r="AE50" s="183"/>
      <c r="AF50" s="183"/>
      <c r="AG50" s="183"/>
      <c r="AH50" s="197"/>
      <c r="AI50" s="197">
        <f>171.23+91.67+46.44/2+4.45/2</f>
        <v>288.34500000000003</v>
      </c>
      <c r="AJ50" s="197"/>
      <c r="AK50" s="197">
        <v>519.75</v>
      </c>
      <c r="AL50" s="197">
        <f>+(171.23+91.67+46.44+4.45)/AK50</f>
        <v>0.60373256373256368</v>
      </c>
      <c r="AM50" s="197">
        <f>+AI50/AK50</f>
        <v>0.55477633477633481</v>
      </c>
      <c r="AN50" s="197">
        <f>+(8+15+12)/(4+5+2)</f>
        <v>3.1818181818181817</v>
      </c>
      <c r="AO50" s="275">
        <f>+(3*15077+7*12060+7*9045+5*6030)/22*AI50</f>
        <v>2924290.1372727277</v>
      </c>
      <c r="AP50" s="281">
        <v>43244.97</v>
      </c>
      <c r="AQ50" s="178" t="s">
        <v>192</v>
      </c>
      <c r="AR50" s="28" t="s">
        <v>324</v>
      </c>
      <c r="AS50" s="340">
        <v>44072</v>
      </c>
      <c r="AT50" s="355"/>
      <c r="AU50" s="317" t="s">
        <v>325</v>
      </c>
      <c r="AV50" s="39"/>
      <c r="AW50" s="39"/>
      <c r="AX50" s="39"/>
      <c r="AY50" s="39"/>
      <c r="AZ50" s="39"/>
      <c r="BA50" s="39"/>
      <c r="BB50" s="39"/>
      <c r="BC50" s="39"/>
      <c r="BD50" s="39"/>
      <c r="BE50" s="30"/>
      <c r="BF50" s="30"/>
      <c r="BG50" s="30"/>
      <c r="BH50" s="30"/>
      <c r="BI50" s="30"/>
      <c r="BJ50" s="30"/>
      <c r="BK50" s="30"/>
      <c r="BL50" s="30"/>
      <c r="BM50" s="30"/>
      <c r="BN50" s="30"/>
      <c r="BO50" s="30"/>
      <c r="BP50" s="30"/>
      <c r="BQ50" s="30"/>
      <c r="BR50" s="30"/>
      <c r="BS50" s="30"/>
      <c r="BT50" s="30"/>
      <c r="IN50" s="30"/>
      <c r="IO50" s="30"/>
      <c r="IP50" s="30"/>
      <c r="IQ50" s="30"/>
      <c r="IR50" s="30"/>
      <c r="IS50" s="30"/>
      <c r="IT50" s="30"/>
      <c r="IU50" s="30"/>
      <c r="IV50" s="30"/>
    </row>
    <row r="51" spans="1:256" s="31" customFormat="1" ht="51">
      <c r="A51" s="370"/>
      <c r="B51" s="105">
        <v>49</v>
      </c>
      <c r="C51" s="25" t="s">
        <v>326</v>
      </c>
      <c r="D51" s="23">
        <v>44011</v>
      </c>
      <c r="E51" s="25">
        <v>43438</v>
      </c>
      <c r="F51" s="25">
        <v>141258</v>
      </c>
      <c r="G51" s="25">
        <v>31999</v>
      </c>
      <c r="H51" s="25">
        <v>327</v>
      </c>
      <c r="I51" s="25"/>
      <c r="J51" s="25">
        <v>6</v>
      </c>
      <c r="K51" s="25">
        <v>2</v>
      </c>
      <c r="L51" s="148" t="s">
        <v>52</v>
      </c>
      <c r="M51" s="148" t="s">
        <v>220</v>
      </c>
      <c r="N51" s="148" t="s">
        <v>327</v>
      </c>
      <c r="O51" s="148"/>
      <c r="P51" s="148" t="s">
        <v>279</v>
      </c>
      <c r="Q51" s="148" t="s">
        <v>279</v>
      </c>
      <c r="R51" s="148" t="s">
        <v>279</v>
      </c>
      <c r="S51" s="148" t="s">
        <v>185</v>
      </c>
      <c r="T51" s="25">
        <v>1</v>
      </c>
      <c r="U51" s="25"/>
      <c r="V51" s="25"/>
      <c r="W51" s="25"/>
      <c r="X51" s="148" t="s">
        <v>57</v>
      </c>
      <c r="Y51" s="25"/>
      <c r="Z51" s="25"/>
      <c r="AA51" s="25"/>
      <c r="AB51" s="25"/>
      <c r="AC51" s="25"/>
      <c r="AD51" s="25"/>
      <c r="AE51" s="183"/>
      <c r="AF51" s="183"/>
      <c r="AG51" s="183"/>
      <c r="AH51" s="197"/>
      <c r="AI51" s="197"/>
      <c r="AJ51" s="197">
        <v>193.67</v>
      </c>
      <c r="AK51" s="197">
        <v>323.14</v>
      </c>
      <c r="AL51" s="197">
        <f>+AJ51/AK51</f>
        <v>0.59933774834437081</v>
      </c>
      <c r="AM51" s="197">
        <f>+AJ51/AK51</f>
        <v>0.59933774834437081</v>
      </c>
      <c r="AN51" s="197">
        <f>+(1+8+12+4+12)/(1+4+4+1+2)</f>
        <v>3.0833333333333335</v>
      </c>
      <c r="AO51" s="275">
        <f>12060*AJ51</f>
        <v>2335660.1999999997</v>
      </c>
      <c r="AP51" s="281">
        <v>8708.68</v>
      </c>
      <c r="AQ51" s="178" t="s">
        <v>36</v>
      </c>
      <c r="AR51" s="28" t="s">
        <v>328</v>
      </c>
      <c r="AS51" s="340">
        <v>44071</v>
      </c>
      <c r="AT51" s="355"/>
      <c r="AU51" s="317"/>
      <c r="AV51" s="39"/>
      <c r="AW51" s="39"/>
      <c r="AX51" s="39"/>
      <c r="AY51" s="39"/>
      <c r="AZ51" s="39"/>
      <c r="BA51" s="39"/>
      <c r="BB51" s="39"/>
      <c r="BC51" s="39"/>
      <c r="BD51" s="39"/>
      <c r="BE51" s="30"/>
      <c r="BF51" s="30"/>
      <c r="BG51" s="30"/>
      <c r="BH51" s="30"/>
      <c r="BI51" s="30"/>
      <c r="BJ51" s="30"/>
      <c r="BK51" s="30"/>
      <c r="BL51" s="30"/>
      <c r="BM51" s="30"/>
      <c r="BN51" s="30"/>
      <c r="BO51" s="30"/>
      <c r="BP51" s="30"/>
      <c r="BQ51" s="30"/>
      <c r="BR51" s="30"/>
      <c r="BS51" s="30"/>
      <c r="BT51" s="30"/>
      <c r="IN51" s="30"/>
      <c r="IO51" s="30"/>
      <c r="IP51" s="30"/>
      <c r="IQ51" s="30"/>
      <c r="IR51" s="30"/>
      <c r="IS51" s="30"/>
      <c r="IT51" s="30"/>
      <c r="IU51" s="30"/>
      <c r="IV51" s="30"/>
    </row>
    <row r="52" spans="1:256" s="31" customFormat="1" ht="39" thickBot="1">
      <c r="A52" s="371"/>
      <c r="B52" s="128">
        <v>50</v>
      </c>
      <c r="C52" s="387" t="s">
        <v>329</v>
      </c>
      <c r="D52" s="53">
        <v>44035</v>
      </c>
      <c r="E52" s="54">
        <v>57715</v>
      </c>
      <c r="F52" s="54">
        <v>166241</v>
      </c>
      <c r="G52" s="54">
        <v>33749</v>
      </c>
      <c r="H52" s="54">
        <v>310</v>
      </c>
      <c r="I52" s="54"/>
      <c r="J52" s="54">
        <v>2</v>
      </c>
      <c r="K52" s="54">
        <v>33</v>
      </c>
      <c r="L52" s="150" t="s">
        <v>39</v>
      </c>
      <c r="M52" s="150" t="s">
        <v>220</v>
      </c>
      <c r="N52" s="150"/>
      <c r="O52" s="150" t="s">
        <v>330</v>
      </c>
      <c r="P52" s="150" t="s">
        <v>321</v>
      </c>
      <c r="Q52" s="150" t="s">
        <v>322</v>
      </c>
      <c r="R52" s="150" t="s">
        <v>321</v>
      </c>
      <c r="S52" s="150" t="s">
        <v>323</v>
      </c>
      <c r="T52" s="54"/>
      <c r="U52" s="54">
        <v>6</v>
      </c>
      <c r="V52" s="54"/>
      <c r="W52" s="54"/>
      <c r="X52" s="150" t="s">
        <v>96</v>
      </c>
      <c r="Y52" s="54"/>
      <c r="Z52" s="54">
        <f>2*U52</f>
        <v>12</v>
      </c>
      <c r="AA52" s="54"/>
      <c r="AB52" s="54">
        <f>+Z52+6</f>
        <v>18</v>
      </c>
      <c r="AC52" s="54"/>
      <c r="AD52" s="54">
        <f>+Z52*2</f>
        <v>24</v>
      </c>
      <c r="AE52" s="187"/>
      <c r="AF52" s="187"/>
      <c r="AG52" s="187"/>
      <c r="AH52" s="187"/>
      <c r="AI52" s="187">
        <f>362.1+125.25/2</f>
        <v>424.72500000000002</v>
      </c>
      <c r="AJ52" s="209"/>
      <c r="AK52" s="209">
        <v>987.06</v>
      </c>
      <c r="AL52" s="209">
        <f>+(362.1+125.25)/AK52</f>
        <v>0.49373898243267894</v>
      </c>
      <c r="AM52" s="209">
        <f>+AI52/AK52</f>
        <v>0.43029299130751936</v>
      </c>
      <c r="AN52" s="209">
        <f>+(2+24+12)/(1+8+2)</f>
        <v>3.4545454545454546</v>
      </c>
      <c r="AO52" s="267">
        <f>+(3*15077+4*12060+7*9045+5*6030)/19*AI52</f>
        <v>4178757.5052631581</v>
      </c>
      <c r="AP52" s="288">
        <v>15061.06</v>
      </c>
      <c r="AQ52" s="315" t="s">
        <v>36</v>
      </c>
      <c r="AR52" s="55" t="s">
        <v>331</v>
      </c>
      <c r="AS52" s="345">
        <v>44071</v>
      </c>
      <c r="AT52" s="345"/>
      <c r="AU52" s="322" t="s">
        <v>332</v>
      </c>
      <c r="AV52" s="29"/>
      <c r="AW52" s="29"/>
      <c r="AX52" s="29"/>
      <c r="AY52" s="29"/>
      <c r="AZ52" s="29"/>
      <c r="BA52" s="29"/>
      <c r="BB52" s="29"/>
      <c r="BC52" s="29"/>
      <c r="BD52" s="29"/>
      <c r="BE52" s="29"/>
      <c r="BF52" s="29"/>
      <c r="BG52" s="30"/>
      <c r="BH52" s="30"/>
      <c r="BI52" s="30"/>
      <c r="BJ52" s="30"/>
      <c r="BK52" s="30"/>
      <c r="BL52" s="30"/>
      <c r="BM52" s="30"/>
      <c r="BN52" s="30"/>
      <c r="BO52" s="30"/>
      <c r="BP52" s="30"/>
      <c r="BQ52" s="30"/>
      <c r="BR52" s="30"/>
      <c r="BS52" s="30"/>
      <c r="BT52" s="30"/>
      <c r="BU52" s="30"/>
      <c r="BV52" s="30"/>
      <c r="IP52" s="30"/>
      <c r="IQ52" s="30"/>
      <c r="IR52" s="30"/>
      <c r="IS52" s="30"/>
      <c r="IT52" s="30"/>
      <c r="IU52" s="30"/>
      <c r="IV52" s="30"/>
    </row>
    <row r="53" spans="1:256" s="31" customFormat="1" ht="102">
      <c r="A53" s="370" t="s">
        <v>333</v>
      </c>
      <c r="B53" s="103">
        <v>51</v>
      </c>
      <c r="C53" s="388">
        <v>522272</v>
      </c>
      <c r="D53" s="56">
        <v>44042</v>
      </c>
      <c r="E53" s="57">
        <v>53473</v>
      </c>
      <c r="F53" s="57">
        <v>50525</v>
      </c>
      <c r="G53" s="57">
        <v>2714</v>
      </c>
      <c r="H53" s="57"/>
      <c r="I53" s="57"/>
      <c r="J53" s="57">
        <v>778</v>
      </c>
      <c r="K53" s="57">
        <v>2</v>
      </c>
      <c r="L53" s="151" t="s">
        <v>99</v>
      </c>
      <c r="M53" s="151" t="s">
        <v>334</v>
      </c>
      <c r="N53" s="151" t="s">
        <v>335</v>
      </c>
      <c r="O53" s="151" t="s">
        <v>336</v>
      </c>
      <c r="P53" s="151" t="s">
        <v>337</v>
      </c>
      <c r="Q53" s="151" t="s">
        <v>337</v>
      </c>
      <c r="R53" s="151" t="s">
        <v>337</v>
      </c>
      <c r="S53" s="151" t="s">
        <v>338</v>
      </c>
      <c r="T53" s="57"/>
      <c r="U53" s="57">
        <v>7</v>
      </c>
      <c r="V53" s="57"/>
      <c r="W53" s="57"/>
      <c r="X53" s="151" t="s">
        <v>339</v>
      </c>
      <c r="Y53" s="57"/>
      <c r="Z53" s="57">
        <f>1+2+2+3+3</f>
        <v>11</v>
      </c>
      <c r="AA53" s="57"/>
      <c r="AB53" s="57">
        <f>+Z53+3+3</f>
        <v>17</v>
      </c>
      <c r="AC53" s="57"/>
      <c r="AD53" s="57">
        <f>+Z53*2</f>
        <v>22</v>
      </c>
      <c r="AE53" s="190">
        <f>69.29+116.5/2+175.25+8.63/2+175.25+8.63/2</f>
        <v>486.67</v>
      </c>
      <c r="AF53" s="190"/>
      <c r="AG53" s="190"/>
      <c r="AH53" s="190"/>
      <c r="AI53" s="190">
        <f>4.08+4.08+4.08/2</f>
        <v>10.199999999999999</v>
      </c>
      <c r="AJ53" s="210"/>
      <c r="AK53" s="210">
        <v>444.12</v>
      </c>
      <c r="AL53" s="210">
        <f>+(4.08+175.26+8.63)/AK53</f>
        <v>0.42324146627037734</v>
      </c>
      <c r="AM53" s="210">
        <f>+(AE53+AI53)/AK53</f>
        <v>1.118774205169774</v>
      </c>
      <c r="AN53" s="210"/>
      <c r="AO53" s="269">
        <f>+(2*16157+10*12923+13*9893)/25*AI53</f>
        <v>118382.424</v>
      </c>
      <c r="AP53" s="289">
        <v>4152.67</v>
      </c>
      <c r="AQ53" s="316" t="s">
        <v>36</v>
      </c>
      <c r="AR53" s="58" t="s">
        <v>340</v>
      </c>
      <c r="AS53" s="346">
        <v>44075</v>
      </c>
      <c r="AT53" s="346"/>
      <c r="AU53" s="323" t="s">
        <v>341</v>
      </c>
      <c r="AV53" s="29"/>
      <c r="AW53" s="29"/>
      <c r="AX53" s="29"/>
      <c r="AY53" s="29"/>
      <c r="AZ53" s="29"/>
      <c r="BA53" s="29"/>
      <c r="BB53" s="29"/>
      <c r="BC53" s="29"/>
      <c r="BD53" s="29"/>
      <c r="BE53" s="29"/>
      <c r="BF53" s="29"/>
      <c r="BG53" s="30"/>
      <c r="BH53" s="30"/>
      <c r="BI53" s="30"/>
      <c r="BJ53" s="30"/>
      <c r="BK53" s="30"/>
      <c r="BL53" s="30"/>
      <c r="BM53" s="30"/>
      <c r="BN53" s="30"/>
      <c r="BO53" s="30"/>
      <c r="BP53" s="30"/>
      <c r="BQ53" s="30"/>
      <c r="BR53" s="30"/>
      <c r="BS53" s="30"/>
      <c r="BT53" s="30"/>
      <c r="BU53" s="30"/>
      <c r="BV53" s="30"/>
      <c r="IP53" s="30"/>
      <c r="IQ53" s="30"/>
      <c r="IR53" s="30"/>
      <c r="IS53" s="30"/>
      <c r="IT53" s="30"/>
      <c r="IU53" s="30"/>
      <c r="IV53" s="30"/>
    </row>
    <row r="54" spans="1:256" s="9" customFormat="1" ht="63.75">
      <c r="A54" s="370"/>
      <c r="B54" s="105">
        <v>52</v>
      </c>
      <c r="C54" s="109">
        <v>517500</v>
      </c>
      <c r="D54" s="1">
        <v>43819</v>
      </c>
      <c r="E54" s="3">
        <v>42477</v>
      </c>
      <c r="F54" s="3">
        <v>140702</v>
      </c>
      <c r="G54" s="3">
        <v>8677</v>
      </c>
      <c r="H54" s="3"/>
      <c r="I54" s="3"/>
      <c r="J54" s="3">
        <v>206</v>
      </c>
      <c r="K54" s="3">
        <v>7</v>
      </c>
      <c r="L54" s="148" t="s">
        <v>99</v>
      </c>
      <c r="M54" s="148" t="s">
        <v>342</v>
      </c>
      <c r="N54" s="148" t="s">
        <v>343</v>
      </c>
      <c r="O54" s="148"/>
      <c r="P54" s="148" t="s">
        <v>344</v>
      </c>
      <c r="Q54" s="148" t="s">
        <v>344</v>
      </c>
      <c r="R54" s="148" t="s">
        <v>344</v>
      </c>
      <c r="S54" s="148" t="s">
        <v>345</v>
      </c>
      <c r="T54" s="3">
        <v>1</v>
      </c>
      <c r="U54" s="3"/>
      <c r="V54" s="3"/>
      <c r="W54" s="3"/>
      <c r="X54" s="148" t="s">
        <v>346</v>
      </c>
      <c r="Y54" s="3"/>
      <c r="Z54" s="3"/>
      <c r="AA54" s="3">
        <v>1</v>
      </c>
      <c r="AB54" s="3"/>
      <c r="AC54" s="3"/>
      <c r="AD54" s="3"/>
      <c r="AE54" s="182"/>
      <c r="AF54" s="182"/>
      <c r="AG54" s="182"/>
      <c r="AH54" s="183"/>
      <c r="AI54" s="183">
        <v>36.450000000000003</v>
      </c>
      <c r="AJ54" s="184"/>
      <c r="AK54" s="184">
        <v>443.19</v>
      </c>
      <c r="AL54" s="184">
        <f>+AI54/AK54</f>
        <v>8.2244635483652614E-2</v>
      </c>
      <c r="AM54" s="184">
        <f>+AL54</f>
        <v>8.2244635483652614E-2</v>
      </c>
      <c r="AN54" s="184"/>
      <c r="AO54" s="263">
        <f>+(16157*1+12923*4+4*9693+6462*5)/14*AI54</f>
        <v>361716.78214285715</v>
      </c>
      <c r="AP54" s="263">
        <v>2782.01</v>
      </c>
      <c r="AQ54" s="313" t="s">
        <v>65</v>
      </c>
      <c r="AR54" s="4" t="s">
        <v>347</v>
      </c>
      <c r="AS54" s="334">
        <v>44077</v>
      </c>
      <c r="AT54" s="334"/>
      <c r="AU54" s="317" t="s">
        <v>85</v>
      </c>
      <c r="AV54" s="7"/>
      <c r="AW54" s="7"/>
      <c r="AX54" s="7"/>
      <c r="AY54" s="7"/>
      <c r="AZ54" s="7"/>
      <c r="BA54" s="7"/>
      <c r="BB54" s="7"/>
      <c r="BC54" s="7"/>
      <c r="BD54" s="7"/>
      <c r="BE54" s="7"/>
      <c r="BF54" s="7"/>
      <c r="BG54" s="8"/>
      <c r="BH54" s="8"/>
      <c r="BI54" s="8"/>
      <c r="BJ54" s="8"/>
      <c r="BK54" s="8"/>
      <c r="BL54" s="8"/>
      <c r="BM54" s="8"/>
      <c r="BN54" s="8"/>
      <c r="BO54" s="8"/>
      <c r="BP54" s="8"/>
      <c r="BQ54" s="8"/>
      <c r="BR54" s="8"/>
      <c r="BS54" s="8"/>
      <c r="BT54" s="8"/>
      <c r="BU54" s="8"/>
      <c r="BV54" s="8"/>
      <c r="IP54" s="8"/>
      <c r="IQ54" s="8"/>
      <c r="IR54" s="8"/>
      <c r="IS54" s="8"/>
      <c r="IT54" s="8"/>
      <c r="IU54" s="8"/>
      <c r="IV54" s="8"/>
    </row>
    <row r="55" spans="1:256" s="9" customFormat="1" ht="63.75">
      <c r="A55" s="370"/>
      <c r="B55" s="105">
        <v>53</v>
      </c>
      <c r="C55" s="109">
        <v>522541</v>
      </c>
      <c r="D55" s="1">
        <v>44041</v>
      </c>
      <c r="E55" s="3">
        <v>25193</v>
      </c>
      <c r="F55" s="3">
        <v>118869</v>
      </c>
      <c r="G55" s="3">
        <v>5781</v>
      </c>
      <c r="H55" s="3"/>
      <c r="I55" s="3"/>
      <c r="J55" s="3">
        <v>482</v>
      </c>
      <c r="K55" s="3">
        <v>3</v>
      </c>
      <c r="L55" s="148" t="s">
        <v>239</v>
      </c>
      <c r="M55" s="148" t="s">
        <v>348</v>
      </c>
      <c r="N55" s="148" t="s">
        <v>349</v>
      </c>
      <c r="O55" s="148"/>
      <c r="P55" s="148" t="s">
        <v>350</v>
      </c>
      <c r="Q55" s="148"/>
      <c r="R55" s="148"/>
      <c r="S55" s="148"/>
      <c r="T55" s="3">
        <v>2</v>
      </c>
      <c r="U55" s="3"/>
      <c r="V55" s="3"/>
      <c r="W55" s="3"/>
      <c r="X55" s="148" t="s">
        <v>96</v>
      </c>
      <c r="Y55" s="3">
        <f>2+1</f>
        <v>3</v>
      </c>
      <c r="Z55" s="3"/>
      <c r="AA55" s="3">
        <f>+Y55+1</f>
        <v>4</v>
      </c>
      <c r="AB55" s="3"/>
      <c r="AC55" s="3">
        <f>+Y55*2</f>
        <v>6</v>
      </c>
      <c r="AD55" s="3"/>
      <c r="AE55" s="182"/>
      <c r="AF55" s="182"/>
      <c r="AG55" s="182">
        <f>+(106.24+12.25/2)</f>
        <v>112.36499999999999</v>
      </c>
      <c r="AH55" s="183"/>
      <c r="AI55" s="183"/>
      <c r="AJ55" s="184"/>
      <c r="AK55" s="184">
        <v>240.23</v>
      </c>
      <c r="AL55" s="184">
        <f>+(106.24+12.25)/AK55</f>
        <v>0.49323564916954588</v>
      </c>
      <c r="AM55" s="184">
        <f>+AG55/AK55</f>
        <v>0.46773924988552634</v>
      </c>
      <c r="AN55" s="184"/>
      <c r="AO55" s="263">
        <f>+(5*12923+5*9693+9*6462)/19*AG55</f>
        <v>1012692.5194736841</v>
      </c>
      <c r="AP55" s="263">
        <v>15752.25</v>
      </c>
      <c r="AQ55" s="313" t="s">
        <v>65</v>
      </c>
      <c r="AR55" s="4" t="s">
        <v>351</v>
      </c>
      <c r="AS55" s="334">
        <v>44077</v>
      </c>
      <c r="AT55" s="334"/>
      <c r="AU55" s="317"/>
      <c r="AV55" s="7"/>
      <c r="AW55" s="7"/>
      <c r="AX55" s="7"/>
      <c r="AY55" s="7"/>
      <c r="AZ55" s="7"/>
      <c r="BA55" s="7"/>
      <c r="BB55" s="7"/>
      <c r="BC55" s="7"/>
      <c r="BD55" s="7"/>
      <c r="BE55" s="7"/>
      <c r="BF55" s="7"/>
      <c r="BG55" s="8"/>
      <c r="BH55" s="8"/>
      <c r="BI55" s="8"/>
      <c r="BJ55" s="8"/>
      <c r="BK55" s="8"/>
      <c r="BL55" s="8"/>
      <c r="BM55" s="8"/>
      <c r="BN55" s="8"/>
      <c r="BO55" s="8"/>
      <c r="BP55" s="8"/>
      <c r="BQ55" s="8"/>
      <c r="BR55" s="8"/>
      <c r="BS55" s="8"/>
      <c r="BT55" s="8"/>
      <c r="BU55" s="8"/>
      <c r="BV55" s="8"/>
      <c r="IP55" s="8"/>
      <c r="IQ55" s="8"/>
      <c r="IR55" s="8"/>
      <c r="IS55" s="8"/>
      <c r="IT55" s="8"/>
      <c r="IU55" s="8"/>
      <c r="IV55" s="8"/>
    </row>
    <row r="56" spans="1:256" s="9" customFormat="1" ht="63.75">
      <c r="A56" s="370"/>
      <c r="B56" s="105">
        <v>54</v>
      </c>
      <c r="C56" s="109">
        <v>522928</v>
      </c>
      <c r="D56" s="1">
        <v>44055</v>
      </c>
      <c r="E56" s="3">
        <v>24302</v>
      </c>
      <c r="F56" s="3">
        <v>117965</v>
      </c>
      <c r="G56" s="3">
        <v>5019</v>
      </c>
      <c r="H56" s="3"/>
      <c r="I56" s="3"/>
      <c r="J56" s="3">
        <v>299</v>
      </c>
      <c r="K56" s="3">
        <v>4</v>
      </c>
      <c r="L56" s="148" t="s">
        <v>352</v>
      </c>
      <c r="M56" s="148" t="s">
        <v>353</v>
      </c>
      <c r="N56" s="148" t="s">
        <v>354</v>
      </c>
      <c r="O56" s="148"/>
      <c r="P56" s="148" t="s">
        <v>350</v>
      </c>
      <c r="Q56" s="148" t="s">
        <v>350</v>
      </c>
      <c r="R56" s="148" t="s">
        <v>350</v>
      </c>
      <c r="S56" s="148" t="s">
        <v>197</v>
      </c>
      <c r="T56" s="3"/>
      <c r="U56" s="3">
        <v>1</v>
      </c>
      <c r="V56" s="3"/>
      <c r="W56" s="3"/>
      <c r="X56" s="148" t="s">
        <v>44</v>
      </c>
      <c r="Y56" s="3"/>
      <c r="Z56" s="3">
        <v>3</v>
      </c>
      <c r="AA56" s="3"/>
      <c r="AB56" s="3">
        <f>3+1</f>
        <v>4</v>
      </c>
      <c r="AC56" s="3"/>
      <c r="AD56" s="3">
        <f>+Z56*2</f>
        <v>6</v>
      </c>
      <c r="AE56" s="182"/>
      <c r="AF56" s="182"/>
      <c r="AG56" s="182"/>
      <c r="AH56" s="183"/>
      <c r="AI56" s="183">
        <f>9.29/2+176.15</f>
        <v>180.79500000000002</v>
      </c>
      <c r="AJ56" s="184"/>
      <c r="AK56" s="184">
        <v>300</v>
      </c>
      <c r="AL56" s="184">
        <f>+(128.88+9.29)/AK56</f>
        <v>0.46056666666666662</v>
      </c>
      <c r="AM56" s="184">
        <f>+AI56/AK56</f>
        <v>0.60265000000000002</v>
      </c>
      <c r="AN56" s="184"/>
      <c r="AO56" s="263">
        <f>200000+((11*16157+10*12923+2*9693)/23*(176.15+9.29/2))</f>
        <v>2765268.8123913044</v>
      </c>
      <c r="AP56" s="263">
        <v>19446.240000000002</v>
      </c>
      <c r="AQ56" s="313" t="s">
        <v>65</v>
      </c>
      <c r="AR56" s="4" t="s">
        <v>355</v>
      </c>
      <c r="AS56" s="334">
        <v>44078</v>
      </c>
      <c r="AT56" s="334"/>
      <c r="AU56" s="317" t="s">
        <v>356</v>
      </c>
      <c r="AV56" s="7"/>
      <c r="AW56" s="7"/>
      <c r="AX56" s="7"/>
      <c r="AY56" s="7"/>
      <c r="AZ56" s="7"/>
      <c r="BA56" s="7"/>
      <c r="BB56" s="7"/>
      <c r="BC56" s="7"/>
      <c r="BD56" s="7"/>
      <c r="BE56" s="7"/>
      <c r="BF56" s="7"/>
      <c r="BG56" s="8"/>
      <c r="BH56" s="8"/>
      <c r="BI56" s="8"/>
      <c r="BJ56" s="8"/>
      <c r="BK56" s="8"/>
      <c r="BL56" s="8"/>
      <c r="BM56" s="8"/>
      <c r="BN56" s="8"/>
      <c r="BO56" s="8"/>
      <c r="BP56" s="8"/>
      <c r="BQ56" s="8"/>
      <c r="BR56" s="8"/>
      <c r="BS56" s="8"/>
      <c r="BT56" s="8"/>
      <c r="BU56" s="8"/>
      <c r="BV56" s="8"/>
      <c r="IP56" s="8"/>
      <c r="IQ56" s="8"/>
      <c r="IR56" s="8"/>
      <c r="IS56" s="8"/>
      <c r="IT56" s="8"/>
      <c r="IU56" s="8"/>
      <c r="IV56" s="8"/>
    </row>
    <row r="57" spans="1:256" s="31" customFormat="1" ht="63.75">
      <c r="A57" s="370"/>
      <c r="B57" s="105">
        <v>55</v>
      </c>
      <c r="C57" s="389">
        <v>523019</v>
      </c>
      <c r="D57" s="40">
        <v>44057</v>
      </c>
      <c r="E57" s="25">
        <v>48067</v>
      </c>
      <c r="F57" s="25">
        <v>158654</v>
      </c>
      <c r="G57" s="25">
        <v>32456</v>
      </c>
      <c r="H57" s="25">
        <v>327</v>
      </c>
      <c r="I57" s="25"/>
      <c r="J57" s="25">
        <v>11</v>
      </c>
      <c r="K57" s="25">
        <v>3</v>
      </c>
      <c r="L57" s="148" t="s">
        <v>239</v>
      </c>
      <c r="M57" s="148" t="s">
        <v>357</v>
      </c>
      <c r="N57" s="148" t="s">
        <v>358</v>
      </c>
      <c r="O57" s="148"/>
      <c r="P57" s="148" t="s">
        <v>203</v>
      </c>
      <c r="Q57" s="148"/>
      <c r="R57" s="148"/>
      <c r="S57" s="148"/>
      <c r="T57" s="25">
        <v>1</v>
      </c>
      <c r="U57" s="25"/>
      <c r="V57" s="25"/>
      <c r="W57" s="25"/>
      <c r="X57" s="148" t="s">
        <v>359</v>
      </c>
      <c r="Y57" s="25"/>
      <c r="Z57" s="25"/>
      <c r="AA57" s="25"/>
      <c r="AB57" s="25"/>
      <c r="AC57" s="25"/>
      <c r="AD57" s="25"/>
      <c r="AE57" s="183"/>
      <c r="AF57" s="183">
        <f>63+45/2</f>
        <v>85.5</v>
      </c>
      <c r="AG57" s="183"/>
      <c r="AH57" s="183">
        <f>77.6-63+45/2-30.5/2</f>
        <v>21.849999999999994</v>
      </c>
      <c r="AI57" s="183"/>
      <c r="AJ57" s="194"/>
      <c r="AK57" s="194">
        <f>40*20</f>
        <v>800</v>
      </c>
      <c r="AL57" s="194">
        <f>+(77.6+30.5)/AK57</f>
        <v>0.135125</v>
      </c>
      <c r="AM57" s="194">
        <f>+(AF57+AH57)/AK57</f>
        <v>0.13418749999999999</v>
      </c>
      <c r="AN57" s="194"/>
      <c r="AO57" s="263">
        <f>+AH57*12923</f>
        <v>282367.54999999993</v>
      </c>
      <c r="AP57" s="263">
        <v>2114.23</v>
      </c>
      <c r="AQ57" s="313" t="s">
        <v>36</v>
      </c>
      <c r="AR57" s="34" t="s">
        <v>360</v>
      </c>
      <c r="AS57" s="337">
        <v>44078</v>
      </c>
      <c r="AT57" s="337"/>
      <c r="AU57" s="317" t="s">
        <v>361</v>
      </c>
      <c r="AV57" s="29"/>
      <c r="AW57" s="29"/>
      <c r="AX57" s="29"/>
      <c r="AY57" s="29"/>
      <c r="AZ57" s="29"/>
      <c r="BA57" s="29"/>
      <c r="BB57" s="29"/>
      <c r="BC57" s="29"/>
      <c r="BD57" s="29"/>
      <c r="BE57" s="29"/>
      <c r="BF57" s="29"/>
      <c r="BG57" s="30"/>
      <c r="BH57" s="30"/>
      <c r="BI57" s="30"/>
      <c r="BJ57" s="30"/>
      <c r="BK57" s="30"/>
      <c r="BL57" s="30"/>
      <c r="BM57" s="30"/>
      <c r="BN57" s="30"/>
      <c r="BO57" s="30"/>
      <c r="BP57" s="30"/>
      <c r="BQ57" s="30"/>
      <c r="BR57" s="30"/>
      <c r="BS57" s="30"/>
      <c r="BT57" s="30"/>
      <c r="BU57" s="30"/>
      <c r="BV57" s="30"/>
      <c r="IP57" s="30"/>
      <c r="IQ57" s="30"/>
      <c r="IR57" s="30"/>
      <c r="IS57" s="30"/>
      <c r="IT57" s="30"/>
      <c r="IU57" s="30"/>
      <c r="IV57" s="30"/>
    </row>
    <row r="58" spans="1:256" s="31" customFormat="1" ht="63.75">
      <c r="A58" s="370"/>
      <c r="B58" s="105">
        <v>56</v>
      </c>
      <c r="C58" s="389" t="s">
        <v>362</v>
      </c>
      <c r="D58" s="40">
        <v>44055</v>
      </c>
      <c r="E58" s="25">
        <v>43485</v>
      </c>
      <c r="F58" s="25">
        <v>1555</v>
      </c>
      <c r="G58" s="25">
        <v>1398</v>
      </c>
      <c r="H58" s="25"/>
      <c r="I58" s="25"/>
      <c r="J58" s="25">
        <v>183</v>
      </c>
      <c r="K58" s="25">
        <v>6</v>
      </c>
      <c r="L58" s="148" t="s">
        <v>86</v>
      </c>
      <c r="M58" s="148" t="s">
        <v>363</v>
      </c>
      <c r="N58" s="148" t="s">
        <v>364</v>
      </c>
      <c r="O58" s="148"/>
      <c r="P58" s="148" t="s">
        <v>365</v>
      </c>
      <c r="Q58" s="148"/>
      <c r="R58" s="148"/>
      <c r="S58" s="148"/>
      <c r="T58" s="25">
        <v>1</v>
      </c>
      <c r="U58" s="25"/>
      <c r="V58" s="25"/>
      <c r="W58" s="25"/>
      <c r="X58" s="148" t="s">
        <v>366</v>
      </c>
      <c r="Y58" s="25"/>
      <c r="Z58" s="25"/>
      <c r="AA58" s="25"/>
      <c r="AB58" s="25"/>
      <c r="AC58" s="25"/>
      <c r="AD58" s="25"/>
      <c r="AE58" s="183"/>
      <c r="AF58" s="183"/>
      <c r="AG58" s="183"/>
      <c r="AH58" s="183">
        <f>166.03+12.82/2</f>
        <v>172.44</v>
      </c>
      <c r="AI58" s="183"/>
      <c r="AJ58" s="194"/>
      <c r="AK58" s="194">
        <v>302.87</v>
      </c>
      <c r="AL58" s="194">
        <f>+(166.03+12.82)/AK58</f>
        <v>0.59051738369597517</v>
      </c>
      <c r="AM58" s="194">
        <f>+AH58/AK58</f>
        <v>0.56935318783636546</v>
      </c>
      <c r="AN58" s="194"/>
      <c r="AO58" s="263">
        <f>+AH58*12923</f>
        <v>2228442.12</v>
      </c>
      <c r="AP58" s="263">
        <v>33317.82</v>
      </c>
      <c r="AQ58" s="313" t="s">
        <v>36</v>
      </c>
      <c r="AR58" s="34" t="s">
        <v>367</v>
      </c>
      <c r="AS58" s="337">
        <v>44078</v>
      </c>
      <c r="AT58" s="337"/>
      <c r="AU58" s="317"/>
      <c r="AV58" s="29"/>
      <c r="AW58" s="29"/>
      <c r="AX58" s="29"/>
      <c r="AY58" s="29"/>
      <c r="AZ58" s="29"/>
      <c r="BA58" s="29"/>
      <c r="BB58" s="29"/>
      <c r="BC58" s="29"/>
      <c r="BD58" s="29"/>
      <c r="BE58" s="29"/>
      <c r="BF58" s="29"/>
      <c r="BG58" s="30"/>
      <c r="BH58" s="30"/>
      <c r="BI58" s="30"/>
      <c r="BJ58" s="30"/>
      <c r="BK58" s="30"/>
      <c r="BL58" s="30"/>
      <c r="BM58" s="30"/>
      <c r="BN58" s="30"/>
      <c r="BO58" s="30"/>
      <c r="BP58" s="30"/>
      <c r="BQ58" s="30"/>
      <c r="BR58" s="30"/>
      <c r="BS58" s="30"/>
      <c r="BT58" s="30"/>
      <c r="BU58" s="30"/>
      <c r="BV58" s="30"/>
      <c r="IP58" s="30"/>
      <c r="IQ58" s="30"/>
      <c r="IR58" s="30"/>
      <c r="IS58" s="30"/>
      <c r="IT58" s="30"/>
      <c r="IU58" s="30"/>
      <c r="IV58" s="30"/>
    </row>
    <row r="59" spans="1:256" s="31" customFormat="1" ht="51">
      <c r="A59" s="370"/>
      <c r="B59" s="105">
        <v>57</v>
      </c>
      <c r="C59" s="389">
        <v>521751</v>
      </c>
      <c r="D59" s="40">
        <v>44011</v>
      </c>
      <c r="E59" s="25"/>
      <c r="F59" s="25">
        <v>166199</v>
      </c>
      <c r="G59" s="25">
        <v>10339</v>
      </c>
      <c r="H59" s="25"/>
      <c r="I59" s="25"/>
      <c r="J59" s="25">
        <v>129</v>
      </c>
      <c r="K59" s="25">
        <v>22</v>
      </c>
      <c r="L59" s="148" t="s">
        <v>86</v>
      </c>
      <c r="M59" s="148" t="s">
        <v>368</v>
      </c>
      <c r="N59" s="148" t="s">
        <v>369</v>
      </c>
      <c r="O59" s="148"/>
      <c r="P59" s="148" t="s">
        <v>370</v>
      </c>
      <c r="Q59" s="148" t="s">
        <v>370</v>
      </c>
      <c r="R59" s="148" t="s">
        <v>370</v>
      </c>
      <c r="S59" s="148" t="s">
        <v>371</v>
      </c>
      <c r="T59" s="25"/>
      <c r="U59" s="25">
        <v>1</v>
      </c>
      <c r="V59" s="25"/>
      <c r="W59" s="25"/>
      <c r="X59" s="148" t="s">
        <v>366</v>
      </c>
      <c r="Y59" s="25"/>
      <c r="Z59" s="25"/>
      <c r="AA59" s="25"/>
      <c r="AB59" s="25"/>
      <c r="AC59" s="25"/>
      <c r="AD59" s="25"/>
      <c r="AE59" s="183"/>
      <c r="AF59" s="183"/>
      <c r="AG59" s="183"/>
      <c r="AH59" s="183"/>
      <c r="AI59" s="183"/>
      <c r="AJ59" s="194">
        <f>182.47+139.31+52.53</f>
        <v>374.30999999999995</v>
      </c>
      <c r="AK59" s="194">
        <v>182.47</v>
      </c>
      <c r="AL59" s="194">
        <f>182.47/AK59</f>
        <v>1</v>
      </c>
      <c r="AM59" s="194">
        <f>+(182.47+139.31+52.53-4.73-3.05-2.29)/AK59</f>
        <v>1.996163752945689</v>
      </c>
      <c r="AN59" s="194"/>
      <c r="AO59" s="263">
        <f>+AJ59*12923</f>
        <v>4837208.129999999</v>
      </c>
      <c r="AP59" s="271">
        <v>18712.79</v>
      </c>
      <c r="AQ59" s="313" t="s">
        <v>36</v>
      </c>
      <c r="AR59" s="34" t="s">
        <v>372</v>
      </c>
      <c r="AS59" s="337">
        <v>44089</v>
      </c>
      <c r="AT59" s="337"/>
      <c r="AU59" s="317" t="s">
        <v>373</v>
      </c>
      <c r="AV59" s="29"/>
      <c r="AW59" s="29"/>
      <c r="AX59" s="29"/>
      <c r="AY59" s="29"/>
      <c r="AZ59" s="29"/>
      <c r="BA59" s="29"/>
      <c r="BB59" s="29"/>
      <c r="BC59" s="29"/>
      <c r="BD59" s="29"/>
      <c r="BE59" s="29"/>
      <c r="BF59" s="29"/>
      <c r="BG59" s="30"/>
      <c r="BH59" s="30"/>
      <c r="BI59" s="30"/>
      <c r="BJ59" s="30"/>
      <c r="BK59" s="30"/>
      <c r="BL59" s="30"/>
      <c r="BM59" s="30"/>
      <c r="BN59" s="30"/>
      <c r="BO59" s="30"/>
      <c r="BP59" s="30"/>
      <c r="BQ59" s="30"/>
      <c r="BR59" s="30"/>
      <c r="BS59" s="30"/>
      <c r="BT59" s="30"/>
      <c r="BU59" s="30"/>
      <c r="BV59" s="30"/>
      <c r="IP59" s="30"/>
      <c r="IQ59" s="30"/>
      <c r="IR59" s="30"/>
      <c r="IS59" s="30"/>
      <c r="IT59" s="30"/>
      <c r="IU59" s="30"/>
      <c r="IV59" s="30"/>
    </row>
    <row r="60" spans="1:256" s="64" customFormat="1" ht="76.5">
      <c r="A60" s="372"/>
      <c r="B60" s="131">
        <v>58</v>
      </c>
      <c r="C60" s="390">
        <v>523459</v>
      </c>
      <c r="D60" s="59">
        <v>44075</v>
      </c>
      <c r="E60" s="65">
        <v>56543</v>
      </c>
      <c r="F60" s="65">
        <v>512</v>
      </c>
      <c r="G60" s="65">
        <v>4180</v>
      </c>
      <c r="H60" s="65"/>
      <c r="I60" s="65"/>
      <c r="J60" s="65">
        <v>19</v>
      </c>
      <c r="K60" s="65">
        <v>15</v>
      </c>
      <c r="L60" s="157" t="s">
        <v>31</v>
      </c>
      <c r="M60" s="157" t="s">
        <v>157</v>
      </c>
      <c r="N60" s="157" t="s">
        <v>158</v>
      </c>
      <c r="O60" s="157"/>
      <c r="P60" s="157" t="s">
        <v>159</v>
      </c>
      <c r="Q60" s="157" t="s">
        <v>159</v>
      </c>
      <c r="R60" s="157" t="s">
        <v>159</v>
      </c>
      <c r="S60" s="157" t="s">
        <v>160</v>
      </c>
      <c r="T60" s="65">
        <f>2+1</f>
        <v>3</v>
      </c>
      <c r="U60" s="65">
        <v>1</v>
      </c>
      <c r="V60" s="65"/>
      <c r="W60" s="65"/>
      <c r="X60" s="157" t="s">
        <v>161</v>
      </c>
      <c r="Y60" s="65">
        <f>1+1</f>
        <v>2</v>
      </c>
      <c r="Z60" s="65"/>
      <c r="AA60" s="65">
        <f>+Y60+1+2</f>
        <v>5</v>
      </c>
      <c r="AB60" s="65"/>
      <c r="AC60" s="65">
        <f>+Y60*2</f>
        <v>4</v>
      </c>
      <c r="AD60" s="65"/>
      <c r="AE60" s="211">
        <f>33.2+78.8+7/2+1/2</f>
        <v>116</v>
      </c>
      <c r="AF60" s="211">
        <v>52</v>
      </c>
      <c r="AG60" s="211"/>
      <c r="AH60" s="212"/>
      <c r="AI60" s="212">
        <v>72.150000000000006</v>
      </c>
      <c r="AJ60" s="212"/>
      <c r="AK60" s="212">
        <v>292.48</v>
      </c>
      <c r="AL60" s="212">
        <f>+(32.2+52+78.8+1+7)/AK60</f>
        <v>0.58465536105032823</v>
      </c>
      <c r="AM60" s="212">
        <f>+(AE60+AF60+AI60)/AK60</f>
        <v>0.82108178336980309</v>
      </c>
      <c r="AN60" s="212"/>
      <c r="AO60" s="290">
        <f>+(9*16137+4*12923+6*9693+3*6482)/22*(72.15)</f>
        <v>900330.33409090922</v>
      </c>
      <c r="AP60" s="291">
        <v>3569.39</v>
      </c>
      <c r="AQ60" s="324" t="s">
        <v>36</v>
      </c>
      <c r="AR60" s="61" t="s">
        <v>374</v>
      </c>
      <c r="AS60" s="347">
        <v>44089</v>
      </c>
      <c r="AT60" s="360"/>
      <c r="AU60" s="326" t="s">
        <v>375</v>
      </c>
      <c r="AV60" s="62"/>
      <c r="AW60" s="62"/>
      <c r="AX60" s="62"/>
      <c r="AY60" s="62"/>
      <c r="AZ60" s="62"/>
      <c r="BA60" s="62"/>
      <c r="BB60" s="62"/>
      <c r="BC60" s="62"/>
      <c r="BD60" s="62"/>
      <c r="BE60" s="63"/>
      <c r="BF60" s="63"/>
      <c r="BG60" s="63"/>
      <c r="BH60" s="63"/>
      <c r="BI60" s="63"/>
      <c r="BJ60" s="63"/>
      <c r="BK60" s="63"/>
      <c r="BL60" s="63"/>
      <c r="BM60" s="63"/>
      <c r="BN60" s="63"/>
      <c r="BO60" s="63"/>
      <c r="BP60" s="63"/>
      <c r="BQ60" s="63"/>
      <c r="BR60" s="63"/>
      <c r="BS60" s="63"/>
      <c r="BT60" s="63"/>
      <c r="IN60" s="63"/>
      <c r="IO60" s="63"/>
      <c r="IP60" s="63"/>
      <c r="IQ60" s="63"/>
      <c r="IR60" s="63"/>
      <c r="IS60" s="63"/>
      <c r="IT60" s="63"/>
      <c r="IU60" s="63"/>
      <c r="IV60" s="63"/>
    </row>
    <row r="61" spans="1:256" s="31" customFormat="1" ht="89.25">
      <c r="A61" s="370"/>
      <c r="B61" s="105">
        <v>59</v>
      </c>
      <c r="C61" s="108">
        <v>523561</v>
      </c>
      <c r="D61" s="13">
        <v>44078</v>
      </c>
      <c r="E61" s="25">
        <v>19548</v>
      </c>
      <c r="F61" s="25">
        <v>109275</v>
      </c>
      <c r="G61" s="25">
        <v>1162</v>
      </c>
      <c r="H61" s="25"/>
      <c r="I61" s="25"/>
      <c r="J61" s="25">
        <v>6</v>
      </c>
      <c r="K61" s="25">
        <v>3</v>
      </c>
      <c r="L61" s="148" t="s">
        <v>31</v>
      </c>
      <c r="M61" s="148" t="s">
        <v>376</v>
      </c>
      <c r="N61" s="148" t="s">
        <v>377</v>
      </c>
      <c r="O61" s="148"/>
      <c r="P61" s="148" t="s">
        <v>350</v>
      </c>
      <c r="Q61" s="148"/>
      <c r="R61" s="148"/>
      <c r="S61" s="148"/>
      <c r="T61" s="25">
        <f>1+1</f>
        <v>2</v>
      </c>
      <c r="U61" s="25"/>
      <c r="V61" s="25"/>
      <c r="W61" s="25"/>
      <c r="X61" s="148" t="s">
        <v>161</v>
      </c>
      <c r="Y61" s="25">
        <v>2</v>
      </c>
      <c r="Z61" s="25"/>
      <c r="AA61" s="25">
        <f>+Y61+1</f>
        <v>3</v>
      </c>
      <c r="AB61" s="25"/>
      <c r="AC61" s="25">
        <f>+Y61*2</f>
        <v>4</v>
      </c>
      <c r="AD61" s="25"/>
      <c r="AE61" s="183"/>
      <c r="AF61" s="183"/>
      <c r="AG61" s="183">
        <f>21.76+10.95+19.6+23.31+15.83/2+10.33/2</f>
        <v>88.700000000000017</v>
      </c>
      <c r="AH61" s="183">
        <f>9.57+57.96</f>
        <v>67.53</v>
      </c>
      <c r="AI61" s="183"/>
      <c r="AJ61" s="194"/>
      <c r="AK61" s="194">
        <v>194.95</v>
      </c>
      <c r="AL61" s="194">
        <f>+(21.76+10.95+19.6+23.31+15.83+10.33+AH61)/AK61</f>
        <v>0.86847909720441141</v>
      </c>
      <c r="AM61" s="194">
        <f>+(AG61+AH61)/AK61</f>
        <v>0.80138497050525792</v>
      </c>
      <c r="AN61" s="194"/>
      <c r="AO61" s="263">
        <f>+(10*12923+5*9693+5*6462)/20*AG61+AH61*12923</f>
        <v>1804062.3650000002</v>
      </c>
      <c r="AP61" s="292">
        <v>26803.29</v>
      </c>
      <c r="AQ61" s="313" t="s">
        <v>65</v>
      </c>
      <c r="AR61" s="34" t="s">
        <v>378</v>
      </c>
      <c r="AS61" s="337">
        <v>44090</v>
      </c>
      <c r="AT61" s="337"/>
      <c r="AU61" s="317" t="s">
        <v>379</v>
      </c>
      <c r="AV61" s="29"/>
      <c r="AW61" s="29"/>
      <c r="AX61" s="29"/>
      <c r="AY61" s="29"/>
      <c r="AZ61" s="29"/>
      <c r="BA61" s="29"/>
      <c r="BB61" s="29"/>
      <c r="BC61" s="29"/>
      <c r="BD61" s="29"/>
      <c r="BE61" s="29"/>
      <c r="BF61" s="29"/>
      <c r="BG61" s="30"/>
      <c r="BH61" s="30"/>
      <c r="BI61" s="30"/>
      <c r="BJ61" s="30"/>
      <c r="BK61" s="30"/>
      <c r="BL61" s="30"/>
      <c r="BM61" s="30"/>
      <c r="BN61" s="30"/>
      <c r="BO61" s="30"/>
      <c r="BP61" s="30"/>
      <c r="BQ61" s="30"/>
      <c r="BR61" s="30"/>
      <c r="BS61" s="30"/>
      <c r="BT61" s="30"/>
      <c r="BU61" s="30"/>
      <c r="BV61" s="30"/>
      <c r="IP61" s="30"/>
      <c r="IQ61" s="30"/>
      <c r="IR61" s="30"/>
      <c r="IS61" s="30"/>
      <c r="IT61" s="30"/>
      <c r="IU61" s="30"/>
      <c r="IV61" s="30"/>
    </row>
    <row r="62" spans="1:256" s="31" customFormat="1" ht="38.25">
      <c r="A62" s="370"/>
      <c r="B62" s="105">
        <v>60</v>
      </c>
      <c r="C62" s="113" t="s">
        <v>380</v>
      </c>
      <c r="D62" s="40">
        <v>44046</v>
      </c>
      <c r="E62" s="25">
        <v>53395</v>
      </c>
      <c r="F62" s="25">
        <v>162744</v>
      </c>
      <c r="G62" s="25">
        <v>33228</v>
      </c>
      <c r="H62" s="25">
        <v>3</v>
      </c>
      <c r="I62" s="25"/>
      <c r="J62" s="25">
        <v>2</v>
      </c>
      <c r="K62" s="25">
        <v>18</v>
      </c>
      <c r="L62" s="148" t="s">
        <v>381</v>
      </c>
      <c r="M62" s="148" t="s">
        <v>382</v>
      </c>
      <c r="N62" s="148" t="s">
        <v>383</v>
      </c>
      <c r="O62" s="148"/>
      <c r="P62" s="148" t="s">
        <v>384</v>
      </c>
      <c r="Q62" s="148" t="s">
        <v>384</v>
      </c>
      <c r="R62" s="148" t="s">
        <v>384</v>
      </c>
      <c r="S62" s="148" t="s">
        <v>385</v>
      </c>
      <c r="T62" s="25"/>
      <c r="U62" s="25">
        <v>1</v>
      </c>
      <c r="V62" s="25"/>
      <c r="W62" s="25"/>
      <c r="X62" s="148" t="s">
        <v>44</v>
      </c>
      <c r="Y62" s="25"/>
      <c r="Z62" s="25">
        <v>3</v>
      </c>
      <c r="AA62" s="25"/>
      <c r="AB62" s="25">
        <f>+Z62*2</f>
        <v>6</v>
      </c>
      <c r="AC62" s="25"/>
      <c r="AD62" s="25">
        <f>+Z62+1</f>
        <v>4</v>
      </c>
      <c r="AE62" s="183"/>
      <c r="AF62" s="183"/>
      <c r="AG62" s="183"/>
      <c r="AH62" s="183"/>
      <c r="AI62" s="183">
        <f>83.9+57.17/2+50.92+10.32/2</f>
        <v>168.56500000000003</v>
      </c>
      <c r="AJ62" s="194"/>
      <c r="AK62" s="194">
        <v>801.38</v>
      </c>
      <c r="AL62" s="194">
        <f>+(83.6+57.17)/AK62</f>
        <v>0.17565948738426213</v>
      </c>
      <c r="AM62" s="194">
        <f>+AI62/AK62</f>
        <v>0.21034340762185233</v>
      </c>
      <c r="AN62" s="194"/>
      <c r="AO62" s="263">
        <f>+(6*16157+11*12923+3*9693+2*6462)/22*AI62</f>
        <v>2153785.6531818183</v>
      </c>
      <c r="AP62" s="292">
        <v>9281.7000000000007</v>
      </c>
      <c r="AQ62" s="313" t="s">
        <v>386</v>
      </c>
      <c r="AR62" s="34" t="s">
        <v>387</v>
      </c>
      <c r="AS62" s="337">
        <v>44099</v>
      </c>
      <c r="AT62" s="337"/>
      <c r="AU62" s="317" t="s">
        <v>388</v>
      </c>
      <c r="AV62" s="29"/>
      <c r="AW62" s="29"/>
      <c r="AX62" s="29"/>
      <c r="AY62" s="29"/>
      <c r="AZ62" s="29"/>
      <c r="BA62" s="29"/>
      <c r="BB62" s="29"/>
      <c r="BC62" s="29"/>
      <c r="BD62" s="29"/>
      <c r="BE62" s="29"/>
      <c r="BF62" s="29"/>
      <c r="BG62" s="30"/>
      <c r="BH62" s="30"/>
      <c r="BI62" s="30"/>
      <c r="BJ62" s="30"/>
      <c r="BK62" s="30"/>
      <c r="BL62" s="30"/>
      <c r="BM62" s="30"/>
      <c r="BN62" s="30"/>
      <c r="BO62" s="30"/>
      <c r="BP62" s="30"/>
      <c r="BQ62" s="30"/>
      <c r="BR62" s="30"/>
      <c r="BS62" s="30"/>
      <c r="BT62" s="30"/>
      <c r="BU62" s="30"/>
      <c r="BV62" s="30"/>
      <c r="IP62" s="30"/>
      <c r="IQ62" s="30"/>
      <c r="IR62" s="30"/>
      <c r="IS62" s="30"/>
      <c r="IT62" s="30"/>
      <c r="IU62" s="30"/>
      <c r="IV62" s="30"/>
    </row>
    <row r="63" spans="1:256" s="64" customFormat="1" ht="63.75">
      <c r="A63" s="372"/>
      <c r="B63" s="131">
        <v>61</v>
      </c>
      <c r="C63" s="390">
        <v>523085</v>
      </c>
      <c r="D63" s="59">
        <v>44061</v>
      </c>
      <c r="E63" s="65">
        <v>24505</v>
      </c>
      <c r="F63" s="65">
        <v>118216</v>
      </c>
      <c r="G63" s="65">
        <v>5648</v>
      </c>
      <c r="H63" s="65"/>
      <c r="I63" s="65"/>
      <c r="J63" s="65">
        <v>23</v>
      </c>
      <c r="K63" s="65">
        <v>10</v>
      </c>
      <c r="L63" s="157" t="s">
        <v>31</v>
      </c>
      <c r="M63" s="157" t="s">
        <v>389</v>
      </c>
      <c r="N63" s="157" t="s">
        <v>390</v>
      </c>
      <c r="O63" s="157"/>
      <c r="P63" s="157" t="s">
        <v>391</v>
      </c>
      <c r="Q63" s="157" t="s">
        <v>391</v>
      </c>
      <c r="R63" s="157" t="s">
        <v>391</v>
      </c>
      <c r="S63" s="157" t="s">
        <v>392</v>
      </c>
      <c r="T63" s="65"/>
      <c r="U63" s="65">
        <v>1</v>
      </c>
      <c r="V63" s="65"/>
      <c r="W63" s="65"/>
      <c r="X63" s="157" t="s">
        <v>44</v>
      </c>
      <c r="Y63" s="65"/>
      <c r="Z63" s="65">
        <v>3</v>
      </c>
      <c r="AA63" s="65"/>
      <c r="AB63" s="65">
        <f>+Z63+1</f>
        <v>4</v>
      </c>
      <c r="AC63" s="65"/>
      <c r="AD63" s="65">
        <f>+Z63*2</f>
        <v>6</v>
      </c>
      <c r="AE63" s="211"/>
      <c r="AF63" s="211"/>
      <c r="AG63" s="211"/>
      <c r="AH63" s="211"/>
      <c r="AI63" s="211">
        <f>79.22+17.73/2</f>
        <v>88.084999999999994</v>
      </c>
      <c r="AJ63" s="213"/>
      <c r="AK63" s="213">
        <v>179.38</v>
      </c>
      <c r="AL63" s="213">
        <f>+(79.22+17.73)/AK63</f>
        <v>0.54047273943583463</v>
      </c>
      <c r="AM63" s="213">
        <f>+AI63/AK63</f>
        <v>0.49105251421563162</v>
      </c>
      <c r="AN63" s="213"/>
      <c r="AO63" s="293">
        <f>+(3*16157+12923*12+5*9693)/20*AI63</f>
        <v>1109923.851</v>
      </c>
      <c r="AP63" s="294">
        <v>5426.81</v>
      </c>
      <c r="AQ63" s="325" t="s">
        <v>36</v>
      </c>
      <c r="AR63" s="66" t="s">
        <v>393</v>
      </c>
      <c r="AS63" s="348">
        <v>44099</v>
      </c>
      <c r="AT63" s="348"/>
      <c r="AU63" s="326" t="s">
        <v>394</v>
      </c>
      <c r="AV63" s="67"/>
      <c r="AW63" s="67"/>
      <c r="AX63" s="67"/>
      <c r="AY63" s="67"/>
      <c r="AZ63" s="67"/>
      <c r="BA63" s="67"/>
      <c r="BB63" s="67"/>
      <c r="BC63" s="67"/>
      <c r="BD63" s="67"/>
      <c r="BE63" s="67"/>
      <c r="BF63" s="67"/>
      <c r="BG63" s="63"/>
      <c r="BH63" s="63"/>
      <c r="BI63" s="63"/>
      <c r="BJ63" s="63"/>
      <c r="BK63" s="63"/>
      <c r="BL63" s="63"/>
      <c r="BM63" s="63"/>
      <c r="BN63" s="63"/>
      <c r="BO63" s="63"/>
      <c r="BP63" s="63"/>
      <c r="BQ63" s="63"/>
      <c r="BR63" s="63"/>
      <c r="BS63" s="63"/>
      <c r="BT63" s="63"/>
      <c r="BU63" s="63"/>
      <c r="BV63" s="63"/>
      <c r="IP63" s="63"/>
      <c r="IQ63" s="63"/>
      <c r="IR63" s="63"/>
      <c r="IS63" s="63"/>
      <c r="IT63" s="63"/>
      <c r="IU63" s="63"/>
      <c r="IV63" s="63"/>
    </row>
    <row r="64" spans="1:256" s="31" customFormat="1" ht="51">
      <c r="A64" s="370"/>
      <c r="B64" s="105">
        <v>62</v>
      </c>
      <c r="C64" s="389">
        <v>521752</v>
      </c>
      <c r="D64" s="40">
        <v>44100</v>
      </c>
      <c r="E64" s="25">
        <v>57705</v>
      </c>
      <c r="F64" s="25"/>
      <c r="G64" s="25">
        <v>111</v>
      </c>
      <c r="H64" s="25"/>
      <c r="I64" s="25"/>
      <c r="J64" s="25">
        <v>129</v>
      </c>
      <c r="K64" s="25">
        <v>7</v>
      </c>
      <c r="L64" s="148" t="s">
        <v>86</v>
      </c>
      <c r="M64" s="148" t="s">
        <v>395</v>
      </c>
      <c r="N64" s="148" t="s">
        <v>396</v>
      </c>
      <c r="O64" s="148"/>
      <c r="P64" s="148" t="s">
        <v>370</v>
      </c>
      <c r="Q64" s="148" t="s">
        <v>370</v>
      </c>
      <c r="R64" s="148" t="s">
        <v>370</v>
      </c>
      <c r="S64" s="148" t="s">
        <v>371</v>
      </c>
      <c r="T64" s="25"/>
      <c r="U64" s="25">
        <v>1</v>
      </c>
      <c r="V64" s="25"/>
      <c r="W64" s="25"/>
      <c r="X64" s="148" t="s">
        <v>366</v>
      </c>
      <c r="Y64" s="25"/>
      <c r="Z64" s="25"/>
      <c r="AA64" s="25"/>
      <c r="AB64" s="25"/>
      <c r="AC64" s="25"/>
      <c r="AD64" s="25"/>
      <c r="AE64" s="183"/>
      <c r="AF64" s="183"/>
      <c r="AG64" s="183"/>
      <c r="AH64" s="183"/>
      <c r="AI64" s="183"/>
      <c r="AJ64" s="194">
        <f>182.53+139.33+51.68</f>
        <v>373.54</v>
      </c>
      <c r="AK64" s="194">
        <v>182.53</v>
      </c>
      <c r="AL64" s="194">
        <f>182.53/AK64</f>
        <v>1</v>
      </c>
      <c r="AM64" s="194">
        <f>+(182.53+139.33+51.68-6.07-2.93-3.89)/AK64</f>
        <v>1.9758395880129296</v>
      </c>
      <c r="AN64" s="194"/>
      <c r="AO64" s="263">
        <f>+AJ64*12923</f>
        <v>4827257.42</v>
      </c>
      <c r="AP64" s="271">
        <v>19955.05</v>
      </c>
      <c r="AQ64" s="313" t="s">
        <v>36</v>
      </c>
      <c r="AR64" s="34" t="s">
        <v>397</v>
      </c>
      <c r="AS64" s="337">
        <v>44102</v>
      </c>
      <c r="AT64" s="337"/>
      <c r="AU64" s="317"/>
      <c r="AV64" s="29"/>
      <c r="AW64" s="29"/>
      <c r="AX64" s="29"/>
      <c r="AY64" s="29"/>
      <c r="AZ64" s="29"/>
      <c r="BA64" s="29"/>
      <c r="BB64" s="29"/>
      <c r="BC64" s="29"/>
      <c r="BD64" s="29"/>
      <c r="BE64" s="29"/>
      <c r="BF64" s="29"/>
      <c r="BG64" s="30"/>
      <c r="BH64" s="30"/>
      <c r="BI64" s="30"/>
      <c r="BJ64" s="30"/>
      <c r="BK64" s="30"/>
      <c r="BL64" s="30"/>
      <c r="BM64" s="30"/>
      <c r="BN64" s="30"/>
      <c r="BO64" s="30"/>
      <c r="BP64" s="30"/>
      <c r="BQ64" s="30"/>
      <c r="BR64" s="30"/>
      <c r="BS64" s="30"/>
      <c r="BT64" s="30"/>
      <c r="BU64" s="30"/>
      <c r="BV64" s="30"/>
      <c r="IP64" s="30"/>
      <c r="IQ64" s="30"/>
      <c r="IR64" s="30"/>
      <c r="IS64" s="30"/>
      <c r="IT64" s="30"/>
      <c r="IU64" s="30"/>
      <c r="IV64" s="30"/>
    </row>
    <row r="65" spans="1:256" s="31" customFormat="1" ht="63.75">
      <c r="A65" s="370"/>
      <c r="B65" s="105">
        <v>63</v>
      </c>
      <c r="C65" s="108" t="s">
        <v>398</v>
      </c>
      <c r="D65" s="13">
        <v>44047</v>
      </c>
      <c r="E65" s="25">
        <v>57149</v>
      </c>
      <c r="F65" s="25">
        <v>165713</v>
      </c>
      <c r="G65" s="25">
        <v>33696</v>
      </c>
      <c r="H65" s="25">
        <v>341</v>
      </c>
      <c r="I65" s="25"/>
      <c r="J65" s="25">
        <v>2</v>
      </c>
      <c r="K65" s="25">
        <v>8</v>
      </c>
      <c r="L65" s="148" t="s">
        <v>399</v>
      </c>
      <c r="M65" s="148" t="s">
        <v>400</v>
      </c>
      <c r="N65" s="148" t="s">
        <v>401</v>
      </c>
      <c r="O65" s="148"/>
      <c r="P65" s="148" t="s">
        <v>402</v>
      </c>
      <c r="Q65" s="148" t="s">
        <v>402</v>
      </c>
      <c r="R65" s="148" t="s">
        <v>402</v>
      </c>
      <c r="S65" s="148" t="s">
        <v>197</v>
      </c>
      <c r="T65" s="25"/>
      <c r="U65" s="25">
        <v>1</v>
      </c>
      <c r="V65" s="25"/>
      <c r="W65" s="25"/>
      <c r="X65" s="148" t="s">
        <v>44</v>
      </c>
      <c r="Y65" s="25"/>
      <c r="Z65" s="25">
        <v>2</v>
      </c>
      <c r="AA65" s="25"/>
      <c r="AB65" s="25">
        <f>+Z65+1</f>
        <v>3</v>
      </c>
      <c r="AC65" s="25"/>
      <c r="AD65" s="25">
        <f>+Z65*2</f>
        <v>4</v>
      </c>
      <c r="AE65" s="183"/>
      <c r="AF65" s="183"/>
      <c r="AG65" s="183"/>
      <c r="AH65" s="183"/>
      <c r="AI65" s="183">
        <f>65.76+2/2</f>
        <v>66.760000000000005</v>
      </c>
      <c r="AJ65" s="194"/>
      <c r="AK65" s="194">
        <v>993.35</v>
      </c>
      <c r="AL65" s="194">
        <f>+(65.76+2)/AK65</f>
        <v>6.8213620576835957E-2</v>
      </c>
      <c r="AM65" s="194">
        <f>+AI65/AK65</f>
        <v>6.7206926058287611E-2</v>
      </c>
      <c r="AN65" s="194"/>
      <c r="AO65" s="263"/>
      <c r="AP65" s="292"/>
      <c r="AQ65" s="313" t="s">
        <v>36</v>
      </c>
      <c r="AR65" s="34" t="s">
        <v>387</v>
      </c>
      <c r="AS65" s="337"/>
      <c r="AT65" s="337"/>
      <c r="AU65" s="317"/>
      <c r="AV65" s="29"/>
      <c r="AW65" s="29"/>
      <c r="AX65" s="29"/>
      <c r="AY65" s="29"/>
      <c r="AZ65" s="29"/>
      <c r="BA65" s="29"/>
      <c r="BB65" s="29"/>
      <c r="BC65" s="29"/>
      <c r="BD65" s="29"/>
      <c r="BE65" s="29"/>
      <c r="BF65" s="29"/>
      <c r="BG65" s="30"/>
      <c r="BH65" s="30"/>
      <c r="BI65" s="30"/>
      <c r="BJ65" s="30"/>
      <c r="BK65" s="30"/>
      <c r="BL65" s="30"/>
      <c r="BM65" s="30"/>
      <c r="BN65" s="30"/>
      <c r="BO65" s="30"/>
      <c r="BP65" s="30"/>
      <c r="BQ65" s="30"/>
      <c r="BR65" s="30"/>
      <c r="BS65" s="30"/>
      <c r="BT65" s="30"/>
      <c r="BU65" s="30"/>
      <c r="BV65" s="30"/>
      <c r="IP65" s="30"/>
      <c r="IQ65" s="30"/>
      <c r="IR65" s="30"/>
      <c r="IS65" s="30"/>
      <c r="IT65" s="30"/>
      <c r="IU65" s="30"/>
      <c r="IV65" s="30"/>
    </row>
    <row r="66" spans="1:256" s="31" customFormat="1" ht="38.25">
      <c r="A66" s="370"/>
      <c r="B66" s="105">
        <v>64</v>
      </c>
      <c r="C66" s="391">
        <v>516467</v>
      </c>
      <c r="D66" s="40">
        <v>43796</v>
      </c>
      <c r="E66" s="25">
        <v>48203</v>
      </c>
      <c r="F66" s="25">
        <v>158756</v>
      </c>
      <c r="G66" s="25">
        <v>9503</v>
      </c>
      <c r="H66" s="25"/>
      <c r="I66" s="25"/>
      <c r="J66" s="25">
        <v>42</v>
      </c>
      <c r="K66" s="25">
        <v>17</v>
      </c>
      <c r="L66" s="148" t="s">
        <v>31</v>
      </c>
      <c r="M66" s="148" t="s">
        <v>403</v>
      </c>
      <c r="N66" s="148" t="s">
        <v>404</v>
      </c>
      <c r="O66" s="148"/>
      <c r="P66" s="148" t="s">
        <v>405</v>
      </c>
      <c r="Q66" s="148" t="s">
        <v>405</v>
      </c>
      <c r="R66" s="148" t="s">
        <v>405</v>
      </c>
      <c r="S66" s="148" t="s">
        <v>345</v>
      </c>
      <c r="T66" s="25"/>
      <c r="U66" s="25"/>
      <c r="V66" s="25">
        <v>1</v>
      </c>
      <c r="W66" s="25"/>
      <c r="X66" s="148" t="s">
        <v>44</v>
      </c>
      <c r="Y66" s="25">
        <v>3</v>
      </c>
      <c r="Z66" s="25"/>
      <c r="AA66" s="25">
        <f>+Y66+1</f>
        <v>4</v>
      </c>
      <c r="AB66" s="25"/>
      <c r="AC66" s="25">
        <f>+Y66*2</f>
        <v>6</v>
      </c>
      <c r="AD66" s="25"/>
      <c r="AE66" s="183">
        <v>69.3</v>
      </c>
      <c r="AF66" s="183"/>
      <c r="AG66" s="183">
        <f>10.8+11.1/2</f>
        <v>16.350000000000001</v>
      </c>
      <c r="AH66" s="183"/>
      <c r="AI66" s="183">
        <v>20.3</v>
      </c>
      <c r="AJ66" s="194"/>
      <c r="AK66" s="194">
        <v>231.96</v>
      </c>
      <c r="AL66" s="194">
        <f>+(69.3+10.3+11.1+20.3)/AK66</f>
        <v>0.47853078116916703</v>
      </c>
      <c r="AM66" s="194">
        <f>+(AE66+AG66+AI66)/AK66</f>
        <v>0.45675978617002932</v>
      </c>
      <c r="AN66" s="194">
        <f>+(24+4)/(8+1)</f>
        <v>3.1111111111111112</v>
      </c>
      <c r="AO66" s="263">
        <f>+(12*12923+7*9693+6462)/20*(AG66+AI66)</f>
        <v>420355.34250000009</v>
      </c>
      <c r="AP66" s="271">
        <v>4078.95</v>
      </c>
      <c r="AQ66" s="313" t="s">
        <v>36</v>
      </c>
      <c r="AR66" s="34" t="s">
        <v>406</v>
      </c>
      <c r="AS66" s="337">
        <v>44102</v>
      </c>
      <c r="AT66" s="337"/>
      <c r="AU66" s="317" t="s">
        <v>407</v>
      </c>
      <c r="AV66" s="29"/>
      <c r="AW66" s="29"/>
      <c r="AX66" s="29"/>
      <c r="AY66" s="29"/>
      <c r="AZ66" s="29"/>
      <c r="BA66" s="29"/>
      <c r="BB66" s="29"/>
      <c r="BC66" s="29"/>
      <c r="BD66" s="29"/>
      <c r="BE66" s="29"/>
      <c r="BF66" s="29"/>
      <c r="BG66" s="30"/>
      <c r="BH66" s="30"/>
      <c r="BI66" s="30"/>
      <c r="BJ66" s="30"/>
      <c r="BK66" s="30"/>
      <c r="BL66" s="30"/>
      <c r="BM66" s="30"/>
      <c r="BN66" s="30"/>
      <c r="BO66" s="30"/>
      <c r="BP66" s="30"/>
      <c r="BQ66" s="30"/>
      <c r="BR66" s="30"/>
      <c r="BS66" s="30"/>
      <c r="BT66" s="30"/>
      <c r="BU66" s="30"/>
      <c r="BV66" s="30"/>
      <c r="IP66" s="30"/>
      <c r="IQ66" s="30"/>
      <c r="IR66" s="30"/>
      <c r="IS66" s="30"/>
      <c r="IT66" s="30"/>
      <c r="IU66" s="30"/>
      <c r="IV66" s="30"/>
    </row>
    <row r="67" spans="1:256" s="31" customFormat="1" ht="51">
      <c r="A67" s="370"/>
      <c r="B67" s="105">
        <v>65</v>
      </c>
      <c r="C67" s="108">
        <v>523387</v>
      </c>
      <c r="D67" s="13">
        <v>44071</v>
      </c>
      <c r="E67" s="25">
        <v>35795</v>
      </c>
      <c r="F67" s="25">
        <v>135359</v>
      </c>
      <c r="G67" s="25">
        <v>7504</v>
      </c>
      <c r="H67" s="25"/>
      <c r="I67" s="25"/>
      <c r="J67" s="25">
        <v>429</v>
      </c>
      <c r="K67" s="25">
        <v>10</v>
      </c>
      <c r="L67" s="148" t="s">
        <v>31</v>
      </c>
      <c r="M67" s="148" t="s">
        <v>408</v>
      </c>
      <c r="N67" s="148" t="s">
        <v>409</v>
      </c>
      <c r="O67" s="148"/>
      <c r="P67" s="148" t="s">
        <v>410</v>
      </c>
      <c r="Q67" s="148" t="s">
        <v>410</v>
      </c>
      <c r="R67" s="148" t="s">
        <v>410</v>
      </c>
      <c r="S67" s="148" t="s">
        <v>197</v>
      </c>
      <c r="T67" s="25"/>
      <c r="U67" s="25">
        <v>1</v>
      </c>
      <c r="V67" s="25"/>
      <c r="W67" s="25"/>
      <c r="X67" s="148" t="s">
        <v>44</v>
      </c>
      <c r="Y67" s="25"/>
      <c r="Z67" s="25">
        <v>2</v>
      </c>
      <c r="AA67" s="25"/>
      <c r="AB67" s="25">
        <f>2+1</f>
        <v>3</v>
      </c>
      <c r="AC67" s="25"/>
      <c r="AD67" s="25">
        <f>+Z67*2</f>
        <v>4</v>
      </c>
      <c r="AE67" s="183"/>
      <c r="AF67" s="183"/>
      <c r="AG67" s="183"/>
      <c r="AH67" s="183"/>
      <c r="AI67" s="183">
        <f>58.62+36.72/2+49.74</f>
        <v>126.72</v>
      </c>
      <c r="AJ67" s="194"/>
      <c r="AK67" s="194">
        <v>266.8</v>
      </c>
      <c r="AL67" s="194">
        <f>+(58.62+36.72)/AK67</f>
        <v>0.35734632683658168</v>
      </c>
      <c r="AM67" s="194">
        <f>+AI67/AK67</f>
        <v>0.47496251874062967</v>
      </c>
      <c r="AN67" s="194">
        <f>+(21+4)/(7+1)</f>
        <v>3.125</v>
      </c>
      <c r="AO67" s="263">
        <f>+(5*16157+12923*7+9693*6+6462*2)/20*(AI67)</f>
        <v>1535390.2079999999</v>
      </c>
      <c r="AP67" s="292">
        <v>5478.89</v>
      </c>
      <c r="AQ67" s="313" t="s">
        <v>411</v>
      </c>
      <c r="AR67" s="34" t="s">
        <v>412</v>
      </c>
      <c r="AS67" s="337">
        <v>44104</v>
      </c>
      <c r="AT67" s="337"/>
      <c r="AU67" s="317" t="s">
        <v>413</v>
      </c>
      <c r="AV67" s="29"/>
      <c r="AW67" s="29"/>
      <c r="AX67" s="29"/>
      <c r="AY67" s="29"/>
      <c r="AZ67" s="29"/>
      <c r="BA67" s="29"/>
      <c r="BB67" s="29"/>
      <c r="BC67" s="29"/>
      <c r="BD67" s="29"/>
      <c r="BE67" s="29"/>
      <c r="BF67" s="29"/>
      <c r="BG67" s="30"/>
      <c r="BH67" s="30"/>
      <c r="BI67" s="30"/>
      <c r="BJ67" s="30"/>
      <c r="BK67" s="30"/>
      <c r="BL67" s="30"/>
      <c r="BM67" s="30"/>
      <c r="BN67" s="30"/>
      <c r="BO67" s="30"/>
      <c r="BP67" s="30"/>
      <c r="BQ67" s="30"/>
      <c r="BR67" s="30"/>
      <c r="BS67" s="30"/>
      <c r="BT67" s="30"/>
      <c r="BU67" s="30"/>
      <c r="BV67" s="30"/>
      <c r="IP67" s="30"/>
      <c r="IQ67" s="30"/>
      <c r="IR67" s="30"/>
      <c r="IS67" s="30"/>
      <c r="IT67" s="30"/>
      <c r="IU67" s="30"/>
      <c r="IV67" s="30"/>
    </row>
    <row r="68" spans="1:256" s="31" customFormat="1" ht="63.75">
      <c r="A68" s="370"/>
      <c r="B68" s="105">
        <v>66</v>
      </c>
      <c r="C68" s="108">
        <v>523637</v>
      </c>
      <c r="D68" s="13">
        <v>44082</v>
      </c>
      <c r="E68" s="25">
        <v>46621</v>
      </c>
      <c r="F68" s="25">
        <v>149535</v>
      </c>
      <c r="G68" s="25">
        <v>20923</v>
      </c>
      <c r="H68" s="25">
        <v>16</v>
      </c>
      <c r="I68" s="25"/>
      <c r="J68" s="25">
        <v>273</v>
      </c>
      <c r="K68" s="25">
        <v>15</v>
      </c>
      <c r="L68" s="148" t="s">
        <v>31</v>
      </c>
      <c r="M68" s="148" t="s">
        <v>414</v>
      </c>
      <c r="N68" s="148" t="s">
        <v>415</v>
      </c>
      <c r="O68" s="148"/>
      <c r="P68" s="148" t="s">
        <v>416</v>
      </c>
      <c r="Q68" s="148" t="s">
        <v>416</v>
      </c>
      <c r="R68" s="148" t="s">
        <v>416</v>
      </c>
      <c r="S68" s="148" t="s">
        <v>417</v>
      </c>
      <c r="T68" s="25">
        <v>1</v>
      </c>
      <c r="U68" s="25">
        <v>1</v>
      </c>
      <c r="V68" s="25"/>
      <c r="W68" s="25"/>
      <c r="X68" s="148" t="s">
        <v>418</v>
      </c>
      <c r="Y68" s="25"/>
      <c r="Z68" s="25">
        <v>2</v>
      </c>
      <c r="AA68" s="25"/>
      <c r="AB68" s="25">
        <f>2+1</f>
        <v>3</v>
      </c>
      <c r="AC68" s="25"/>
      <c r="AD68" s="25">
        <f>+Z68*2</f>
        <v>4</v>
      </c>
      <c r="AE68" s="183"/>
      <c r="AF68" s="183">
        <v>120</v>
      </c>
      <c r="AG68" s="183"/>
      <c r="AH68" s="183"/>
      <c r="AI68" s="183">
        <f>9.98/2+59.26</f>
        <v>64.25</v>
      </c>
      <c r="AJ68" s="194"/>
      <c r="AK68" s="214">
        <v>373.19</v>
      </c>
      <c r="AL68" s="194">
        <f>+(AF68+9.98+59.25)/AK68</f>
        <v>0.5070607465366167</v>
      </c>
      <c r="AM68" s="194">
        <f>+(AF68+AI68)/AK68</f>
        <v>0.49371633752244165</v>
      </c>
      <c r="AN68" s="194"/>
      <c r="AO68" s="263">
        <f>+(3*12923+12*9693+6462*5)/20*AI68</f>
        <v>602006.4375</v>
      </c>
      <c r="AP68" s="292">
        <v>10226.25</v>
      </c>
      <c r="AQ68" s="313" t="s">
        <v>386</v>
      </c>
      <c r="AR68" s="34" t="s">
        <v>419</v>
      </c>
      <c r="AS68" s="337">
        <v>44104</v>
      </c>
      <c r="AT68" s="337"/>
      <c r="AU68" s="317" t="s">
        <v>420</v>
      </c>
      <c r="AV68" s="29"/>
      <c r="AW68" s="29"/>
      <c r="AX68" s="29"/>
      <c r="AY68" s="29"/>
      <c r="AZ68" s="29"/>
      <c r="BA68" s="29"/>
      <c r="BB68" s="29"/>
      <c r="BC68" s="29"/>
      <c r="BD68" s="29"/>
      <c r="BE68" s="29"/>
      <c r="BF68" s="29"/>
      <c r="BG68" s="30"/>
      <c r="BH68" s="30"/>
      <c r="BI68" s="30"/>
      <c r="BJ68" s="30"/>
      <c r="BK68" s="30"/>
      <c r="BL68" s="30"/>
      <c r="BM68" s="30"/>
      <c r="BN68" s="30"/>
      <c r="BO68" s="30"/>
      <c r="BP68" s="30"/>
      <c r="BQ68" s="30"/>
      <c r="BR68" s="30"/>
      <c r="BS68" s="30"/>
      <c r="BT68" s="30"/>
      <c r="BU68" s="30"/>
      <c r="BV68" s="30"/>
      <c r="IP68" s="30"/>
      <c r="IQ68" s="30"/>
      <c r="IR68" s="30"/>
      <c r="IS68" s="30"/>
      <c r="IT68" s="30"/>
      <c r="IU68" s="30"/>
      <c r="IV68" s="30"/>
    </row>
    <row r="69" spans="1:256" s="31" customFormat="1" ht="63.75">
      <c r="A69" s="370"/>
      <c r="B69" s="105">
        <v>67</v>
      </c>
      <c r="C69" s="108">
        <v>523036</v>
      </c>
      <c r="D69" s="13">
        <v>44061</v>
      </c>
      <c r="E69" s="25">
        <v>4449</v>
      </c>
      <c r="F69" s="25">
        <v>2166</v>
      </c>
      <c r="G69" s="25">
        <v>2335</v>
      </c>
      <c r="H69" s="25"/>
      <c r="I69" s="25"/>
      <c r="J69" s="25">
        <v>125</v>
      </c>
      <c r="K69" s="25">
        <v>5</v>
      </c>
      <c r="L69" s="148" t="s">
        <v>99</v>
      </c>
      <c r="M69" s="148" t="s">
        <v>421</v>
      </c>
      <c r="N69" s="148" t="s">
        <v>422</v>
      </c>
      <c r="O69" s="148"/>
      <c r="P69" s="148" t="s">
        <v>423</v>
      </c>
      <c r="Q69" s="148"/>
      <c r="R69" s="148"/>
      <c r="S69" s="148"/>
      <c r="T69" s="25">
        <f>1+1+1</f>
        <v>3</v>
      </c>
      <c r="U69" s="25"/>
      <c r="V69" s="25"/>
      <c r="W69" s="25"/>
      <c r="X69" s="148" t="s">
        <v>424</v>
      </c>
      <c r="Y69" s="25">
        <v>3</v>
      </c>
      <c r="Z69" s="25"/>
      <c r="AA69" s="25">
        <f>3+1</f>
        <v>4</v>
      </c>
      <c r="AB69" s="25"/>
      <c r="AC69" s="25">
        <f>+Y69*2</f>
        <v>6</v>
      </c>
      <c r="AD69" s="25"/>
      <c r="AE69" s="183">
        <f>142.11+3.21/2</f>
        <v>143.715</v>
      </c>
      <c r="AF69" s="183"/>
      <c r="AG69" s="183"/>
      <c r="AH69" s="183">
        <f>75.2+15.32/2</f>
        <v>82.86</v>
      </c>
      <c r="AI69" s="183"/>
      <c r="AJ69" s="194"/>
      <c r="AK69" s="214">
        <v>313</v>
      </c>
      <c r="AL69" s="194">
        <f>+(142.11+3.21+75.2+15.32)/AK69</f>
        <v>0.75348242811501609</v>
      </c>
      <c r="AM69" s="194">
        <f>+(AE69+AH69)/AK69</f>
        <v>0.72388178913738011</v>
      </c>
      <c r="AN69" s="194"/>
      <c r="AO69" s="263">
        <f>+AH69*12923</f>
        <v>1070799.78</v>
      </c>
      <c r="AP69" s="292">
        <v>12641.22</v>
      </c>
      <c r="AQ69" s="313" t="s">
        <v>36</v>
      </c>
      <c r="AR69" s="34" t="s">
        <v>425</v>
      </c>
      <c r="AS69" s="337">
        <v>44104</v>
      </c>
      <c r="AT69" s="337"/>
      <c r="AU69" s="317" t="s">
        <v>426</v>
      </c>
      <c r="AV69" s="29"/>
      <c r="AW69" s="29"/>
      <c r="AX69" s="29"/>
      <c r="AY69" s="29"/>
      <c r="AZ69" s="29"/>
      <c r="BA69" s="29"/>
      <c r="BB69" s="29"/>
      <c r="BC69" s="29"/>
      <c r="BD69" s="29"/>
      <c r="BE69" s="29"/>
      <c r="BF69" s="29"/>
      <c r="BG69" s="30"/>
      <c r="BH69" s="30"/>
      <c r="BI69" s="30"/>
      <c r="BJ69" s="30"/>
      <c r="BK69" s="30"/>
      <c r="BL69" s="30"/>
      <c r="BM69" s="30"/>
      <c r="BN69" s="30"/>
      <c r="BO69" s="30"/>
      <c r="BP69" s="30"/>
      <c r="BQ69" s="30"/>
      <c r="BR69" s="30"/>
      <c r="BS69" s="30"/>
      <c r="BT69" s="30"/>
      <c r="BU69" s="30"/>
      <c r="BV69" s="30"/>
      <c r="IP69" s="30"/>
      <c r="IQ69" s="30"/>
      <c r="IR69" s="30"/>
      <c r="IS69" s="30"/>
      <c r="IT69" s="30"/>
      <c r="IU69" s="30"/>
      <c r="IV69" s="30"/>
    </row>
    <row r="70" spans="1:256" s="31" customFormat="1" ht="64.5" thickBot="1">
      <c r="A70" s="371"/>
      <c r="B70" s="128">
        <v>68</v>
      </c>
      <c r="C70" s="392">
        <v>520085</v>
      </c>
      <c r="D70" s="35">
        <v>43888</v>
      </c>
      <c r="E70" s="54">
        <v>6192</v>
      </c>
      <c r="F70" s="54">
        <v>1542</v>
      </c>
      <c r="G70" s="54">
        <v>4664</v>
      </c>
      <c r="H70" s="54"/>
      <c r="I70" s="54"/>
      <c r="J70" s="54">
        <v>180</v>
      </c>
      <c r="K70" s="54">
        <v>18</v>
      </c>
      <c r="L70" s="150" t="s">
        <v>99</v>
      </c>
      <c r="M70" s="150" t="s">
        <v>427</v>
      </c>
      <c r="N70" s="150" t="s">
        <v>428</v>
      </c>
      <c r="O70" s="150"/>
      <c r="P70" s="150" t="s">
        <v>416</v>
      </c>
      <c r="Q70" s="150"/>
      <c r="R70" s="150"/>
      <c r="S70" s="150"/>
      <c r="T70" s="54">
        <v>1</v>
      </c>
      <c r="U70" s="54"/>
      <c r="V70" s="54"/>
      <c r="W70" s="54"/>
      <c r="X70" s="150" t="s">
        <v>429</v>
      </c>
      <c r="Y70" s="54">
        <v>2</v>
      </c>
      <c r="Z70" s="54"/>
      <c r="AA70" s="54">
        <f>2+2</f>
        <v>4</v>
      </c>
      <c r="AB70" s="54"/>
      <c r="AC70" s="54">
        <f>+Y70*2</f>
        <v>4</v>
      </c>
      <c r="AD70" s="179"/>
      <c r="AE70" s="199"/>
      <c r="AF70" s="200"/>
      <c r="AG70" s="201">
        <f>129.5+12.9/2+3.8/2</f>
        <v>137.85</v>
      </c>
      <c r="AH70" s="202"/>
      <c r="AI70" s="203"/>
      <c r="AJ70" s="204"/>
      <c r="AK70" s="205">
        <v>225</v>
      </c>
      <c r="AL70" s="196">
        <f>+(129.5+12.9+3.8)/AK70</f>
        <v>0.6497777777777779</v>
      </c>
      <c r="AM70" s="196">
        <f>+AG70/AK70</f>
        <v>0.61266666666666669</v>
      </c>
      <c r="AN70" s="196"/>
      <c r="AO70" s="277">
        <f>+(16157+8*12923+9693*7+4*6462)/20*(AG70)</f>
        <v>1469756.7</v>
      </c>
      <c r="AP70" s="278">
        <v>23002.7</v>
      </c>
      <c r="AQ70" s="318" t="s">
        <v>386</v>
      </c>
      <c r="AR70" s="36" t="s">
        <v>430</v>
      </c>
      <c r="AS70" s="341">
        <v>44104</v>
      </c>
      <c r="AT70" s="356"/>
      <c r="AU70" s="322" t="s">
        <v>431</v>
      </c>
      <c r="AV70" s="39"/>
      <c r="AW70" s="39"/>
      <c r="AX70" s="39"/>
      <c r="AY70" s="39"/>
      <c r="AZ70" s="39"/>
      <c r="BA70" s="39"/>
      <c r="BB70" s="39"/>
      <c r="BC70" s="39"/>
      <c r="BD70" s="39"/>
      <c r="BE70" s="30"/>
      <c r="BF70" s="30"/>
      <c r="BG70" s="30"/>
      <c r="BH70" s="30"/>
      <c r="BI70" s="30"/>
      <c r="BJ70" s="30"/>
      <c r="BK70" s="30"/>
      <c r="BL70" s="30"/>
      <c r="BM70" s="30"/>
      <c r="BN70" s="30"/>
      <c r="BO70" s="30"/>
      <c r="BP70" s="30"/>
      <c r="BQ70" s="30"/>
      <c r="BR70" s="30"/>
      <c r="BS70" s="30"/>
      <c r="BT70" s="30"/>
      <c r="IN70" s="30"/>
      <c r="IO70" s="30"/>
      <c r="IP70" s="30"/>
      <c r="IQ70" s="30"/>
      <c r="IR70" s="30"/>
      <c r="IS70" s="30"/>
      <c r="IT70" s="30"/>
      <c r="IU70" s="30"/>
      <c r="IV70" s="30"/>
    </row>
    <row r="71" spans="1:256" s="31" customFormat="1" ht="51">
      <c r="A71" s="370" t="s">
        <v>432</v>
      </c>
      <c r="B71" s="132">
        <v>69</v>
      </c>
      <c r="C71" s="393">
        <v>518679</v>
      </c>
      <c r="D71" s="56">
        <v>43853</v>
      </c>
      <c r="E71" s="57">
        <v>51783</v>
      </c>
      <c r="F71" s="57">
        <v>161546</v>
      </c>
      <c r="G71" s="57">
        <v>9707</v>
      </c>
      <c r="H71" s="57"/>
      <c r="I71" s="57"/>
      <c r="J71" s="57">
        <v>341</v>
      </c>
      <c r="K71" s="57">
        <v>5</v>
      </c>
      <c r="L71" s="151" t="s">
        <v>31</v>
      </c>
      <c r="M71" s="151" t="s">
        <v>433</v>
      </c>
      <c r="N71" s="151" t="s">
        <v>434</v>
      </c>
      <c r="O71" s="151"/>
      <c r="P71" s="151" t="s">
        <v>435</v>
      </c>
      <c r="Q71" s="151" t="s">
        <v>436</v>
      </c>
      <c r="R71" s="151" t="s">
        <v>437</v>
      </c>
      <c r="S71" s="151" t="s">
        <v>438</v>
      </c>
      <c r="T71" s="57">
        <v>2</v>
      </c>
      <c r="U71" s="57">
        <v>2</v>
      </c>
      <c r="V71" s="57"/>
      <c r="W71" s="57"/>
      <c r="X71" s="151" t="s">
        <v>96</v>
      </c>
      <c r="Y71" s="57">
        <v>2</v>
      </c>
      <c r="Z71" s="57">
        <f>2+3</f>
        <v>5</v>
      </c>
      <c r="AA71" s="57">
        <v>2</v>
      </c>
      <c r="AB71" s="57">
        <f>+Z71+2</f>
        <v>7</v>
      </c>
      <c r="AC71" s="57">
        <f>+Y71*2</f>
        <v>4</v>
      </c>
      <c r="AD71" s="57">
        <f>+Z71*2</f>
        <v>10</v>
      </c>
      <c r="AE71" s="190">
        <f>68.87+11.27/2</f>
        <v>74.50500000000001</v>
      </c>
      <c r="AF71" s="215"/>
      <c r="AG71" s="215">
        <f>30.72/2</f>
        <v>15.36</v>
      </c>
      <c r="AH71" s="216"/>
      <c r="AI71" s="216">
        <f>53.17+68.5+30.8/2+2.47/2</f>
        <v>138.30500000000001</v>
      </c>
      <c r="AJ71" s="217"/>
      <c r="AK71" s="218">
        <v>410</v>
      </c>
      <c r="AL71" s="210">
        <f>+(68.87+11.27+30.72+30.8+53.17+2.47)/AK71</f>
        <v>0.48121951219512193</v>
      </c>
      <c r="AM71" s="210">
        <f>+(AE71+AG71+AI71)/AK71</f>
        <v>0.55651219512195127</v>
      </c>
      <c r="AN71" s="210"/>
      <c r="AO71" s="269">
        <f>+(5*12923+9*9693+5*6462)/19*AI71+AG71</f>
        <v>1340569.3289473685</v>
      </c>
      <c r="AP71" s="269">
        <v>22697.71</v>
      </c>
      <c r="AQ71" s="316" t="s">
        <v>36</v>
      </c>
      <c r="AR71" s="22" t="s">
        <v>439</v>
      </c>
      <c r="AS71" s="346">
        <v>44105</v>
      </c>
      <c r="AT71" s="346"/>
      <c r="AU71" s="323" t="s">
        <v>440</v>
      </c>
      <c r="AV71" s="29"/>
      <c r="AW71" s="29"/>
      <c r="AX71" s="29"/>
      <c r="AY71" s="29"/>
      <c r="AZ71" s="29"/>
      <c r="BA71" s="29"/>
      <c r="BB71" s="29"/>
      <c r="BC71" s="29"/>
      <c r="BD71" s="29"/>
      <c r="BE71" s="29"/>
      <c r="BF71" s="29"/>
      <c r="BG71" s="30"/>
      <c r="BH71" s="30"/>
      <c r="BI71" s="30"/>
      <c r="BJ71" s="30"/>
      <c r="BK71" s="30"/>
      <c r="BL71" s="30"/>
      <c r="BM71" s="30"/>
      <c r="BN71" s="30"/>
      <c r="BO71" s="30"/>
      <c r="BP71" s="30"/>
      <c r="BQ71" s="30"/>
      <c r="BR71" s="30"/>
      <c r="BS71" s="30"/>
      <c r="BT71" s="30"/>
      <c r="BU71" s="30"/>
      <c r="BV71" s="30"/>
      <c r="IP71" s="30"/>
      <c r="IQ71" s="30"/>
      <c r="IR71" s="30"/>
      <c r="IS71" s="30"/>
      <c r="IT71" s="30"/>
      <c r="IU71" s="30"/>
      <c r="IV71" s="30"/>
    </row>
    <row r="72" spans="1:256" s="31" customFormat="1" ht="38.25">
      <c r="A72" s="370"/>
      <c r="B72" s="105">
        <v>70</v>
      </c>
      <c r="C72" s="389">
        <v>523020</v>
      </c>
      <c r="D72" s="40">
        <v>43875</v>
      </c>
      <c r="E72" s="25"/>
      <c r="F72" s="25"/>
      <c r="G72" s="25">
        <v>30561</v>
      </c>
      <c r="H72" s="25">
        <v>327</v>
      </c>
      <c r="I72" s="25"/>
      <c r="J72" s="25"/>
      <c r="K72" s="25"/>
      <c r="L72" s="148" t="s">
        <v>441</v>
      </c>
      <c r="M72" s="148" t="s">
        <v>442</v>
      </c>
      <c r="N72" s="148" t="s">
        <v>443</v>
      </c>
      <c r="O72" s="148"/>
      <c r="P72" s="148" t="s">
        <v>203</v>
      </c>
      <c r="Q72" s="148"/>
      <c r="R72" s="148"/>
      <c r="S72" s="148"/>
      <c r="T72" s="25"/>
      <c r="U72" s="25">
        <v>2</v>
      </c>
      <c r="V72" s="25"/>
      <c r="W72" s="25"/>
      <c r="X72" s="148" t="s">
        <v>96</v>
      </c>
      <c r="Y72" s="25"/>
      <c r="Z72" s="25">
        <f>2+2</f>
        <v>4</v>
      </c>
      <c r="AA72" s="25"/>
      <c r="AB72" s="25">
        <f>+Z72</f>
        <v>4</v>
      </c>
      <c r="AC72" s="25"/>
      <c r="AD72" s="25">
        <f>+Z72*2</f>
        <v>8</v>
      </c>
      <c r="AE72" s="183"/>
      <c r="AF72" s="183"/>
      <c r="AG72" s="183"/>
      <c r="AH72" s="183"/>
      <c r="AI72" s="183">
        <f>115.7+5.3/2</f>
        <v>118.35000000000001</v>
      </c>
      <c r="AJ72" s="194"/>
      <c r="AK72" s="194">
        <v>321</v>
      </c>
      <c r="AL72" s="194">
        <f>+(115.7+5.3)/AK72</f>
        <v>0.37694704049844235</v>
      </c>
      <c r="AM72" s="194">
        <f>+AI72/AK72</f>
        <v>0.36869158878504676</v>
      </c>
      <c r="AN72" s="194"/>
      <c r="AO72" s="263">
        <f>+(2*16157+11*12923+9693*4+3*6462)/20*AI72</f>
        <v>1376558.4375</v>
      </c>
      <c r="AP72" s="271">
        <v>5357.64</v>
      </c>
      <c r="AQ72" s="313" t="s">
        <v>36</v>
      </c>
      <c r="AR72" s="34" t="s">
        <v>444</v>
      </c>
      <c r="AS72" s="337">
        <v>44105</v>
      </c>
      <c r="AT72" s="337"/>
      <c r="AU72" s="317" t="s">
        <v>445</v>
      </c>
      <c r="AV72" s="29"/>
      <c r="AW72" s="29"/>
      <c r="AX72" s="29"/>
      <c r="AY72" s="29"/>
      <c r="AZ72" s="29"/>
      <c r="BA72" s="29"/>
      <c r="BB72" s="29"/>
      <c r="BC72" s="29"/>
      <c r="BD72" s="29"/>
      <c r="BE72" s="29"/>
      <c r="BF72" s="29"/>
      <c r="BG72" s="30"/>
      <c r="BH72" s="30"/>
      <c r="BI72" s="30"/>
      <c r="BJ72" s="30"/>
      <c r="BK72" s="30"/>
      <c r="BL72" s="30"/>
      <c r="BM72" s="30"/>
      <c r="BN72" s="30"/>
      <c r="BO72" s="30"/>
      <c r="BP72" s="30"/>
      <c r="BQ72" s="30"/>
      <c r="BR72" s="30"/>
      <c r="BS72" s="30"/>
      <c r="BT72" s="30"/>
      <c r="BU72" s="30"/>
      <c r="BV72" s="30"/>
      <c r="IP72" s="30"/>
      <c r="IQ72" s="30"/>
      <c r="IR72" s="30"/>
      <c r="IS72" s="30"/>
      <c r="IT72" s="30"/>
      <c r="IU72" s="30"/>
      <c r="IV72" s="30"/>
    </row>
    <row r="73" spans="1:256" s="31" customFormat="1" ht="63.75">
      <c r="A73" s="370"/>
      <c r="B73" s="105">
        <v>71</v>
      </c>
      <c r="C73" s="394">
        <v>523034</v>
      </c>
      <c r="D73" s="13">
        <v>44061</v>
      </c>
      <c r="E73" s="25">
        <v>58211</v>
      </c>
      <c r="F73" s="25">
        <v>141901</v>
      </c>
      <c r="G73" s="25">
        <v>20764</v>
      </c>
      <c r="H73" s="25">
        <v>8</v>
      </c>
      <c r="I73" s="25"/>
      <c r="J73" s="25">
        <v>249</v>
      </c>
      <c r="K73" s="25">
        <v>8</v>
      </c>
      <c r="L73" s="148" t="s">
        <v>52</v>
      </c>
      <c r="M73" s="148" t="s">
        <v>446</v>
      </c>
      <c r="N73" s="148" t="s">
        <v>447</v>
      </c>
      <c r="O73" s="148"/>
      <c r="P73" s="148" t="s">
        <v>423</v>
      </c>
      <c r="Q73" s="148" t="s">
        <v>423</v>
      </c>
      <c r="R73" s="148" t="s">
        <v>423</v>
      </c>
      <c r="S73" s="148" t="s">
        <v>385</v>
      </c>
      <c r="T73" s="25"/>
      <c r="U73" s="25">
        <v>1</v>
      </c>
      <c r="V73" s="25"/>
      <c r="W73" s="25"/>
      <c r="X73" s="148" t="s">
        <v>44</v>
      </c>
      <c r="Y73" s="25"/>
      <c r="Z73" s="25">
        <v>2</v>
      </c>
      <c r="AA73" s="25"/>
      <c r="AB73" s="25">
        <f>+Z73+1</f>
        <v>3</v>
      </c>
      <c r="AC73" s="25"/>
      <c r="AD73" s="25">
        <f>+Z73*2</f>
        <v>4</v>
      </c>
      <c r="AE73" s="183"/>
      <c r="AF73" s="183"/>
      <c r="AG73" s="183"/>
      <c r="AH73" s="183"/>
      <c r="AI73" s="183">
        <f>119.36+6.01/2</f>
        <v>122.36499999999999</v>
      </c>
      <c r="AJ73" s="194"/>
      <c r="AK73" s="194">
        <v>315.62</v>
      </c>
      <c r="AL73" s="194">
        <f>+(119.38+6.01)/AK73</f>
        <v>0.39728154109372027</v>
      </c>
      <c r="AM73" s="194">
        <f>+AI73/AK73</f>
        <v>0.3876972308472213</v>
      </c>
      <c r="AN73" s="194">
        <f>+(4+24+12)/(2+8+2)</f>
        <v>3.3333333333333335</v>
      </c>
      <c r="AO73" s="263">
        <f>+(8*16157+4*12923+5*9693+2*6462)/19*AI73</f>
        <v>1560714.0528947369</v>
      </c>
      <c r="AP73" s="292">
        <v>23485.87</v>
      </c>
      <c r="AQ73" s="313" t="s">
        <v>36</v>
      </c>
      <c r="AR73" s="34" t="s">
        <v>448</v>
      </c>
      <c r="AS73" s="337">
        <v>44105</v>
      </c>
      <c r="AT73" s="337"/>
      <c r="AU73" s="317" t="s">
        <v>449</v>
      </c>
      <c r="AV73" s="29"/>
      <c r="AW73" s="29"/>
      <c r="AX73" s="29"/>
      <c r="AY73" s="29"/>
      <c r="AZ73" s="29"/>
      <c r="BA73" s="29"/>
      <c r="BB73" s="29"/>
      <c r="BC73" s="29"/>
      <c r="BD73" s="29"/>
      <c r="BE73" s="29"/>
      <c r="BF73" s="29"/>
      <c r="BG73" s="30"/>
      <c r="BH73" s="30"/>
      <c r="BI73" s="30"/>
      <c r="BJ73" s="30"/>
      <c r="BK73" s="30"/>
      <c r="BL73" s="30"/>
      <c r="BM73" s="30"/>
      <c r="BN73" s="30"/>
      <c r="BO73" s="30"/>
      <c r="BP73" s="30"/>
      <c r="BQ73" s="30"/>
      <c r="BR73" s="30"/>
      <c r="BS73" s="30"/>
      <c r="BT73" s="30"/>
      <c r="BU73" s="30"/>
      <c r="BV73" s="30"/>
      <c r="IP73" s="30"/>
      <c r="IQ73" s="30"/>
      <c r="IR73" s="30"/>
      <c r="IS73" s="30"/>
      <c r="IT73" s="30"/>
      <c r="IU73" s="30"/>
      <c r="IV73" s="30"/>
    </row>
    <row r="74" spans="1:256" s="31" customFormat="1" ht="63.75">
      <c r="A74" s="370"/>
      <c r="B74" s="105">
        <v>72</v>
      </c>
      <c r="C74" s="394">
        <v>523035</v>
      </c>
      <c r="D74" s="13">
        <v>44061</v>
      </c>
      <c r="E74" s="25">
        <v>38852</v>
      </c>
      <c r="F74" s="25">
        <v>137222</v>
      </c>
      <c r="G74" s="25">
        <v>20377</v>
      </c>
      <c r="H74" s="25">
        <v>27</v>
      </c>
      <c r="I74" s="25"/>
      <c r="J74" s="25">
        <v>377</v>
      </c>
      <c r="K74" s="25">
        <v>8</v>
      </c>
      <c r="L74" s="148" t="s">
        <v>52</v>
      </c>
      <c r="M74" s="148" t="s">
        <v>450</v>
      </c>
      <c r="N74" s="148" t="s">
        <v>451</v>
      </c>
      <c r="O74" s="148"/>
      <c r="P74" s="148" t="s">
        <v>423</v>
      </c>
      <c r="Q74" s="148"/>
      <c r="R74" s="148"/>
      <c r="S74" s="148"/>
      <c r="T74" s="25">
        <v>1</v>
      </c>
      <c r="U74" s="25"/>
      <c r="V74" s="25"/>
      <c r="W74" s="25"/>
      <c r="X74" s="148" t="s">
        <v>44</v>
      </c>
      <c r="Y74" s="25">
        <v>3</v>
      </c>
      <c r="Z74" s="25"/>
      <c r="AA74" s="25">
        <f>+Y74+1</f>
        <v>4</v>
      </c>
      <c r="AB74" s="25"/>
      <c r="AC74" s="25">
        <f>+Y74*2</f>
        <v>6</v>
      </c>
      <c r="AD74" s="25"/>
      <c r="AE74" s="183"/>
      <c r="AF74" s="183"/>
      <c r="AG74" s="183">
        <f>88.3+23/2+20.77</f>
        <v>120.57</v>
      </c>
      <c r="AH74" s="183"/>
      <c r="AI74" s="183"/>
      <c r="AJ74" s="194"/>
      <c r="AK74" s="194">
        <v>408.4</v>
      </c>
      <c r="AL74" s="194">
        <f>+(88.3+23)/AK74</f>
        <v>0.27252693437806075</v>
      </c>
      <c r="AM74" s="194">
        <f>+AG74/AK74</f>
        <v>0.29522526934378063</v>
      </c>
      <c r="AN74" s="194">
        <f>+(2+32+18)/(1+8+3)</f>
        <v>4.333333333333333</v>
      </c>
      <c r="AO74" s="263">
        <f>+(6*16157+3*12923+7*9693+6462*4)/20*AG74</f>
        <v>1382998.1849999998</v>
      </c>
      <c r="AP74" s="292">
        <v>20591.87</v>
      </c>
      <c r="AQ74" s="313" t="s">
        <v>36</v>
      </c>
      <c r="AR74" s="34" t="s">
        <v>452</v>
      </c>
      <c r="AS74" s="337">
        <v>44106</v>
      </c>
      <c r="AT74" s="337"/>
      <c r="AU74" s="317" t="s">
        <v>453</v>
      </c>
      <c r="AV74" s="29"/>
      <c r="AW74" s="29"/>
      <c r="AX74" s="29"/>
      <c r="AY74" s="29"/>
      <c r="AZ74" s="29"/>
      <c r="BA74" s="29"/>
      <c r="BB74" s="29"/>
      <c r="BC74" s="29"/>
      <c r="BD74" s="29"/>
      <c r="BE74" s="29"/>
      <c r="BF74" s="29"/>
      <c r="BG74" s="30"/>
      <c r="BH74" s="30"/>
      <c r="BI74" s="30"/>
      <c r="BJ74" s="30"/>
      <c r="BK74" s="30"/>
      <c r="BL74" s="30"/>
      <c r="BM74" s="30"/>
      <c r="BN74" s="30"/>
      <c r="BO74" s="30"/>
      <c r="BP74" s="30"/>
      <c r="BQ74" s="30"/>
      <c r="BR74" s="30"/>
      <c r="BS74" s="30"/>
      <c r="BT74" s="30"/>
      <c r="BU74" s="30"/>
      <c r="BV74" s="30"/>
      <c r="IP74" s="30"/>
      <c r="IQ74" s="30"/>
      <c r="IR74" s="30"/>
      <c r="IS74" s="30"/>
      <c r="IT74" s="30"/>
      <c r="IU74" s="30"/>
      <c r="IV74" s="30"/>
    </row>
    <row r="75" spans="1:256" s="31" customFormat="1" ht="76.5">
      <c r="A75" s="370"/>
      <c r="B75" s="105">
        <v>73</v>
      </c>
      <c r="C75" s="108">
        <v>522903</v>
      </c>
      <c r="D75" s="13">
        <v>44054</v>
      </c>
      <c r="E75" s="25">
        <v>43093</v>
      </c>
      <c r="F75" s="25">
        <v>141084</v>
      </c>
      <c r="G75" s="25">
        <v>31981</v>
      </c>
      <c r="H75" s="25">
        <v>330</v>
      </c>
      <c r="I75" s="25"/>
      <c r="J75" s="25">
        <v>6</v>
      </c>
      <c r="K75" s="25">
        <v>15</v>
      </c>
      <c r="L75" s="148" t="s">
        <v>227</v>
      </c>
      <c r="M75" s="148" t="s">
        <v>220</v>
      </c>
      <c r="N75" s="148" t="s">
        <v>454</v>
      </c>
      <c r="O75" s="148"/>
      <c r="P75" s="148" t="s">
        <v>159</v>
      </c>
      <c r="Q75" s="148"/>
      <c r="R75" s="148"/>
      <c r="S75" s="148"/>
      <c r="T75" s="25">
        <v>1</v>
      </c>
      <c r="U75" s="25"/>
      <c r="V75" s="25"/>
      <c r="W75" s="25"/>
      <c r="X75" s="148" t="s">
        <v>44</v>
      </c>
      <c r="Y75" s="25">
        <v>2</v>
      </c>
      <c r="Z75" s="25"/>
      <c r="AA75" s="25">
        <f>2+1</f>
        <v>3</v>
      </c>
      <c r="AB75" s="25"/>
      <c r="AC75" s="25">
        <f>+Y75*2</f>
        <v>4</v>
      </c>
      <c r="AD75" s="25"/>
      <c r="AE75" s="183"/>
      <c r="AF75" s="183"/>
      <c r="AG75" s="183">
        <f>51.5+39.8/2</f>
        <v>71.400000000000006</v>
      </c>
      <c r="AH75" s="183"/>
      <c r="AI75" s="183"/>
      <c r="AJ75" s="194"/>
      <c r="AK75" s="194">
        <v>927.5</v>
      </c>
      <c r="AL75" s="219">
        <f>(51.5+39.8)/AK75</f>
        <v>9.8436657681940695E-2</v>
      </c>
      <c r="AM75" s="194">
        <f>+AG75/AK75</f>
        <v>7.6981132075471706E-2</v>
      </c>
      <c r="AN75" s="194">
        <f>+(9+16+6)/(3+4+1)</f>
        <v>3.875</v>
      </c>
      <c r="AO75" s="263">
        <f>+(1*16157+8*12923+7*9693+6462*4)/20*AG75</f>
        <v>761266.8</v>
      </c>
      <c r="AP75" s="292">
        <v>11083.87</v>
      </c>
      <c r="AQ75" s="313" t="s">
        <v>36</v>
      </c>
      <c r="AR75" s="34" t="s">
        <v>455</v>
      </c>
      <c r="AS75" s="337">
        <v>44106</v>
      </c>
      <c r="AT75" s="337"/>
      <c r="AU75" s="317" t="s">
        <v>456</v>
      </c>
      <c r="AV75" s="29"/>
      <c r="AW75" s="29"/>
      <c r="AX75" s="29"/>
      <c r="AY75" s="29"/>
      <c r="AZ75" s="29"/>
      <c r="BA75" s="29"/>
      <c r="BB75" s="29"/>
      <c r="BC75" s="29"/>
      <c r="BD75" s="29"/>
      <c r="BE75" s="29"/>
      <c r="BF75" s="29"/>
      <c r="BG75" s="30"/>
      <c r="BH75" s="30"/>
      <c r="BI75" s="30"/>
      <c r="BJ75" s="30"/>
      <c r="BK75" s="30"/>
      <c r="BL75" s="30"/>
      <c r="BM75" s="30"/>
      <c r="BN75" s="30"/>
      <c r="BO75" s="30"/>
      <c r="BP75" s="30"/>
      <c r="BQ75" s="30"/>
      <c r="BR75" s="30"/>
      <c r="BS75" s="30"/>
      <c r="BT75" s="30"/>
      <c r="BU75" s="30"/>
      <c r="BV75" s="30"/>
      <c r="IP75" s="30"/>
      <c r="IQ75" s="30"/>
      <c r="IR75" s="30"/>
      <c r="IS75" s="30"/>
      <c r="IT75" s="30"/>
      <c r="IU75" s="30"/>
      <c r="IV75" s="30"/>
    </row>
    <row r="76" spans="1:256" s="31" customFormat="1" ht="51">
      <c r="A76" s="370"/>
      <c r="B76" s="105">
        <v>74</v>
      </c>
      <c r="C76" s="108">
        <v>522904</v>
      </c>
      <c r="D76" s="13">
        <v>44054</v>
      </c>
      <c r="E76" s="25">
        <v>41768</v>
      </c>
      <c r="F76" s="25">
        <v>135509</v>
      </c>
      <c r="G76" s="25">
        <v>31410</v>
      </c>
      <c r="H76" s="25">
        <v>310</v>
      </c>
      <c r="I76" s="25"/>
      <c r="J76" s="25">
        <v>3</v>
      </c>
      <c r="K76" s="25">
        <v>7</v>
      </c>
      <c r="L76" s="148" t="s">
        <v>39</v>
      </c>
      <c r="M76" s="148" t="s">
        <v>220</v>
      </c>
      <c r="N76" s="148" t="s">
        <v>457</v>
      </c>
      <c r="O76" s="148"/>
      <c r="P76" s="148" t="s">
        <v>159</v>
      </c>
      <c r="Q76" s="148"/>
      <c r="R76" s="148"/>
      <c r="S76" s="148"/>
      <c r="T76" s="25">
        <f>1+2</f>
        <v>3</v>
      </c>
      <c r="U76" s="25"/>
      <c r="V76" s="25"/>
      <c r="W76" s="25"/>
      <c r="X76" s="148" t="s">
        <v>96</v>
      </c>
      <c r="Y76" s="25">
        <f>3+2</f>
        <v>5</v>
      </c>
      <c r="Z76" s="25"/>
      <c r="AA76" s="25">
        <f>+Y76+1</f>
        <v>6</v>
      </c>
      <c r="AB76" s="25"/>
      <c r="AC76" s="25">
        <f>+Y76*2</f>
        <v>10</v>
      </c>
      <c r="AD76" s="25"/>
      <c r="AE76" s="183">
        <f>66.2+11.8/2</f>
        <v>72.100000000000009</v>
      </c>
      <c r="AF76" s="183"/>
      <c r="AG76" s="183">
        <f>60.4+3.2/2</f>
        <v>62</v>
      </c>
      <c r="AH76" s="183"/>
      <c r="AI76" s="183"/>
      <c r="AJ76" s="194"/>
      <c r="AK76" s="194">
        <v>2287.69</v>
      </c>
      <c r="AL76" s="194">
        <f>+(66.2+11.8+60.4+3.2)/AK76</f>
        <v>6.1896498214355965E-2</v>
      </c>
      <c r="AM76" s="194">
        <f>+(AE76+AG76)/AK76</f>
        <v>5.8618081995375257E-2</v>
      </c>
      <c r="AN76" s="194">
        <f>+(15+12)/(5+3)</f>
        <v>3.375</v>
      </c>
      <c r="AO76" s="263">
        <f>+(16157+12923*4+12*9693+6462*3)/20*AG76</f>
        <v>631008.1</v>
      </c>
      <c r="AP76" s="292">
        <v>9236.42</v>
      </c>
      <c r="AQ76" s="313" t="s">
        <v>36</v>
      </c>
      <c r="AR76" s="34" t="s">
        <v>458</v>
      </c>
      <c r="AS76" s="337">
        <v>44106</v>
      </c>
      <c r="AT76" s="337"/>
      <c r="AU76" s="317" t="s">
        <v>456</v>
      </c>
      <c r="AV76" s="29"/>
      <c r="AW76" s="29"/>
      <c r="AX76" s="29"/>
      <c r="AY76" s="29"/>
      <c r="AZ76" s="29"/>
      <c r="BA76" s="29"/>
      <c r="BB76" s="29"/>
      <c r="BC76" s="29"/>
      <c r="BD76" s="29"/>
      <c r="BE76" s="29"/>
      <c r="BF76" s="29"/>
      <c r="BG76" s="30"/>
      <c r="BH76" s="30"/>
      <c r="BI76" s="30"/>
      <c r="BJ76" s="30"/>
      <c r="BK76" s="30"/>
      <c r="BL76" s="30"/>
      <c r="BM76" s="30"/>
      <c r="BN76" s="30"/>
      <c r="BO76" s="30"/>
      <c r="BP76" s="30"/>
      <c r="BQ76" s="30"/>
      <c r="BR76" s="30"/>
      <c r="BS76" s="30"/>
      <c r="BT76" s="30"/>
      <c r="BU76" s="30"/>
      <c r="BV76" s="30"/>
      <c r="IP76" s="30"/>
      <c r="IQ76" s="30"/>
      <c r="IR76" s="30"/>
      <c r="IS76" s="30"/>
      <c r="IT76" s="30"/>
      <c r="IU76" s="30"/>
      <c r="IV76" s="30"/>
    </row>
    <row r="77" spans="1:256" s="31" customFormat="1" ht="89.25">
      <c r="A77" s="370"/>
      <c r="B77" s="105">
        <v>75</v>
      </c>
      <c r="C77" s="395" t="s">
        <v>459</v>
      </c>
      <c r="D77" s="13">
        <v>44057</v>
      </c>
      <c r="E77" s="25">
        <v>39116</v>
      </c>
      <c r="F77" s="25">
        <v>137952</v>
      </c>
      <c r="G77" s="25">
        <v>8186</v>
      </c>
      <c r="H77" s="25"/>
      <c r="I77" s="25"/>
      <c r="J77" s="25">
        <v>576</v>
      </c>
      <c r="K77" s="25">
        <v>7</v>
      </c>
      <c r="L77" s="148" t="s">
        <v>108</v>
      </c>
      <c r="M77" s="148" t="s">
        <v>460</v>
      </c>
      <c r="N77" s="148" t="s">
        <v>461</v>
      </c>
      <c r="O77" s="148"/>
      <c r="P77" s="148" t="s">
        <v>423</v>
      </c>
      <c r="Q77" s="148" t="s">
        <v>423</v>
      </c>
      <c r="R77" s="148" t="s">
        <v>423</v>
      </c>
      <c r="S77" s="148" t="s">
        <v>462</v>
      </c>
      <c r="T77" s="25">
        <v>1</v>
      </c>
      <c r="U77" s="25">
        <v>2</v>
      </c>
      <c r="V77" s="25"/>
      <c r="W77" s="25"/>
      <c r="X77" s="148" t="s">
        <v>96</v>
      </c>
      <c r="Y77" s="25">
        <v>2</v>
      </c>
      <c r="Z77" s="25"/>
      <c r="AA77" s="25">
        <f>+Y77+1</f>
        <v>3</v>
      </c>
      <c r="AB77" s="25">
        <v>2</v>
      </c>
      <c r="AC77" s="25"/>
      <c r="AD77" s="25">
        <f>+AB77*2</f>
        <v>4</v>
      </c>
      <c r="AE77" s="183"/>
      <c r="AF77" s="183"/>
      <c r="AG77" s="183">
        <f>72.15+30.15/2</f>
        <v>87.225000000000009</v>
      </c>
      <c r="AH77" s="183"/>
      <c r="AI77" s="183">
        <v>61.3</v>
      </c>
      <c r="AJ77" s="194"/>
      <c r="AK77" s="194">
        <v>284</v>
      </c>
      <c r="AL77" s="194">
        <f>+(72.15+30.15)/AK77</f>
        <v>0.36021126760563382</v>
      </c>
      <c r="AM77" s="194">
        <f>+(AG77+AI77)/AK77</f>
        <v>0.5229753521126761</v>
      </c>
      <c r="AN77" s="194">
        <f>+(10+15+12)/(5+5+2)</f>
        <v>3.0833333333333335</v>
      </c>
      <c r="AO77" s="263">
        <f>+((4*16157+12923*3+3*9693+6462*9)/19*+AG77)+((4*16157+12923*8+5*9693+6462*3)/20*AI77)</f>
        <v>1598080.6555263158</v>
      </c>
      <c r="AP77" s="292">
        <v>19910.759999999998</v>
      </c>
      <c r="AQ77" s="313" t="s">
        <v>36</v>
      </c>
      <c r="AR77" s="34" t="s">
        <v>463</v>
      </c>
      <c r="AS77" s="337">
        <v>44106</v>
      </c>
      <c r="AT77" s="337"/>
      <c r="AU77" s="317" t="s">
        <v>464</v>
      </c>
      <c r="AV77" s="29"/>
      <c r="AW77" s="29"/>
      <c r="AX77" s="29"/>
      <c r="AY77" s="29"/>
      <c r="AZ77" s="29"/>
      <c r="BA77" s="29"/>
      <c r="BB77" s="29"/>
      <c r="BC77" s="29"/>
      <c r="BD77" s="29"/>
      <c r="BE77" s="29"/>
      <c r="BF77" s="29"/>
      <c r="BG77" s="30"/>
      <c r="BH77" s="30"/>
      <c r="BI77" s="30"/>
      <c r="BJ77" s="30"/>
      <c r="BK77" s="30"/>
      <c r="BL77" s="30"/>
      <c r="BM77" s="30"/>
      <c r="BN77" s="30"/>
      <c r="BO77" s="30"/>
      <c r="BP77" s="30"/>
      <c r="BQ77" s="30"/>
      <c r="BR77" s="30"/>
      <c r="BS77" s="30"/>
      <c r="BT77" s="30"/>
      <c r="BU77" s="30"/>
      <c r="BV77" s="30"/>
      <c r="IP77" s="30"/>
      <c r="IQ77" s="30"/>
      <c r="IR77" s="30"/>
      <c r="IS77" s="30"/>
      <c r="IT77" s="30"/>
      <c r="IU77" s="30"/>
      <c r="IV77" s="30"/>
    </row>
    <row r="78" spans="1:256" s="31" customFormat="1" ht="51">
      <c r="A78" s="370"/>
      <c r="B78" s="105">
        <v>76</v>
      </c>
      <c r="C78" s="108" t="s">
        <v>465</v>
      </c>
      <c r="D78" s="40">
        <v>44099</v>
      </c>
      <c r="E78" s="25">
        <v>50699</v>
      </c>
      <c r="F78" s="25">
        <v>160664</v>
      </c>
      <c r="G78" s="25">
        <v>21173</v>
      </c>
      <c r="H78" s="25">
        <v>48</v>
      </c>
      <c r="I78" s="25"/>
      <c r="J78" s="25">
        <v>380</v>
      </c>
      <c r="K78" s="25">
        <v>8</v>
      </c>
      <c r="L78" s="148" t="s">
        <v>52</v>
      </c>
      <c r="M78" s="148" t="s">
        <v>466</v>
      </c>
      <c r="N78" s="148" t="s">
        <v>467</v>
      </c>
      <c r="O78" s="148"/>
      <c r="P78" s="148" t="s">
        <v>279</v>
      </c>
      <c r="Q78" s="148" t="s">
        <v>279</v>
      </c>
      <c r="R78" s="148" t="s">
        <v>279</v>
      </c>
      <c r="S78" s="148" t="s">
        <v>385</v>
      </c>
      <c r="T78" s="25">
        <v>1</v>
      </c>
      <c r="U78" s="25">
        <v>1</v>
      </c>
      <c r="V78" s="25"/>
      <c r="W78" s="25"/>
      <c r="X78" s="148" t="s">
        <v>57</v>
      </c>
      <c r="Y78" s="25"/>
      <c r="Z78" s="25"/>
      <c r="AA78" s="25"/>
      <c r="AB78" s="25"/>
      <c r="AC78" s="25"/>
      <c r="AD78" s="25"/>
      <c r="AE78" s="183"/>
      <c r="AF78" s="183">
        <v>80</v>
      </c>
      <c r="AG78" s="183"/>
      <c r="AH78" s="183"/>
      <c r="AI78" s="183"/>
      <c r="AJ78" s="194">
        <v>100.35</v>
      </c>
      <c r="AK78" s="194">
        <v>375</v>
      </c>
      <c r="AL78" s="194">
        <f>+(AF78+AJ78)/AK78</f>
        <v>0.48093333333333332</v>
      </c>
      <c r="AM78" s="194">
        <f>+(AF78+AJ78)/AK78</f>
        <v>0.48093333333333332</v>
      </c>
      <c r="AN78" s="194">
        <f>+(6+15+4+18)/(3+5+1+3)</f>
        <v>3.5833333333333335</v>
      </c>
      <c r="AO78" s="263">
        <f>+AJ78*9693</f>
        <v>972692.54999999993</v>
      </c>
      <c r="AP78" s="292">
        <v>5613.62</v>
      </c>
      <c r="AQ78" s="313" t="s">
        <v>36</v>
      </c>
      <c r="AR78" s="34" t="s">
        <v>468</v>
      </c>
      <c r="AS78" s="337">
        <v>44106</v>
      </c>
      <c r="AT78" s="337"/>
      <c r="AU78" s="317" t="s">
        <v>469</v>
      </c>
      <c r="AV78" s="29"/>
      <c r="AW78" s="29"/>
      <c r="AX78" s="29"/>
      <c r="AY78" s="29"/>
      <c r="AZ78" s="29"/>
      <c r="BA78" s="29"/>
      <c r="BB78" s="29"/>
      <c r="BC78" s="29"/>
      <c r="BD78" s="29"/>
      <c r="BE78" s="29"/>
      <c r="BF78" s="29"/>
      <c r="BG78" s="30"/>
      <c r="BH78" s="30"/>
      <c r="BI78" s="30"/>
      <c r="BJ78" s="30"/>
      <c r="BK78" s="30"/>
      <c r="BL78" s="30"/>
      <c r="BM78" s="30"/>
      <c r="BN78" s="30"/>
      <c r="BO78" s="30"/>
      <c r="BP78" s="30"/>
      <c r="BQ78" s="30"/>
      <c r="BR78" s="30"/>
      <c r="BS78" s="30"/>
      <c r="BT78" s="30"/>
      <c r="BU78" s="30"/>
      <c r="BV78" s="30"/>
      <c r="IP78" s="30"/>
      <c r="IQ78" s="30"/>
      <c r="IR78" s="30"/>
      <c r="IS78" s="30"/>
      <c r="IT78" s="30"/>
      <c r="IU78" s="30"/>
      <c r="IV78" s="30"/>
    </row>
    <row r="79" spans="1:256" s="31" customFormat="1" ht="63.75">
      <c r="A79" s="370"/>
      <c r="B79" s="105">
        <v>77</v>
      </c>
      <c r="C79" s="108" t="s">
        <v>470</v>
      </c>
      <c r="D79" s="13">
        <v>44081</v>
      </c>
      <c r="E79" s="25">
        <v>53961</v>
      </c>
      <c r="F79" s="25">
        <v>163158</v>
      </c>
      <c r="G79" s="25">
        <v>21292</v>
      </c>
      <c r="H79" s="25">
        <v>27</v>
      </c>
      <c r="I79" s="25"/>
      <c r="J79" s="25">
        <v>311</v>
      </c>
      <c r="K79" s="25">
        <v>16</v>
      </c>
      <c r="L79" s="148" t="s">
        <v>52</v>
      </c>
      <c r="M79" s="148" t="s">
        <v>471</v>
      </c>
      <c r="N79" s="148" t="s">
        <v>472</v>
      </c>
      <c r="O79" s="148"/>
      <c r="P79" s="148" t="s">
        <v>391</v>
      </c>
      <c r="Q79" s="148" t="s">
        <v>391</v>
      </c>
      <c r="R79" s="148" t="s">
        <v>391</v>
      </c>
      <c r="S79" s="148" t="s">
        <v>152</v>
      </c>
      <c r="T79" s="25"/>
      <c r="U79" s="172">
        <v>1</v>
      </c>
      <c r="V79" s="25"/>
      <c r="W79" s="25"/>
      <c r="X79" s="148" t="s">
        <v>44</v>
      </c>
      <c r="Y79" s="25"/>
      <c r="Z79" s="26">
        <v>2</v>
      </c>
      <c r="AA79" s="25"/>
      <c r="AB79" s="26">
        <f>2+1</f>
        <v>3</v>
      </c>
      <c r="AC79" s="25"/>
      <c r="AD79" s="26">
        <f>+Z79*2</f>
        <v>4</v>
      </c>
      <c r="AE79" s="183"/>
      <c r="AF79" s="183"/>
      <c r="AG79" s="183"/>
      <c r="AH79" s="183"/>
      <c r="AI79" s="192">
        <f>94+17.33/2</f>
        <v>102.66499999999999</v>
      </c>
      <c r="AJ79" s="193"/>
      <c r="AK79" s="194">
        <v>300.74</v>
      </c>
      <c r="AL79" s="194">
        <f>+(94+17.33)/AK79</f>
        <v>0.37018687238145903</v>
      </c>
      <c r="AM79" s="194">
        <f>+AI79/AK79</f>
        <v>0.3413746092970672</v>
      </c>
      <c r="AN79" s="194"/>
      <c r="AO79" s="263">
        <f>+(7*16157+12923*7+9693*7)/21*AI79</f>
        <v>1326876.6816666666</v>
      </c>
      <c r="AP79" s="292">
        <v>5553.01</v>
      </c>
      <c r="AQ79" s="313" t="s">
        <v>36</v>
      </c>
      <c r="AR79" s="34" t="s">
        <v>473</v>
      </c>
      <c r="AS79" s="337">
        <v>44111</v>
      </c>
      <c r="AT79" s="337"/>
      <c r="AU79" s="317" t="s">
        <v>474</v>
      </c>
      <c r="AV79" s="29"/>
      <c r="AW79" s="29"/>
      <c r="AX79" s="29"/>
      <c r="AY79" s="29"/>
      <c r="AZ79" s="29"/>
      <c r="BA79" s="29"/>
      <c r="BB79" s="29"/>
      <c r="BC79" s="29"/>
      <c r="BD79" s="29"/>
      <c r="BE79" s="29"/>
      <c r="BF79" s="29"/>
      <c r="BG79" s="30"/>
      <c r="BH79" s="30"/>
      <c r="BI79" s="30"/>
      <c r="BJ79" s="30"/>
      <c r="BK79" s="30"/>
      <c r="BL79" s="30"/>
      <c r="BM79" s="30"/>
      <c r="BN79" s="30"/>
      <c r="BO79" s="30"/>
      <c r="BP79" s="30"/>
      <c r="BQ79" s="30"/>
      <c r="BR79" s="30"/>
      <c r="BS79" s="30"/>
      <c r="BT79" s="30"/>
      <c r="BU79" s="30"/>
      <c r="BV79" s="30"/>
      <c r="IP79" s="30"/>
      <c r="IQ79" s="30"/>
      <c r="IR79" s="30"/>
      <c r="IS79" s="30"/>
      <c r="IT79" s="30"/>
      <c r="IU79" s="30"/>
      <c r="IV79" s="30"/>
    </row>
    <row r="80" spans="1:256" s="31" customFormat="1" ht="102">
      <c r="A80" s="370"/>
      <c r="B80" s="105">
        <v>78</v>
      </c>
      <c r="C80" s="113">
        <v>523395</v>
      </c>
      <c r="D80" s="40" t="s">
        <v>475</v>
      </c>
      <c r="E80" s="25">
        <v>51894</v>
      </c>
      <c r="F80" s="25">
        <v>161666</v>
      </c>
      <c r="G80" s="25">
        <v>9737</v>
      </c>
      <c r="H80" s="25"/>
      <c r="I80" s="25"/>
      <c r="J80" s="25">
        <v>818</v>
      </c>
      <c r="K80" s="25">
        <v>14</v>
      </c>
      <c r="L80" s="148" t="s">
        <v>476</v>
      </c>
      <c r="M80" s="148" t="s">
        <v>477</v>
      </c>
      <c r="N80" s="148" t="s">
        <v>478</v>
      </c>
      <c r="O80" s="148"/>
      <c r="P80" s="148" t="s">
        <v>159</v>
      </c>
      <c r="Q80" s="148" t="s">
        <v>159</v>
      </c>
      <c r="R80" s="148" t="s">
        <v>159</v>
      </c>
      <c r="S80" s="148" t="s">
        <v>479</v>
      </c>
      <c r="T80" s="25"/>
      <c r="U80" s="25">
        <v>1</v>
      </c>
      <c r="V80" s="25"/>
      <c r="W80" s="25"/>
      <c r="X80" s="148" t="s">
        <v>480</v>
      </c>
      <c r="Y80" s="25"/>
      <c r="Z80" s="25"/>
      <c r="AA80" s="25"/>
      <c r="AB80" s="25"/>
      <c r="AC80" s="25"/>
      <c r="AD80" s="25"/>
      <c r="AE80" s="183"/>
      <c r="AF80" s="183"/>
      <c r="AG80" s="183"/>
      <c r="AH80" s="183"/>
      <c r="AI80" s="183"/>
      <c r="AJ80" s="194">
        <v>263.89999999999998</v>
      </c>
      <c r="AK80" s="194">
        <v>263.89999999999998</v>
      </c>
      <c r="AL80" s="194">
        <f>+AJ80/AK80</f>
        <v>1</v>
      </c>
      <c r="AM80" s="194">
        <f>+AJ80/AK80</f>
        <v>1</v>
      </c>
      <c r="AN80" s="194">
        <f>+(4+4+15+38)/(2+1+3+12)</f>
        <v>3.3888888888888888</v>
      </c>
      <c r="AO80" s="263"/>
      <c r="AP80" s="292">
        <v>8535.9599999999991</v>
      </c>
      <c r="AQ80" s="313" t="s">
        <v>36</v>
      </c>
      <c r="AR80" s="34" t="s">
        <v>481</v>
      </c>
      <c r="AS80" s="337">
        <v>44112</v>
      </c>
      <c r="AT80" s="337"/>
      <c r="AU80" s="317" t="s">
        <v>482</v>
      </c>
      <c r="AV80" s="29"/>
      <c r="AW80" s="29"/>
      <c r="AX80" s="29"/>
      <c r="AY80" s="29"/>
      <c r="AZ80" s="29"/>
      <c r="BA80" s="29"/>
      <c r="BB80" s="29"/>
      <c r="BC80" s="29"/>
      <c r="BD80" s="29"/>
      <c r="BE80" s="29"/>
      <c r="BF80" s="29"/>
      <c r="BG80" s="30"/>
      <c r="BH80" s="30"/>
      <c r="BI80" s="30"/>
      <c r="BJ80" s="30"/>
      <c r="BK80" s="30"/>
      <c r="BL80" s="30"/>
      <c r="BM80" s="30"/>
      <c r="BN80" s="30"/>
      <c r="BO80" s="30"/>
      <c r="BP80" s="30"/>
      <c r="BQ80" s="30"/>
      <c r="BR80" s="30"/>
      <c r="BS80" s="30"/>
      <c r="BT80" s="30"/>
      <c r="BU80" s="30"/>
      <c r="BV80" s="30"/>
      <c r="IP80" s="30"/>
      <c r="IQ80" s="30"/>
      <c r="IR80" s="30"/>
      <c r="IS80" s="30"/>
      <c r="IT80" s="30"/>
      <c r="IU80" s="30"/>
      <c r="IV80" s="30"/>
    </row>
    <row r="81" spans="1:256" s="31" customFormat="1" ht="38.25">
      <c r="A81" s="370"/>
      <c r="B81" s="105">
        <v>79</v>
      </c>
      <c r="C81" s="25">
        <v>520952</v>
      </c>
      <c r="D81" s="10">
        <v>43903</v>
      </c>
      <c r="E81" s="25">
        <v>9825</v>
      </c>
      <c r="F81" s="25">
        <v>101863</v>
      </c>
      <c r="G81" s="25">
        <v>373</v>
      </c>
      <c r="H81" s="25"/>
      <c r="I81" s="25"/>
      <c r="J81" s="25">
        <v>158</v>
      </c>
      <c r="K81" s="25">
        <v>18</v>
      </c>
      <c r="L81" s="148" t="s">
        <v>86</v>
      </c>
      <c r="M81" s="148" t="s">
        <v>483</v>
      </c>
      <c r="N81" s="148" t="s">
        <v>484</v>
      </c>
      <c r="O81" s="148"/>
      <c r="P81" s="148" t="s">
        <v>485</v>
      </c>
      <c r="Q81" s="148"/>
      <c r="R81" s="148"/>
      <c r="S81" s="148"/>
      <c r="T81" s="25">
        <v>1</v>
      </c>
      <c r="U81" s="172"/>
      <c r="V81" s="25"/>
      <c r="W81" s="25"/>
      <c r="X81" s="148" t="s">
        <v>366</v>
      </c>
      <c r="Y81" s="25"/>
      <c r="Z81" s="26"/>
      <c r="AA81" s="25"/>
      <c r="AB81" s="26"/>
      <c r="AC81" s="25"/>
      <c r="AD81" s="26"/>
      <c r="AE81" s="183"/>
      <c r="AF81" s="183"/>
      <c r="AG81" s="183"/>
      <c r="AH81" s="197">
        <f>80.6+6.1/2</f>
        <v>83.649999999999991</v>
      </c>
      <c r="AI81" s="198"/>
      <c r="AJ81" s="198"/>
      <c r="AK81" s="197">
        <v>86.67</v>
      </c>
      <c r="AL81" s="197">
        <f>+(80.6+6.1)/AK81</f>
        <v>1.0003461405330563</v>
      </c>
      <c r="AM81" s="197">
        <f>+AH81/AK81</f>
        <v>0.96515518633898689</v>
      </c>
      <c r="AN81" s="197">
        <f>+(12+12+12)/(4+3+2)</f>
        <v>4</v>
      </c>
      <c r="AO81" s="275">
        <f>+AH81*12923</f>
        <v>1081008.95</v>
      </c>
      <c r="AP81" s="276">
        <v>15639.43</v>
      </c>
      <c r="AQ81" s="178" t="s">
        <v>36</v>
      </c>
      <c r="AR81" s="28" t="s">
        <v>486</v>
      </c>
      <c r="AS81" s="340">
        <v>44112</v>
      </c>
      <c r="AT81" s="355"/>
      <c r="AU81" s="317" t="s">
        <v>487</v>
      </c>
      <c r="AV81" s="39"/>
      <c r="AW81" s="39"/>
      <c r="AX81" s="39"/>
      <c r="AY81" s="39"/>
      <c r="AZ81" s="39"/>
      <c r="BA81" s="39"/>
      <c r="BB81" s="39"/>
      <c r="BC81" s="39"/>
      <c r="BD81" s="39"/>
      <c r="BE81" s="30"/>
      <c r="BF81" s="30"/>
      <c r="BG81" s="30"/>
      <c r="BH81" s="30"/>
      <c r="BI81" s="30"/>
      <c r="BJ81" s="30"/>
      <c r="BK81" s="30"/>
      <c r="BL81" s="30"/>
      <c r="BM81" s="30"/>
      <c r="BN81" s="30"/>
      <c r="BO81" s="30"/>
      <c r="BP81" s="30"/>
      <c r="BQ81" s="30"/>
      <c r="BR81" s="30"/>
      <c r="BS81" s="30"/>
      <c r="BT81" s="30"/>
      <c r="IN81" s="30"/>
      <c r="IO81" s="30"/>
      <c r="IP81" s="30"/>
      <c r="IQ81" s="30"/>
      <c r="IR81" s="30"/>
      <c r="IS81" s="30"/>
      <c r="IT81" s="30"/>
      <c r="IU81" s="30"/>
      <c r="IV81" s="30"/>
    </row>
    <row r="82" spans="1:256" s="31" customFormat="1" ht="63.75">
      <c r="A82" s="370"/>
      <c r="B82" s="105">
        <v>80</v>
      </c>
      <c r="C82" s="108" t="s">
        <v>488</v>
      </c>
      <c r="D82" s="13">
        <v>44047</v>
      </c>
      <c r="E82" s="139">
        <v>56876</v>
      </c>
      <c r="F82" s="139">
        <v>165500</v>
      </c>
      <c r="G82" s="139">
        <v>33655</v>
      </c>
      <c r="H82" s="25">
        <v>3</v>
      </c>
      <c r="I82" s="25"/>
      <c r="J82" s="25">
        <v>2</v>
      </c>
      <c r="K82" s="139">
        <v>21</v>
      </c>
      <c r="L82" s="148" t="s">
        <v>381</v>
      </c>
      <c r="M82" s="148" t="s">
        <v>489</v>
      </c>
      <c r="N82" s="148" t="s">
        <v>490</v>
      </c>
      <c r="O82" s="148"/>
      <c r="P82" s="148" t="s">
        <v>491</v>
      </c>
      <c r="Q82" s="148" t="s">
        <v>491</v>
      </c>
      <c r="R82" s="148" t="s">
        <v>254</v>
      </c>
      <c r="S82" s="148" t="s">
        <v>492</v>
      </c>
      <c r="T82" s="25"/>
      <c r="U82" s="172">
        <v>1</v>
      </c>
      <c r="V82" s="25"/>
      <c r="W82" s="25"/>
      <c r="X82" s="148" t="s">
        <v>44</v>
      </c>
      <c r="Y82" s="25"/>
      <c r="Z82" s="26">
        <v>3</v>
      </c>
      <c r="AA82" s="25"/>
      <c r="AB82" s="26">
        <f>+Z82+1</f>
        <v>4</v>
      </c>
      <c r="AC82" s="25"/>
      <c r="AD82" s="26">
        <f>+Z82*2</f>
        <v>6</v>
      </c>
      <c r="AE82" s="183"/>
      <c r="AF82" s="183"/>
      <c r="AG82" s="183"/>
      <c r="AH82" s="183"/>
      <c r="AI82" s="192">
        <f>89.17+84.33/2+41.71</f>
        <v>173.04500000000002</v>
      </c>
      <c r="AJ82" s="193"/>
      <c r="AK82" s="194">
        <v>979.09</v>
      </c>
      <c r="AL82" s="194">
        <f>+(89.17+84.33)/AK82</f>
        <v>0.17720536416468352</v>
      </c>
      <c r="AM82" s="194">
        <f>+AI82/AK82</f>
        <v>0.17674064692724878</v>
      </c>
      <c r="AN82" s="194">
        <f>+(2+10+4+5)/(2+5+1+1)</f>
        <v>2.3333333333333335</v>
      </c>
      <c r="AO82" s="263">
        <f>+(13*6157+4*12923+4*9693)/22*AI82</f>
        <v>1341138.0784090911</v>
      </c>
      <c r="AP82" s="292">
        <v>11486.75</v>
      </c>
      <c r="AQ82" s="313" t="s">
        <v>36</v>
      </c>
      <c r="AR82" s="34" t="s">
        <v>387</v>
      </c>
      <c r="AS82" s="337">
        <v>44113</v>
      </c>
      <c r="AT82" s="337"/>
      <c r="AU82" s="317" t="s">
        <v>493</v>
      </c>
      <c r="AV82" s="29"/>
      <c r="AW82" s="29"/>
      <c r="AX82" s="29"/>
      <c r="AY82" s="29"/>
      <c r="AZ82" s="29"/>
      <c r="BA82" s="29"/>
      <c r="BB82" s="29"/>
      <c r="BC82" s="29"/>
      <c r="BD82" s="29"/>
      <c r="BE82" s="29"/>
      <c r="BF82" s="29"/>
      <c r="BG82" s="30"/>
      <c r="BH82" s="30"/>
      <c r="BI82" s="30"/>
      <c r="BJ82" s="30"/>
      <c r="BK82" s="30"/>
      <c r="BL82" s="30"/>
      <c r="BM82" s="30"/>
      <c r="BN82" s="30"/>
      <c r="BO82" s="30"/>
      <c r="BP82" s="30"/>
      <c r="BQ82" s="30"/>
      <c r="BR82" s="30"/>
      <c r="BS82" s="30"/>
      <c r="BT82" s="30"/>
      <c r="BU82" s="30"/>
      <c r="BV82" s="30"/>
      <c r="IP82" s="30"/>
      <c r="IQ82" s="30"/>
      <c r="IR82" s="30"/>
      <c r="IS82" s="30"/>
      <c r="IT82" s="30"/>
      <c r="IU82" s="30"/>
      <c r="IV82" s="30"/>
    </row>
    <row r="83" spans="1:256" s="31" customFormat="1" ht="51">
      <c r="A83" s="370"/>
      <c r="B83" s="105">
        <v>81</v>
      </c>
      <c r="C83" s="108">
        <v>523524</v>
      </c>
      <c r="D83" s="13">
        <v>44077</v>
      </c>
      <c r="E83" s="25"/>
      <c r="F83" s="25">
        <v>162043</v>
      </c>
      <c r="G83" s="25">
        <v>33122</v>
      </c>
      <c r="H83" s="25">
        <v>310</v>
      </c>
      <c r="I83" s="25"/>
      <c r="J83" s="25">
        <v>1</v>
      </c>
      <c r="K83" s="25">
        <v>17</v>
      </c>
      <c r="L83" s="148" t="s">
        <v>39</v>
      </c>
      <c r="M83" s="148" t="s">
        <v>494</v>
      </c>
      <c r="N83" s="148" t="s">
        <v>495</v>
      </c>
      <c r="O83" s="148"/>
      <c r="P83" s="148" t="s">
        <v>496</v>
      </c>
      <c r="Q83" s="148" t="s">
        <v>496</v>
      </c>
      <c r="R83" s="148" t="s">
        <v>496</v>
      </c>
      <c r="S83" s="148" t="s">
        <v>497</v>
      </c>
      <c r="T83" s="25"/>
      <c r="U83" s="172">
        <v>1</v>
      </c>
      <c r="V83" s="25"/>
      <c r="W83" s="25"/>
      <c r="X83" s="148" t="s">
        <v>44</v>
      </c>
      <c r="Y83" s="25"/>
      <c r="Z83" s="26">
        <v>2</v>
      </c>
      <c r="AA83" s="25"/>
      <c r="AB83" s="26">
        <f>2+1</f>
        <v>3</v>
      </c>
      <c r="AC83" s="25"/>
      <c r="AD83" s="26">
        <f>+Z83*2</f>
        <v>4</v>
      </c>
      <c r="AE83" s="183"/>
      <c r="AF83" s="183"/>
      <c r="AG83" s="183"/>
      <c r="AH83" s="183"/>
      <c r="AI83" s="192">
        <f>164.4+151.3/2</f>
        <v>240.05</v>
      </c>
      <c r="AJ83" s="193"/>
      <c r="AK83" s="194">
        <v>1371.39</v>
      </c>
      <c r="AL83" s="194">
        <f>+(164.4+15.5+135.8)/AK83</f>
        <v>0.23020439116516819</v>
      </c>
      <c r="AM83" s="194">
        <f>+AI83/AK83</f>
        <v>0.17504138137218442</v>
      </c>
      <c r="AN83" s="194">
        <f>+(2+24)/(1+8)</f>
        <v>2.8888888888888888</v>
      </c>
      <c r="AO83" s="263">
        <f>+(7*16157+12923*6+7*9693+6462)/21*AI83</f>
        <v>3028630.8333333335</v>
      </c>
      <c r="AP83" s="292">
        <v>12307.48</v>
      </c>
      <c r="AQ83" s="313" t="s">
        <v>36</v>
      </c>
      <c r="AR83" s="34" t="s">
        <v>498</v>
      </c>
      <c r="AS83" s="337">
        <v>44113</v>
      </c>
      <c r="AT83" s="337"/>
      <c r="AU83" s="317" t="s">
        <v>499</v>
      </c>
      <c r="AV83" s="29"/>
      <c r="AW83" s="29"/>
      <c r="AX83" s="29"/>
      <c r="AY83" s="29"/>
      <c r="AZ83" s="29"/>
      <c r="BA83" s="29"/>
      <c r="BB83" s="29"/>
      <c r="BC83" s="29"/>
      <c r="BD83" s="29"/>
      <c r="BE83" s="29"/>
      <c r="BF83" s="29"/>
      <c r="BG83" s="30"/>
      <c r="BH83" s="30"/>
      <c r="BI83" s="30"/>
      <c r="BJ83" s="30"/>
      <c r="BK83" s="30"/>
      <c r="BL83" s="30"/>
      <c r="BM83" s="30"/>
      <c r="BN83" s="30"/>
      <c r="BO83" s="30"/>
      <c r="BP83" s="30"/>
      <c r="BQ83" s="30"/>
      <c r="BR83" s="30"/>
      <c r="BS83" s="30"/>
      <c r="BT83" s="30"/>
      <c r="BU83" s="30"/>
      <c r="BV83" s="30"/>
      <c r="IP83" s="30"/>
      <c r="IQ83" s="30"/>
      <c r="IR83" s="30"/>
      <c r="IS83" s="30"/>
      <c r="IT83" s="30"/>
      <c r="IU83" s="30"/>
      <c r="IV83" s="30"/>
    </row>
    <row r="84" spans="1:256" s="31" customFormat="1" ht="51">
      <c r="A84" s="370"/>
      <c r="B84" s="105">
        <v>82</v>
      </c>
      <c r="C84" s="108" t="s">
        <v>500</v>
      </c>
      <c r="D84" s="13">
        <v>44099</v>
      </c>
      <c r="E84" s="25">
        <v>56003</v>
      </c>
      <c r="F84" s="25">
        <v>164771</v>
      </c>
      <c r="G84" s="25">
        <v>10154</v>
      </c>
      <c r="H84" s="25"/>
      <c r="I84" s="25"/>
      <c r="J84" s="25">
        <v>484</v>
      </c>
      <c r="K84" s="25">
        <v>28</v>
      </c>
      <c r="L84" s="148" t="s">
        <v>31</v>
      </c>
      <c r="M84" s="148" t="s">
        <v>501</v>
      </c>
      <c r="N84" s="148" t="s">
        <v>502</v>
      </c>
      <c r="O84" s="148"/>
      <c r="P84" s="148" t="s">
        <v>503</v>
      </c>
      <c r="Q84" s="148" t="s">
        <v>503</v>
      </c>
      <c r="R84" s="148" t="s">
        <v>503</v>
      </c>
      <c r="S84" s="148" t="s">
        <v>385</v>
      </c>
      <c r="T84" s="25"/>
      <c r="U84" s="172">
        <v>2</v>
      </c>
      <c r="V84" s="25"/>
      <c r="W84" s="25"/>
      <c r="X84" s="148" t="s">
        <v>96</v>
      </c>
      <c r="Y84" s="25"/>
      <c r="Z84" s="26">
        <f>2+2</f>
        <v>4</v>
      </c>
      <c r="AA84" s="25"/>
      <c r="AB84" s="26">
        <f>+Z84+2</f>
        <v>6</v>
      </c>
      <c r="AC84" s="25"/>
      <c r="AD84" s="26">
        <f>+Z84*2</f>
        <v>8</v>
      </c>
      <c r="AE84" s="183"/>
      <c r="AF84" s="183"/>
      <c r="AG84" s="183"/>
      <c r="AH84" s="183"/>
      <c r="AI84" s="192">
        <f>63.84+9.5/2+73.44</f>
        <v>142.03</v>
      </c>
      <c r="AJ84" s="193"/>
      <c r="AK84" s="194">
        <v>178.56</v>
      </c>
      <c r="AL84" s="194">
        <f>+(63.84+9.6)/AK84</f>
        <v>0.41129032258064513</v>
      </c>
      <c r="AM84" s="194">
        <f>+AI84/AK84</f>
        <v>0.7954189068100358</v>
      </c>
      <c r="AN84" s="194"/>
      <c r="AO84" s="263">
        <f>+(2*16157+5*12923+9693*12+4*6462)/23*AI84</f>
        <v>1476451.2517391304</v>
      </c>
      <c r="AP84" s="292">
        <v>6817.2</v>
      </c>
      <c r="AQ84" s="313" t="s">
        <v>386</v>
      </c>
      <c r="AR84" s="34" t="s">
        <v>504</v>
      </c>
      <c r="AS84" s="337">
        <v>44118</v>
      </c>
      <c r="AT84" s="337"/>
      <c r="AU84" s="317" t="s">
        <v>505</v>
      </c>
      <c r="AV84" s="29"/>
      <c r="AW84" s="29"/>
      <c r="AX84" s="29"/>
      <c r="AY84" s="29"/>
      <c r="AZ84" s="29"/>
      <c r="BA84" s="29"/>
      <c r="BB84" s="29"/>
      <c r="BC84" s="29"/>
      <c r="BD84" s="29"/>
      <c r="BE84" s="29"/>
      <c r="BF84" s="29"/>
      <c r="BG84" s="30"/>
      <c r="BH84" s="30"/>
      <c r="BI84" s="30"/>
      <c r="BJ84" s="30"/>
      <c r="BK84" s="30"/>
      <c r="BL84" s="30"/>
      <c r="BM84" s="30"/>
      <c r="BN84" s="30"/>
      <c r="BO84" s="30"/>
      <c r="BP84" s="30"/>
      <c r="BQ84" s="30"/>
      <c r="BR84" s="30"/>
      <c r="BS84" s="30"/>
      <c r="BT84" s="30"/>
      <c r="BU84" s="30"/>
      <c r="BV84" s="30"/>
      <c r="IP84" s="30"/>
      <c r="IQ84" s="30"/>
      <c r="IR84" s="30"/>
      <c r="IS84" s="30"/>
      <c r="IT84" s="30"/>
      <c r="IU84" s="30"/>
      <c r="IV84" s="30"/>
    </row>
    <row r="85" spans="1:256" s="31" customFormat="1" ht="127.5">
      <c r="A85" s="370"/>
      <c r="B85" s="105">
        <v>83</v>
      </c>
      <c r="C85" s="108" t="s">
        <v>506</v>
      </c>
      <c r="D85" s="13">
        <v>44047</v>
      </c>
      <c r="E85" s="25">
        <v>2399</v>
      </c>
      <c r="F85" s="25">
        <v>50670</v>
      </c>
      <c r="G85" s="25">
        <v>218</v>
      </c>
      <c r="H85" s="25"/>
      <c r="I85" s="25"/>
      <c r="J85" s="25">
        <v>633</v>
      </c>
      <c r="K85" s="25">
        <v>10</v>
      </c>
      <c r="L85" s="148" t="s">
        <v>99</v>
      </c>
      <c r="M85" s="148" t="s">
        <v>507</v>
      </c>
      <c r="N85" s="148" t="s">
        <v>508</v>
      </c>
      <c r="O85" s="148"/>
      <c r="P85" s="148" t="s">
        <v>89</v>
      </c>
      <c r="Q85" s="148"/>
      <c r="R85" s="148"/>
      <c r="S85" s="148"/>
      <c r="T85" s="25">
        <v>3</v>
      </c>
      <c r="U85" s="172"/>
      <c r="V85" s="25"/>
      <c r="W85" s="25"/>
      <c r="X85" s="148" t="s">
        <v>509</v>
      </c>
      <c r="Y85" s="25">
        <f>2+2</f>
        <v>4</v>
      </c>
      <c r="Z85" s="26"/>
      <c r="AA85" s="25">
        <f>+Y85+1+1</f>
        <v>6</v>
      </c>
      <c r="AB85" s="26"/>
      <c r="AC85" s="25">
        <f>+Y85*2</f>
        <v>8</v>
      </c>
      <c r="AD85" s="26"/>
      <c r="AE85" s="183">
        <f>80.34+22.36/2</f>
        <v>91.52000000000001</v>
      </c>
      <c r="AF85" s="183"/>
      <c r="AG85" s="183">
        <f>+(45.43+3.35+10.75/2+2.39/2+4.92/2+4.3/2+33.34)+(48.83+5.31)</f>
        <v>147.44</v>
      </c>
      <c r="AH85" s="183">
        <f>71.97-33.34</f>
        <v>38.629999999999995</v>
      </c>
      <c r="AI85" s="192"/>
      <c r="AJ85" s="193"/>
      <c r="AK85" s="194">
        <v>241.57</v>
      </c>
      <c r="AL85" s="194">
        <f>+(45.43+10.75+2.39+35.45+71.97+4.92+3.35+4.3)/AK85</f>
        <v>0.73916463136978927</v>
      </c>
      <c r="AM85" s="194">
        <f>+(AE85+AG85+AH85)/AK85</f>
        <v>1.1491079190296809</v>
      </c>
      <c r="AN85" s="194"/>
      <c r="AO85" s="263">
        <f>+(5*16157+4*12923+9693*8+4*6462)/21*AG85+(AH85*12923)</f>
        <v>2155240.5071428572</v>
      </c>
      <c r="AP85" s="292">
        <v>29894.02</v>
      </c>
      <c r="AQ85" s="313" t="s">
        <v>211</v>
      </c>
      <c r="AR85" s="34" t="s">
        <v>510</v>
      </c>
      <c r="AS85" s="337">
        <v>44120</v>
      </c>
      <c r="AT85" s="337"/>
      <c r="AU85" s="317" t="s">
        <v>511</v>
      </c>
      <c r="AV85" s="29"/>
      <c r="AW85" s="29"/>
      <c r="AX85" s="29"/>
      <c r="AY85" s="29"/>
      <c r="AZ85" s="29"/>
      <c r="BA85" s="29"/>
      <c r="BB85" s="29"/>
      <c r="BC85" s="29"/>
      <c r="BD85" s="29"/>
      <c r="BE85" s="29"/>
      <c r="BF85" s="29"/>
      <c r="BG85" s="30"/>
      <c r="BH85" s="30"/>
      <c r="BI85" s="30"/>
      <c r="BJ85" s="30"/>
      <c r="BK85" s="30"/>
      <c r="BL85" s="30"/>
      <c r="BM85" s="30"/>
      <c r="BN85" s="30"/>
      <c r="BO85" s="30"/>
      <c r="BP85" s="30"/>
      <c r="BQ85" s="30"/>
      <c r="BR85" s="30"/>
      <c r="BS85" s="30"/>
      <c r="BT85" s="30"/>
      <c r="BU85" s="30"/>
      <c r="BV85" s="30"/>
      <c r="IP85" s="30"/>
      <c r="IQ85" s="30"/>
      <c r="IR85" s="30"/>
      <c r="IS85" s="30"/>
      <c r="IT85" s="30"/>
      <c r="IU85" s="30"/>
      <c r="IV85" s="30"/>
    </row>
    <row r="86" spans="1:256" s="31" customFormat="1" ht="51">
      <c r="A86" s="370"/>
      <c r="B86" s="105">
        <v>84</v>
      </c>
      <c r="C86" s="108">
        <v>524340</v>
      </c>
      <c r="D86" s="13">
        <v>44106</v>
      </c>
      <c r="E86" s="25">
        <v>47760</v>
      </c>
      <c r="F86" s="25">
        <v>158434</v>
      </c>
      <c r="G86" s="25">
        <v>32492</v>
      </c>
      <c r="H86" s="25">
        <v>331</v>
      </c>
      <c r="I86" s="25"/>
      <c r="J86" s="25">
        <v>2</v>
      </c>
      <c r="K86" s="25">
        <v>1</v>
      </c>
      <c r="L86" s="148" t="s">
        <v>512</v>
      </c>
      <c r="M86" s="148" t="s">
        <v>220</v>
      </c>
      <c r="N86" s="148" t="s">
        <v>513</v>
      </c>
      <c r="O86" s="148"/>
      <c r="P86" s="148" t="s">
        <v>514</v>
      </c>
      <c r="Q86" s="148" t="s">
        <v>514</v>
      </c>
      <c r="R86" s="148" t="s">
        <v>514</v>
      </c>
      <c r="S86" s="148" t="s">
        <v>197</v>
      </c>
      <c r="T86" s="25"/>
      <c r="U86" s="172">
        <v>1</v>
      </c>
      <c r="V86" s="25"/>
      <c r="W86" s="25"/>
      <c r="X86" s="148" t="s">
        <v>44</v>
      </c>
      <c r="Y86" s="25"/>
      <c r="Z86" s="26">
        <v>3</v>
      </c>
      <c r="AA86" s="25"/>
      <c r="AB86" s="26">
        <f>+Z86+1</f>
        <v>4</v>
      </c>
      <c r="AC86" s="25"/>
      <c r="AD86" s="26">
        <f>+Z86*2</f>
        <v>6</v>
      </c>
      <c r="AE86" s="183"/>
      <c r="AF86" s="183"/>
      <c r="AG86" s="183"/>
      <c r="AH86" s="183"/>
      <c r="AI86" s="192">
        <v>108.02</v>
      </c>
      <c r="AJ86" s="193"/>
      <c r="AK86" s="194">
        <v>879.98</v>
      </c>
      <c r="AL86" s="194">
        <f>+AI86/AK86</f>
        <v>0.12275278983613264</v>
      </c>
      <c r="AM86" s="194">
        <f>+AI86/AK86</f>
        <v>0.12275278983613264</v>
      </c>
      <c r="AN86" s="194"/>
      <c r="AO86" s="263">
        <f>+(7*16157+12923*10+2*9693+2*6462)/21*(AI86)</f>
        <v>1412690.7038095237</v>
      </c>
      <c r="AP86" s="292">
        <v>4577.2299999999996</v>
      </c>
      <c r="AQ86" s="313" t="s">
        <v>65</v>
      </c>
      <c r="AR86" s="34" t="s">
        <v>515</v>
      </c>
      <c r="AS86" s="337">
        <v>44124</v>
      </c>
      <c r="AT86" s="337"/>
      <c r="AU86" s="317" t="s">
        <v>516</v>
      </c>
      <c r="AV86" s="29"/>
      <c r="AW86" s="29"/>
      <c r="AX86" s="29"/>
      <c r="AY86" s="29"/>
      <c r="AZ86" s="29"/>
      <c r="BA86" s="29"/>
      <c r="BB86" s="29"/>
      <c r="BC86" s="29"/>
      <c r="BD86" s="29"/>
      <c r="BE86" s="29"/>
      <c r="BF86" s="29"/>
      <c r="BG86" s="30"/>
      <c r="BH86" s="30"/>
      <c r="BI86" s="30"/>
      <c r="BJ86" s="30"/>
      <c r="BK86" s="30"/>
      <c r="BL86" s="30"/>
      <c r="BM86" s="30"/>
      <c r="BN86" s="30"/>
      <c r="BO86" s="30"/>
      <c r="BP86" s="30"/>
      <c r="BQ86" s="30"/>
      <c r="BR86" s="30"/>
      <c r="BS86" s="30"/>
      <c r="BT86" s="30"/>
      <c r="BU86" s="30"/>
      <c r="BV86" s="30"/>
      <c r="IP86" s="30"/>
      <c r="IQ86" s="30"/>
      <c r="IR86" s="30"/>
      <c r="IS86" s="30"/>
      <c r="IT86" s="30"/>
      <c r="IU86" s="30"/>
      <c r="IV86" s="30"/>
    </row>
    <row r="87" spans="1:256" s="31" customFormat="1" ht="63.75">
      <c r="A87" s="370"/>
      <c r="B87" s="105">
        <v>85</v>
      </c>
      <c r="C87" s="108" t="s">
        <v>517</v>
      </c>
      <c r="D87" s="13">
        <v>44077</v>
      </c>
      <c r="E87" s="25">
        <v>58344</v>
      </c>
      <c r="F87" s="25">
        <v>158863</v>
      </c>
      <c r="G87" s="25">
        <v>32488</v>
      </c>
      <c r="H87" s="25">
        <v>310</v>
      </c>
      <c r="I87" s="25"/>
      <c r="J87" s="25">
        <v>2</v>
      </c>
      <c r="K87" s="25">
        <v>13</v>
      </c>
      <c r="L87" s="148" t="s">
        <v>39</v>
      </c>
      <c r="M87" s="148" t="s">
        <v>220</v>
      </c>
      <c r="N87" s="148" t="s">
        <v>518</v>
      </c>
      <c r="O87" s="148"/>
      <c r="P87" s="148" t="s">
        <v>436</v>
      </c>
      <c r="Q87" s="148" t="s">
        <v>436</v>
      </c>
      <c r="R87" s="148" t="s">
        <v>436</v>
      </c>
      <c r="S87" s="148" t="s">
        <v>519</v>
      </c>
      <c r="T87" s="25"/>
      <c r="U87" s="172">
        <v>1</v>
      </c>
      <c r="V87" s="25"/>
      <c r="W87" s="25"/>
      <c r="X87" s="148" t="s">
        <v>44</v>
      </c>
      <c r="Y87" s="25"/>
      <c r="Z87" s="26">
        <v>3</v>
      </c>
      <c r="AA87" s="25"/>
      <c r="AB87" s="26">
        <f>+Z87+2</f>
        <v>5</v>
      </c>
      <c r="AC87" s="25"/>
      <c r="AD87" s="26">
        <f>+Z87*2</f>
        <v>6</v>
      </c>
      <c r="AE87" s="183"/>
      <c r="AF87" s="183"/>
      <c r="AG87" s="183"/>
      <c r="AH87" s="183"/>
      <c r="AI87" s="220">
        <f>141.94+86.37/2</f>
        <v>185.125</v>
      </c>
      <c r="AJ87" s="193"/>
      <c r="AK87" s="194">
        <v>1000</v>
      </c>
      <c r="AL87" s="194">
        <f>(141.94+86.37)/AK87</f>
        <v>0.22831000000000001</v>
      </c>
      <c r="AM87" s="194">
        <f>+AI87/AK87</f>
        <v>0.18512500000000001</v>
      </c>
      <c r="AN87" s="194"/>
      <c r="AO87" s="263">
        <f>+(16157*7+12923*4+7*9693+3*6462)/21*AI87</f>
        <v>2221746.8333333335</v>
      </c>
      <c r="AP87" s="292">
        <v>8178.96</v>
      </c>
      <c r="AQ87" s="313" t="s">
        <v>36</v>
      </c>
      <c r="AR87" s="34" t="s">
        <v>520</v>
      </c>
      <c r="AS87" s="337">
        <v>44126</v>
      </c>
      <c r="AT87" s="337"/>
      <c r="AU87" s="317" t="s">
        <v>521</v>
      </c>
      <c r="AV87" s="29"/>
      <c r="AW87" s="29"/>
      <c r="AX87" s="29"/>
      <c r="AY87" s="29"/>
      <c r="AZ87" s="29"/>
      <c r="BA87" s="29"/>
      <c r="BB87" s="29"/>
      <c r="BC87" s="29"/>
      <c r="BD87" s="29"/>
      <c r="BE87" s="29"/>
      <c r="BF87" s="29"/>
      <c r="BG87" s="30"/>
      <c r="BH87" s="30"/>
      <c r="BI87" s="30"/>
      <c r="BJ87" s="30"/>
      <c r="BK87" s="30"/>
      <c r="BL87" s="30"/>
      <c r="BM87" s="30"/>
      <c r="BN87" s="30"/>
      <c r="BO87" s="30"/>
      <c r="BP87" s="30"/>
      <c r="BQ87" s="30"/>
      <c r="BR87" s="30"/>
      <c r="BS87" s="30"/>
      <c r="BT87" s="30"/>
      <c r="BU87" s="30"/>
      <c r="BV87" s="30"/>
      <c r="IP87" s="30"/>
      <c r="IQ87" s="30"/>
      <c r="IR87" s="30"/>
      <c r="IS87" s="30"/>
      <c r="IT87" s="30"/>
      <c r="IU87" s="30"/>
      <c r="IV87" s="30"/>
    </row>
    <row r="88" spans="1:256" ht="114.75">
      <c r="A88" s="370"/>
      <c r="B88" s="114">
        <v>86</v>
      </c>
      <c r="C88" s="396" t="s">
        <v>522</v>
      </c>
      <c r="D88" s="68">
        <v>44099</v>
      </c>
      <c r="E88" s="27">
        <v>38663</v>
      </c>
      <c r="F88" s="27">
        <v>137687</v>
      </c>
      <c r="G88" s="27">
        <v>8100</v>
      </c>
      <c r="H88" s="140"/>
      <c r="I88" s="140"/>
      <c r="J88" s="27">
        <v>488</v>
      </c>
      <c r="K88" s="27">
        <v>13</v>
      </c>
      <c r="L88" s="155" t="s">
        <v>31</v>
      </c>
      <c r="M88" s="155" t="s">
        <v>523</v>
      </c>
      <c r="N88" s="153" t="s">
        <v>524</v>
      </c>
      <c r="P88" s="153" t="s">
        <v>269</v>
      </c>
      <c r="T88" s="145">
        <v>2</v>
      </c>
      <c r="X88" s="155" t="s">
        <v>96</v>
      </c>
      <c r="Y88" s="140">
        <f>1+1+2</f>
        <v>4</v>
      </c>
      <c r="Z88" s="140"/>
      <c r="AA88" s="140">
        <f>+Y88+3</f>
        <v>7</v>
      </c>
      <c r="AB88" s="140"/>
      <c r="AC88" s="140">
        <f>+Y88*2</f>
        <v>8</v>
      </c>
      <c r="AD88" s="140"/>
      <c r="AE88" s="221">
        <f>55.37+3.92/2</f>
        <v>57.33</v>
      </c>
      <c r="AF88" s="221"/>
      <c r="AG88" s="221">
        <f>31.59+5.67/2+1.14/2+12.61/2+13.87/2+52.47+3.92/2</f>
        <v>102.66499999999999</v>
      </c>
      <c r="AH88" s="221"/>
      <c r="AI88" s="221"/>
      <c r="AJ88" s="221"/>
      <c r="AK88" s="222">
        <v>196.65</v>
      </c>
      <c r="AL88" s="221">
        <f>+(55.37+13.87+3.92+12.61+1.14+31.59+5.67)/AK88</f>
        <v>0.63142639206712436</v>
      </c>
      <c r="AM88" s="221">
        <f>+(AE88+AG88)/AK88</f>
        <v>0.81360284769895752</v>
      </c>
      <c r="AN88" s="221"/>
      <c r="AO88" s="295">
        <f>+(9*12923+8*9693+6462*4)/21*AG88</f>
        <v>1074066.5635714284</v>
      </c>
      <c r="AP88" s="296">
        <v>16406</v>
      </c>
      <c r="AQ88" s="327" t="s">
        <v>36</v>
      </c>
      <c r="AR88" s="69" t="s">
        <v>525</v>
      </c>
      <c r="AS88" s="349">
        <v>44126</v>
      </c>
      <c r="AU88" s="328" t="s">
        <v>526</v>
      </c>
    </row>
    <row r="89" spans="1:256" s="31" customFormat="1" ht="76.5">
      <c r="A89" s="370"/>
      <c r="B89" s="105">
        <v>87</v>
      </c>
      <c r="C89" s="108" t="s">
        <v>527</v>
      </c>
      <c r="D89" s="13">
        <v>44081</v>
      </c>
      <c r="E89" s="25">
        <v>49243</v>
      </c>
      <c r="F89" s="25">
        <v>159566</v>
      </c>
      <c r="G89" s="25">
        <v>21131</v>
      </c>
      <c r="H89" s="25">
        <v>34</v>
      </c>
      <c r="I89" s="25"/>
      <c r="J89" s="25">
        <v>351</v>
      </c>
      <c r="K89" s="25">
        <v>5</v>
      </c>
      <c r="L89" s="148" t="s">
        <v>52</v>
      </c>
      <c r="M89" s="148" t="s">
        <v>528</v>
      </c>
      <c r="N89" s="148" t="s">
        <v>529</v>
      </c>
      <c r="O89" s="148"/>
      <c r="P89" s="148" t="s">
        <v>391</v>
      </c>
      <c r="Q89" s="148" t="s">
        <v>391</v>
      </c>
      <c r="R89" s="148" t="s">
        <v>391</v>
      </c>
      <c r="S89" s="148" t="s">
        <v>197</v>
      </c>
      <c r="T89" s="25"/>
      <c r="U89" s="172">
        <v>1</v>
      </c>
      <c r="V89" s="25"/>
      <c r="W89" s="25"/>
      <c r="X89" s="148" t="s">
        <v>44</v>
      </c>
      <c r="Y89" s="25"/>
      <c r="Z89" s="26">
        <v>3</v>
      </c>
      <c r="AA89" s="25"/>
      <c r="AB89" s="26">
        <f>3+1</f>
        <v>4</v>
      </c>
      <c r="AC89" s="25"/>
      <c r="AD89" s="26">
        <f>+Z89*2</f>
        <v>6</v>
      </c>
      <c r="AE89" s="183"/>
      <c r="AF89" s="183"/>
      <c r="AG89" s="183"/>
      <c r="AH89" s="183"/>
      <c r="AI89" s="192">
        <f>118.18+69.85</f>
        <v>188.03</v>
      </c>
      <c r="AJ89" s="193"/>
      <c r="AK89" s="194">
        <v>304.8</v>
      </c>
      <c r="AL89" s="194">
        <f>+(72.83+69.85)/AK89</f>
        <v>0.46811023622047243</v>
      </c>
      <c r="AM89" s="194">
        <f>+AI89/AK89</f>
        <v>0.61689632545931761</v>
      </c>
      <c r="AN89" s="194"/>
      <c r="AO89" s="263">
        <f>+(8*16157+8*12923+9693*5)/21*(73.92+69.85/2)</f>
        <v>1456993.986904762</v>
      </c>
      <c r="AP89" s="292">
        <v>6206.4</v>
      </c>
      <c r="AQ89" s="313" t="s">
        <v>36</v>
      </c>
      <c r="AR89" s="34" t="s">
        <v>387</v>
      </c>
      <c r="AS89" s="337">
        <v>44127</v>
      </c>
      <c r="AT89" s="337"/>
      <c r="AU89" s="317" t="s">
        <v>530</v>
      </c>
      <c r="AV89" s="29"/>
      <c r="AW89" s="29"/>
      <c r="AX89" s="29"/>
      <c r="AY89" s="29"/>
      <c r="AZ89" s="29"/>
      <c r="BA89" s="29"/>
      <c r="BB89" s="29"/>
      <c r="BC89" s="29"/>
      <c r="BD89" s="29"/>
      <c r="BE89" s="29"/>
      <c r="BF89" s="29"/>
      <c r="BG89" s="30"/>
      <c r="BH89" s="30"/>
      <c r="BI89" s="30"/>
      <c r="BJ89" s="30"/>
      <c r="BK89" s="30"/>
      <c r="BL89" s="30"/>
      <c r="BM89" s="30"/>
      <c r="BN89" s="30"/>
      <c r="BO89" s="30"/>
      <c r="BP89" s="30"/>
      <c r="BQ89" s="30"/>
      <c r="BR89" s="30"/>
      <c r="BS89" s="30"/>
      <c r="BT89" s="30"/>
      <c r="BU89" s="30"/>
      <c r="BV89" s="30"/>
      <c r="IP89" s="30"/>
      <c r="IQ89" s="30"/>
      <c r="IR89" s="30"/>
      <c r="IS89" s="30"/>
      <c r="IT89" s="30"/>
      <c r="IU89" s="30"/>
      <c r="IV89" s="30"/>
    </row>
    <row r="90" spans="1:256" s="9" customFormat="1" ht="89.25">
      <c r="A90" s="370"/>
      <c r="B90" s="105">
        <v>88</v>
      </c>
      <c r="C90" s="25">
        <v>524787</v>
      </c>
      <c r="D90" s="52">
        <v>44120</v>
      </c>
      <c r="E90" s="3">
        <v>39274</v>
      </c>
      <c r="F90" s="3">
        <v>138092</v>
      </c>
      <c r="G90" s="3">
        <v>20409</v>
      </c>
      <c r="H90" s="3">
        <v>62</v>
      </c>
      <c r="I90" s="3"/>
      <c r="J90" s="3">
        <v>434</v>
      </c>
      <c r="K90" s="3">
        <v>2</v>
      </c>
      <c r="L90" s="148" t="s">
        <v>52</v>
      </c>
      <c r="M90" s="148" t="s">
        <v>139</v>
      </c>
      <c r="N90" s="148" t="s">
        <v>140</v>
      </c>
      <c r="O90" s="148"/>
      <c r="P90" s="148" t="s">
        <v>531</v>
      </c>
      <c r="Q90" s="148" t="s">
        <v>142</v>
      </c>
      <c r="R90" s="148" t="s">
        <v>141</v>
      </c>
      <c r="S90" s="148" t="s">
        <v>143</v>
      </c>
      <c r="T90" s="3"/>
      <c r="U90" s="3">
        <f>1+1</f>
        <v>2</v>
      </c>
      <c r="V90" s="3"/>
      <c r="W90" s="3"/>
      <c r="X90" s="148" t="s">
        <v>144</v>
      </c>
      <c r="Y90" s="3"/>
      <c r="Z90" s="3">
        <v>1</v>
      </c>
      <c r="AA90" s="3"/>
      <c r="AB90" s="3">
        <f>+Z90+3+1</f>
        <v>5</v>
      </c>
      <c r="AC90" s="3"/>
      <c r="AD90" s="3"/>
      <c r="AE90" s="183">
        <f>4*8.15</f>
        <v>32.6</v>
      </c>
      <c r="AF90" s="183">
        <f>175.5+(1.8*2.2)/2+4.55-AE90</f>
        <v>149.43</v>
      </c>
      <c r="AG90" s="182"/>
      <c r="AH90" s="183"/>
      <c r="AI90" s="183"/>
      <c r="AJ90" s="183">
        <v>4.55</v>
      </c>
      <c r="AK90" s="184">
        <v>1297.5</v>
      </c>
      <c r="AL90" s="184">
        <f>+(175.5+4.55+(1.8*2.2))/AK90</f>
        <v>0.14181888246628133</v>
      </c>
      <c r="AM90" s="184">
        <f>+(AE90+AF90+AJ90)/AK90</f>
        <v>0.14379961464354529</v>
      </c>
      <c r="AN90" s="184"/>
      <c r="AO90" s="263">
        <f>130000+((1*11168+3*8934+6*6700+9*4466)/19*AI90)+130000</f>
        <v>260000</v>
      </c>
      <c r="AP90" s="264">
        <v>2040</v>
      </c>
      <c r="AQ90" s="313" t="s">
        <v>36</v>
      </c>
      <c r="AR90" s="70" t="s">
        <v>532</v>
      </c>
      <c r="AS90" s="334">
        <v>44127</v>
      </c>
      <c r="AT90" s="334"/>
      <c r="AU90" s="317" t="s">
        <v>533</v>
      </c>
      <c r="AV90" s="7"/>
      <c r="AW90" s="7"/>
      <c r="AX90" s="7"/>
      <c r="AY90" s="7"/>
      <c r="AZ90" s="7"/>
      <c r="BA90" s="7"/>
      <c r="BB90" s="7"/>
      <c r="BC90" s="7"/>
      <c r="BD90" s="7"/>
      <c r="BE90" s="7"/>
      <c r="BF90" s="7"/>
      <c r="BG90" s="8"/>
      <c r="BH90" s="8"/>
      <c r="BI90" s="8"/>
      <c r="BJ90" s="8"/>
      <c r="BK90" s="8"/>
      <c r="BL90" s="8"/>
      <c r="BM90" s="8"/>
      <c r="BN90" s="8"/>
      <c r="BO90" s="8"/>
      <c r="BP90" s="8"/>
      <c r="BQ90" s="8"/>
      <c r="BR90" s="8"/>
      <c r="BS90" s="8"/>
      <c r="BT90" s="8"/>
      <c r="BU90" s="8"/>
      <c r="BV90" s="8"/>
      <c r="IP90" s="8"/>
      <c r="IQ90" s="8"/>
      <c r="IR90" s="8"/>
      <c r="IS90" s="8"/>
      <c r="IT90" s="8"/>
      <c r="IU90" s="8"/>
      <c r="IV90" s="8"/>
    </row>
    <row r="91" spans="1:256" s="31" customFormat="1" ht="76.5">
      <c r="A91" s="370"/>
      <c r="B91" s="105">
        <v>89</v>
      </c>
      <c r="C91" s="101" t="s">
        <v>534</v>
      </c>
      <c r="D91" s="13">
        <v>44112</v>
      </c>
      <c r="E91" s="25">
        <v>33327</v>
      </c>
      <c r="F91" s="25">
        <v>1673</v>
      </c>
      <c r="G91" s="25">
        <v>174</v>
      </c>
      <c r="H91" s="25"/>
      <c r="I91" s="25"/>
      <c r="J91" s="25">
        <v>158</v>
      </c>
      <c r="K91" s="25">
        <v>17</v>
      </c>
      <c r="L91" s="148" t="s">
        <v>86</v>
      </c>
      <c r="M91" s="148" t="s">
        <v>535</v>
      </c>
      <c r="N91" s="148" t="s">
        <v>536</v>
      </c>
      <c r="O91" s="148"/>
      <c r="P91" s="148" t="s">
        <v>286</v>
      </c>
      <c r="Q91" s="148"/>
      <c r="R91" s="148"/>
      <c r="S91" s="148"/>
      <c r="T91" s="25">
        <v>2</v>
      </c>
      <c r="U91" s="25"/>
      <c r="V91" s="25"/>
      <c r="W91" s="25"/>
      <c r="X91" s="148" t="s">
        <v>57</v>
      </c>
      <c r="Y91" s="25"/>
      <c r="Z91" s="25"/>
      <c r="AA91" s="25"/>
      <c r="AB91" s="25"/>
      <c r="AC91" s="25"/>
      <c r="AD91" s="25"/>
      <c r="AE91" s="183"/>
      <c r="AF91" s="183"/>
      <c r="AG91" s="183"/>
      <c r="AH91" s="183">
        <f>222.42+5.47/2</f>
        <v>225.155</v>
      </c>
      <c r="AI91" s="183"/>
      <c r="AJ91" s="194"/>
      <c r="AK91" s="214">
        <v>259.18</v>
      </c>
      <c r="AL91" s="194">
        <f>+(222.42+5.47)/AK91</f>
        <v>0.87927309205957238</v>
      </c>
      <c r="AM91" s="194">
        <f>+AH91/AK91</f>
        <v>0.86872058029168919</v>
      </c>
      <c r="AN91" s="194">
        <f>+(14+9+12)/(7+3+2)</f>
        <v>2.9166666666666665</v>
      </c>
      <c r="AO91" s="263">
        <f>+AH91*12923</f>
        <v>2909678.0649999999</v>
      </c>
      <c r="AP91" s="292">
        <v>42840.32</v>
      </c>
      <c r="AQ91" s="313" t="s">
        <v>36</v>
      </c>
      <c r="AR91" s="34" t="s">
        <v>537</v>
      </c>
      <c r="AS91" s="337">
        <v>44127</v>
      </c>
      <c r="AT91" s="337"/>
      <c r="AU91" s="317"/>
      <c r="AV91" s="29"/>
      <c r="AW91" s="29"/>
      <c r="AX91" s="29"/>
      <c r="AY91" s="29"/>
      <c r="AZ91" s="29"/>
      <c r="BA91" s="29"/>
      <c r="BB91" s="29"/>
      <c r="BC91" s="29"/>
      <c r="BD91" s="29"/>
      <c r="BE91" s="29"/>
      <c r="BF91" s="29"/>
      <c r="BG91" s="30"/>
      <c r="BH91" s="30"/>
      <c r="BI91" s="30"/>
      <c r="BJ91" s="30"/>
      <c r="BK91" s="30"/>
      <c r="BL91" s="30"/>
      <c r="BM91" s="30"/>
      <c r="BN91" s="30"/>
      <c r="BO91" s="30"/>
      <c r="BP91" s="30"/>
      <c r="BQ91" s="30"/>
      <c r="BR91" s="30"/>
      <c r="BS91" s="30"/>
      <c r="BT91" s="30"/>
      <c r="BU91" s="30"/>
      <c r="BV91" s="30"/>
      <c r="IP91" s="30"/>
      <c r="IQ91" s="30"/>
      <c r="IR91" s="30"/>
      <c r="IS91" s="30"/>
      <c r="IT91" s="30"/>
      <c r="IU91" s="30"/>
      <c r="IV91" s="30"/>
    </row>
    <row r="92" spans="1:256" s="31" customFormat="1" ht="63.75">
      <c r="A92" s="370"/>
      <c r="B92" s="105">
        <v>90</v>
      </c>
      <c r="C92" s="101" t="s">
        <v>538</v>
      </c>
      <c r="D92" s="13">
        <v>44090</v>
      </c>
      <c r="E92" s="25">
        <v>57660</v>
      </c>
      <c r="F92" s="25">
        <v>166185</v>
      </c>
      <c r="G92" s="25">
        <v>37725</v>
      </c>
      <c r="H92" s="25"/>
      <c r="I92" s="25"/>
      <c r="J92" s="25">
        <v>0</v>
      </c>
      <c r="K92" s="25">
        <v>8</v>
      </c>
      <c r="L92" s="148" t="s">
        <v>31</v>
      </c>
      <c r="M92" s="148" t="s">
        <v>220</v>
      </c>
      <c r="N92" s="148" t="s">
        <v>539</v>
      </c>
      <c r="O92" s="148"/>
      <c r="P92" s="148" t="s">
        <v>203</v>
      </c>
      <c r="Q92" s="148" t="s">
        <v>203</v>
      </c>
      <c r="R92" s="148" t="s">
        <v>203</v>
      </c>
      <c r="S92" s="148" t="s">
        <v>519</v>
      </c>
      <c r="T92" s="25"/>
      <c r="U92" s="172">
        <v>1</v>
      </c>
      <c r="V92" s="25"/>
      <c r="W92" s="25"/>
      <c r="X92" s="148" t="s">
        <v>44</v>
      </c>
      <c r="Y92" s="25"/>
      <c r="Z92" s="26">
        <v>3</v>
      </c>
      <c r="AA92" s="25"/>
      <c r="AB92" s="26">
        <f>+Z92+1</f>
        <v>4</v>
      </c>
      <c r="AC92" s="25"/>
      <c r="AD92" s="26">
        <f>+Z92*2</f>
        <v>6</v>
      </c>
      <c r="AE92" s="183"/>
      <c r="AF92" s="183"/>
      <c r="AG92" s="183"/>
      <c r="AH92" s="183"/>
      <c r="AI92" s="192">
        <f>174.9+5.66/2</f>
        <v>177.73000000000002</v>
      </c>
      <c r="AJ92" s="193"/>
      <c r="AK92" s="214">
        <v>835</v>
      </c>
      <c r="AL92" s="194">
        <f>+(174.9+5.66)/AK92</f>
        <v>0.21623952095808383</v>
      </c>
      <c r="AM92" s="194">
        <f>+AI92/AK92</f>
        <v>0.21285029940119762</v>
      </c>
      <c r="AN92" s="194">
        <f>+(12+20)/(4+5)</f>
        <v>3.5555555555555554</v>
      </c>
      <c r="AO92" s="263">
        <f>+(10*16157+6*12923+4*9693+6462*1)/21*AI92</f>
        <v>2406481.1266666669</v>
      </c>
      <c r="AP92" s="292">
        <v>9332.39</v>
      </c>
      <c r="AQ92" s="313" t="s">
        <v>36</v>
      </c>
      <c r="AR92" s="34" t="s">
        <v>540</v>
      </c>
      <c r="AS92" s="337">
        <v>44127</v>
      </c>
      <c r="AT92" s="337"/>
      <c r="AU92" s="317" t="s">
        <v>541</v>
      </c>
      <c r="AV92" s="29"/>
      <c r="AW92" s="29"/>
      <c r="AX92" s="29"/>
      <c r="AY92" s="29"/>
      <c r="AZ92" s="29"/>
      <c r="BA92" s="29"/>
      <c r="BB92" s="29"/>
      <c r="BC92" s="29"/>
      <c r="BD92" s="29"/>
      <c r="BE92" s="29"/>
      <c r="BF92" s="29"/>
      <c r="BG92" s="30"/>
      <c r="BH92" s="30"/>
      <c r="BI92" s="30"/>
      <c r="BJ92" s="30"/>
      <c r="BK92" s="30"/>
      <c r="BL92" s="30"/>
      <c r="BM92" s="30"/>
      <c r="BN92" s="30"/>
      <c r="BO92" s="30"/>
      <c r="BP92" s="30"/>
      <c r="BQ92" s="30"/>
      <c r="BR92" s="30"/>
      <c r="BS92" s="30"/>
      <c r="BT92" s="30"/>
      <c r="BU92" s="30"/>
      <c r="BV92" s="30"/>
      <c r="IP92" s="30"/>
      <c r="IQ92" s="30"/>
      <c r="IR92" s="30"/>
      <c r="IS92" s="30"/>
      <c r="IT92" s="30"/>
      <c r="IU92" s="30"/>
      <c r="IV92" s="30"/>
    </row>
    <row r="93" spans="1:256" s="31" customFormat="1" ht="102">
      <c r="A93" s="370"/>
      <c r="B93" s="105">
        <v>91</v>
      </c>
      <c r="C93" s="101" t="s">
        <v>542</v>
      </c>
      <c r="D93" s="13">
        <v>44085</v>
      </c>
      <c r="E93" s="25">
        <v>40649</v>
      </c>
      <c r="F93" s="25">
        <v>139128</v>
      </c>
      <c r="G93" s="25">
        <v>8355</v>
      </c>
      <c r="H93" s="25">
        <v>57</v>
      </c>
      <c r="I93" s="25"/>
      <c r="J93" s="25">
        <v>425</v>
      </c>
      <c r="K93" s="25">
        <v>9</v>
      </c>
      <c r="L93" s="148" t="s">
        <v>31</v>
      </c>
      <c r="M93" s="148" t="s">
        <v>543</v>
      </c>
      <c r="N93" s="148" t="s">
        <v>544</v>
      </c>
      <c r="O93" s="148"/>
      <c r="P93" s="148" t="s">
        <v>545</v>
      </c>
      <c r="Q93" s="148" t="s">
        <v>545</v>
      </c>
      <c r="R93" s="148" t="s">
        <v>545</v>
      </c>
      <c r="S93" s="148" t="s">
        <v>546</v>
      </c>
      <c r="T93" s="25"/>
      <c r="U93" s="172"/>
      <c r="V93" s="25"/>
      <c r="W93" s="25"/>
      <c r="X93" s="148" t="s">
        <v>44</v>
      </c>
      <c r="Y93" s="25"/>
      <c r="Z93" s="26"/>
      <c r="AA93" s="25"/>
      <c r="AB93" s="26"/>
      <c r="AC93" s="25"/>
      <c r="AD93" s="26"/>
      <c r="AE93" s="183">
        <f>63.01+29.88</f>
        <v>92.89</v>
      </c>
      <c r="AF93" s="183"/>
      <c r="AG93" s="183">
        <v>7.85</v>
      </c>
      <c r="AH93" s="183"/>
      <c r="AI93" s="192">
        <f>4.65+11.47/2+21.69</f>
        <v>32.075000000000003</v>
      </c>
      <c r="AJ93" s="193"/>
      <c r="AK93" s="214">
        <v>160</v>
      </c>
      <c r="AL93" s="194">
        <f>+(AE93/AK93)</f>
        <v>0.58056249999999998</v>
      </c>
      <c r="AM93" s="194">
        <f>+(AE93+AG93+AI93)/AK93</f>
        <v>0.83009374999999996</v>
      </c>
      <c r="AN93" s="194"/>
      <c r="AO93" s="263">
        <f>+(7*16157+7*12923+6*9693+6462*2)/22*AI93</f>
        <v>400415.55227272731</v>
      </c>
      <c r="AP93" s="292">
        <v>4017.53</v>
      </c>
      <c r="AQ93" s="313" t="s">
        <v>36</v>
      </c>
      <c r="AR93" s="34" t="s">
        <v>547</v>
      </c>
      <c r="AS93" s="337">
        <v>44131</v>
      </c>
      <c r="AT93" s="337"/>
      <c r="AU93" s="317" t="s">
        <v>548</v>
      </c>
      <c r="AV93" s="29"/>
      <c r="AW93" s="29"/>
      <c r="AX93" s="29"/>
      <c r="AY93" s="29"/>
      <c r="AZ93" s="29"/>
      <c r="BA93" s="29"/>
      <c r="BB93" s="29"/>
      <c r="BC93" s="29"/>
      <c r="BD93" s="29"/>
      <c r="BE93" s="29"/>
      <c r="BF93" s="29"/>
      <c r="BG93" s="30"/>
      <c r="BH93" s="30"/>
      <c r="BI93" s="30"/>
      <c r="BJ93" s="30"/>
      <c r="BK93" s="30"/>
      <c r="BL93" s="30"/>
      <c r="BM93" s="30"/>
      <c r="BN93" s="30"/>
      <c r="BO93" s="30"/>
      <c r="BP93" s="30"/>
      <c r="BQ93" s="30"/>
      <c r="BR93" s="30"/>
      <c r="BS93" s="30"/>
      <c r="BT93" s="30"/>
      <c r="BU93" s="30"/>
      <c r="BV93" s="30"/>
      <c r="IP93" s="30"/>
      <c r="IQ93" s="30"/>
      <c r="IR93" s="30"/>
      <c r="IS93" s="30"/>
      <c r="IT93" s="30"/>
      <c r="IU93" s="30"/>
      <c r="IV93" s="30"/>
    </row>
    <row r="94" spans="1:256" s="31" customFormat="1" ht="25.5">
      <c r="A94" s="370"/>
      <c r="B94" s="105">
        <v>92</v>
      </c>
      <c r="C94" s="101" t="s">
        <v>549</v>
      </c>
      <c r="D94" s="13">
        <v>44083</v>
      </c>
      <c r="E94" s="25">
        <v>24793</v>
      </c>
      <c r="F94" s="25"/>
      <c r="G94" s="25">
        <v>5696</v>
      </c>
      <c r="H94" s="25"/>
      <c r="I94" s="25"/>
      <c r="J94" s="25">
        <v>687</v>
      </c>
      <c r="K94" s="25">
        <v>2</v>
      </c>
      <c r="L94" s="148" t="s">
        <v>108</v>
      </c>
      <c r="M94" s="148" t="s">
        <v>550</v>
      </c>
      <c r="N94" s="148" t="s">
        <v>551</v>
      </c>
      <c r="O94" s="148"/>
      <c r="P94" s="148" t="s">
        <v>248</v>
      </c>
      <c r="Q94" s="148" t="s">
        <v>248</v>
      </c>
      <c r="R94" s="148" t="s">
        <v>248</v>
      </c>
      <c r="S94" s="148" t="s">
        <v>185</v>
      </c>
      <c r="T94" s="25"/>
      <c r="U94" s="172">
        <v>1</v>
      </c>
      <c r="V94" s="25"/>
      <c r="W94" s="25"/>
      <c r="X94" s="148" t="s">
        <v>346</v>
      </c>
      <c r="Y94" s="25"/>
      <c r="Z94" s="26"/>
      <c r="AA94" s="25"/>
      <c r="AB94" s="26"/>
      <c r="AC94" s="25"/>
      <c r="AD94" s="26"/>
      <c r="AE94" s="183"/>
      <c r="AF94" s="183"/>
      <c r="AG94" s="183"/>
      <c r="AH94" s="183"/>
      <c r="AI94" s="192"/>
      <c r="AJ94" s="193">
        <f>5.15+24.84/2</f>
        <v>17.57</v>
      </c>
      <c r="AK94" s="214">
        <v>200</v>
      </c>
      <c r="AL94" s="194">
        <f>+(5.15+24.84)/AK94</f>
        <v>0.14995</v>
      </c>
      <c r="AM94" s="194">
        <f>+AJ94/AK94</f>
        <v>8.7849999999999998E-2</v>
      </c>
      <c r="AN94" s="194"/>
      <c r="AO94" s="263">
        <f>+(5*12923+3*9693+12)/20*AJ94</f>
        <v>82320.721000000005</v>
      </c>
      <c r="AP94" s="292">
        <v>2707.43</v>
      </c>
      <c r="AQ94" s="313" t="s">
        <v>36</v>
      </c>
      <c r="AR94" s="34" t="s">
        <v>552</v>
      </c>
      <c r="AS94" s="337">
        <v>44131</v>
      </c>
      <c r="AT94" s="337"/>
      <c r="AU94" s="317" t="s">
        <v>553</v>
      </c>
      <c r="AV94" s="29"/>
      <c r="AW94" s="29"/>
      <c r="AX94" s="29"/>
      <c r="AY94" s="29"/>
      <c r="AZ94" s="29"/>
      <c r="BA94" s="29"/>
      <c r="BB94" s="29"/>
      <c r="BC94" s="29"/>
      <c r="BD94" s="29"/>
      <c r="BE94" s="29"/>
      <c r="BF94" s="29"/>
      <c r="BG94" s="30"/>
      <c r="BH94" s="30"/>
      <c r="BI94" s="30"/>
      <c r="BJ94" s="30"/>
      <c r="BK94" s="30"/>
      <c r="BL94" s="30"/>
      <c r="BM94" s="30"/>
      <c r="BN94" s="30"/>
      <c r="BO94" s="30"/>
      <c r="BP94" s="30"/>
      <c r="BQ94" s="30"/>
      <c r="BR94" s="30"/>
      <c r="BS94" s="30"/>
      <c r="BT94" s="30"/>
      <c r="BU94" s="30"/>
      <c r="BV94" s="30"/>
      <c r="IP94" s="30"/>
      <c r="IQ94" s="30"/>
      <c r="IR94" s="30"/>
      <c r="IS94" s="30"/>
      <c r="IT94" s="30"/>
      <c r="IU94" s="30"/>
      <c r="IV94" s="30"/>
    </row>
    <row r="95" spans="1:256" s="31" customFormat="1" ht="63.75">
      <c r="A95" s="370"/>
      <c r="B95" s="105">
        <v>93</v>
      </c>
      <c r="C95" s="101" t="s">
        <v>554</v>
      </c>
      <c r="D95" s="13">
        <v>44096</v>
      </c>
      <c r="E95" s="25">
        <v>39323</v>
      </c>
      <c r="F95" s="25">
        <v>138120</v>
      </c>
      <c r="G95" s="25">
        <v>8365</v>
      </c>
      <c r="H95" s="25"/>
      <c r="I95" s="25"/>
      <c r="J95" s="25">
        <v>513</v>
      </c>
      <c r="K95" s="25">
        <v>6</v>
      </c>
      <c r="L95" s="148" t="s">
        <v>52</v>
      </c>
      <c r="M95" s="148" t="s">
        <v>555</v>
      </c>
      <c r="N95" s="148" t="s">
        <v>556</v>
      </c>
      <c r="O95" s="148"/>
      <c r="P95" s="148" t="s">
        <v>557</v>
      </c>
      <c r="Q95" s="148" t="s">
        <v>557</v>
      </c>
      <c r="R95" s="148" t="s">
        <v>557</v>
      </c>
      <c r="S95" s="148" t="s">
        <v>558</v>
      </c>
      <c r="T95" s="25"/>
      <c r="U95" s="172">
        <v>1</v>
      </c>
      <c r="V95" s="25"/>
      <c r="W95" s="25"/>
      <c r="X95" s="178" t="s">
        <v>44</v>
      </c>
      <c r="Y95" s="25"/>
      <c r="Z95" s="26">
        <v>3</v>
      </c>
      <c r="AA95" s="25"/>
      <c r="AB95" s="26">
        <f>+Z95+1</f>
        <v>4</v>
      </c>
      <c r="AC95" s="25"/>
      <c r="AD95" s="26">
        <f>+Z95*2</f>
        <v>6</v>
      </c>
      <c r="AE95" s="183"/>
      <c r="AF95" s="183"/>
      <c r="AG95" s="183"/>
      <c r="AH95" s="183"/>
      <c r="AI95" s="192">
        <f>106.42+5.67/2</f>
        <v>109.255</v>
      </c>
      <c r="AJ95" s="193"/>
      <c r="AK95" s="214">
        <v>322.31</v>
      </c>
      <c r="AL95" s="194">
        <f>+(106.42+5.67)/AK95</f>
        <v>0.34777077968415504</v>
      </c>
      <c r="AM95" s="194">
        <f>+AI95/AK95</f>
        <v>0.33897489994105051</v>
      </c>
      <c r="AN95" s="194"/>
      <c r="AO95" s="263">
        <f>+(6*1657+4*12923+9693*4+6*6462)/20*AI95</f>
        <v>760294.61949999991</v>
      </c>
      <c r="AP95" s="292">
        <v>19323.330000000002</v>
      </c>
      <c r="AQ95" s="313" t="s">
        <v>36</v>
      </c>
      <c r="AR95" s="34" t="s">
        <v>559</v>
      </c>
      <c r="AS95" s="337">
        <v>44131</v>
      </c>
      <c r="AT95" s="337"/>
      <c r="AU95" s="317" t="s">
        <v>560</v>
      </c>
      <c r="AV95" s="29"/>
      <c r="AW95" s="29"/>
      <c r="AX95" s="29"/>
      <c r="AY95" s="29"/>
      <c r="AZ95" s="29"/>
      <c r="BA95" s="29"/>
      <c r="BB95" s="29"/>
      <c r="BC95" s="29"/>
      <c r="BD95" s="29"/>
      <c r="BE95" s="29"/>
      <c r="BF95" s="29"/>
      <c r="BG95" s="30"/>
      <c r="BH95" s="30"/>
      <c r="BI95" s="30"/>
      <c r="BJ95" s="30"/>
      <c r="BK95" s="30"/>
      <c r="BL95" s="30"/>
      <c r="BM95" s="30"/>
      <c r="BN95" s="30"/>
      <c r="BO95" s="30"/>
      <c r="BP95" s="30"/>
      <c r="BQ95" s="30"/>
      <c r="BR95" s="30"/>
      <c r="BS95" s="30"/>
      <c r="BT95" s="30"/>
      <c r="BU95" s="30"/>
      <c r="BV95" s="30"/>
      <c r="IP95" s="30"/>
      <c r="IQ95" s="30"/>
      <c r="IR95" s="30"/>
      <c r="IS95" s="30"/>
      <c r="IT95" s="30"/>
      <c r="IU95" s="30"/>
      <c r="IV95" s="30"/>
    </row>
    <row r="96" spans="1:256" s="31" customFormat="1" ht="38.25">
      <c r="A96" s="370"/>
      <c r="B96" s="105">
        <v>94</v>
      </c>
      <c r="C96" s="101" t="s">
        <v>561</v>
      </c>
      <c r="D96" s="13">
        <v>44084</v>
      </c>
      <c r="E96" s="25">
        <v>57765</v>
      </c>
      <c r="F96" s="25">
        <v>139723</v>
      </c>
      <c r="G96" s="25">
        <v>10354</v>
      </c>
      <c r="H96" s="25"/>
      <c r="I96" s="25"/>
      <c r="J96" s="25">
        <v>455</v>
      </c>
      <c r="K96" s="25">
        <v>8</v>
      </c>
      <c r="L96" s="148" t="s">
        <v>52</v>
      </c>
      <c r="M96" s="148" t="s">
        <v>562</v>
      </c>
      <c r="N96" s="148" t="s">
        <v>563</v>
      </c>
      <c r="O96" s="148"/>
      <c r="P96" s="148" t="s">
        <v>557</v>
      </c>
      <c r="Q96" s="148" t="s">
        <v>557</v>
      </c>
      <c r="R96" s="148" t="s">
        <v>557</v>
      </c>
      <c r="S96" s="148" t="s">
        <v>558</v>
      </c>
      <c r="T96" s="25"/>
      <c r="U96" s="172">
        <v>1</v>
      </c>
      <c r="V96" s="25"/>
      <c r="W96" s="25"/>
      <c r="X96" s="178" t="s">
        <v>44</v>
      </c>
      <c r="Y96" s="25"/>
      <c r="Z96" s="26">
        <v>2</v>
      </c>
      <c r="AA96" s="25"/>
      <c r="AB96" s="26">
        <f>+Z96+1</f>
        <v>3</v>
      </c>
      <c r="AC96" s="25"/>
      <c r="AD96" s="26">
        <f>+Z96*2</f>
        <v>4</v>
      </c>
      <c r="AE96" s="183"/>
      <c r="AF96" s="183"/>
      <c r="AG96" s="183"/>
      <c r="AH96" s="183"/>
      <c r="AI96" s="192">
        <f>88.6+8.83/2</f>
        <v>93.015000000000001</v>
      </c>
      <c r="AJ96" s="193"/>
      <c r="AK96" s="194">
        <v>410</v>
      </c>
      <c r="AL96" s="194">
        <f>+(88.6+8.83)/AK96</f>
        <v>0.2376341463414634</v>
      </c>
      <c r="AM96" s="194">
        <f>+AI96/AK96</f>
        <v>0.22686585365853659</v>
      </c>
      <c r="AN96" s="194"/>
      <c r="AO96" s="263">
        <f>+(7*16157+4*12923+4*9693+6462*6)/21*(AI96)</f>
        <v>1073370.9535714285</v>
      </c>
      <c r="AP96" s="292">
        <v>4748.41</v>
      </c>
      <c r="AQ96" s="313" t="s">
        <v>36</v>
      </c>
      <c r="AR96" s="34" t="s">
        <v>564</v>
      </c>
      <c r="AS96" s="337">
        <v>44131</v>
      </c>
      <c r="AT96" s="337"/>
      <c r="AU96" s="317" t="s">
        <v>565</v>
      </c>
      <c r="AV96" s="29"/>
      <c r="AW96" s="29"/>
      <c r="AX96" s="29"/>
      <c r="AY96" s="29"/>
      <c r="AZ96" s="29"/>
      <c r="BA96" s="29"/>
      <c r="BB96" s="29"/>
      <c r="BC96" s="29"/>
      <c r="BD96" s="29"/>
      <c r="BE96" s="29"/>
      <c r="BF96" s="29"/>
      <c r="BG96" s="30"/>
      <c r="BH96" s="30"/>
      <c r="BI96" s="30"/>
      <c r="BJ96" s="30"/>
      <c r="BK96" s="30"/>
      <c r="BL96" s="30"/>
      <c r="BM96" s="30"/>
      <c r="BN96" s="30"/>
      <c r="BO96" s="30"/>
      <c r="BP96" s="30"/>
      <c r="BQ96" s="30"/>
      <c r="BR96" s="30"/>
      <c r="BS96" s="30"/>
      <c r="BT96" s="30"/>
      <c r="BU96" s="30"/>
      <c r="BV96" s="30"/>
      <c r="IP96" s="30"/>
      <c r="IQ96" s="30"/>
      <c r="IR96" s="30"/>
      <c r="IS96" s="30"/>
      <c r="IT96" s="30"/>
      <c r="IU96" s="30"/>
      <c r="IV96" s="30"/>
    </row>
    <row r="97" spans="1:256" s="31" customFormat="1" ht="51">
      <c r="A97" s="370"/>
      <c r="B97" s="105" t="s">
        <v>566</v>
      </c>
      <c r="C97" s="113">
        <v>44112</v>
      </c>
      <c r="D97" s="40" t="s">
        <v>107</v>
      </c>
      <c r="E97" s="25">
        <v>33327</v>
      </c>
      <c r="F97" s="25">
        <v>1673</v>
      </c>
      <c r="G97" s="25">
        <v>174</v>
      </c>
      <c r="H97" s="25"/>
      <c r="I97" s="25"/>
      <c r="J97" s="25">
        <v>158</v>
      </c>
      <c r="K97" s="25">
        <v>17</v>
      </c>
      <c r="L97" s="148" t="s">
        <v>86</v>
      </c>
      <c r="M97" s="148" t="s">
        <v>567</v>
      </c>
      <c r="N97" s="148" t="s">
        <v>568</v>
      </c>
      <c r="O97" s="148"/>
      <c r="P97" s="148" t="s">
        <v>569</v>
      </c>
      <c r="Q97" s="148"/>
      <c r="R97" s="148"/>
      <c r="S97" s="148"/>
      <c r="T97" s="25">
        <v>2</v>
      </c>
      <c r="U97" s="172"/>
      <c r="V97" s="25"/>
      <c r="W97" s="25"/>
      <c r="X97" s="178" t="s">
        <v>57</v>
      </c>
      <c r="Y97" s="25"/>
      <c r="Z97" s="26"/>
      <c r="AA97" s="25"/>
      <c r="AB97" s="26"/>
      <c r="AC97" s="25"/>
      <c r="AD97" s="26"/>
      <c r="AE97" s="183"/>
      <c r="AF97" s="183"/>
      <c r="AG97" s="183"/>
      <c r="AH97" s="183">
        <f>222.42+5.47/2</f>
        <v>225.155</v>
      </c>
      <c r="AI97" s="192"/>
      <c r="AJ97" s="193"/>
      <c r="AK97" s="194">
        <v>259.18</v>
      </c>
      <c r="AL97" s="194">
        <f>+(222.42+5.47/2)/AK97</f>
        <v>0.86872058029168919</v>
      </c>
      <c r="AM97" s="194">
        <f>+AH97/AK97</f>
        <v>0.86872058029168919</v>
      </c>
      <c r="AN97" s="194"/>
      <c r="AO97" s="263">
        <f>+AH97*12923</f>
        <v>2909678.0649999999</v>
      </c>
      <c r="AP97" s="292"/>
      <c r="AQ97" s="313" t="s">
        <v>36</v>
      </c>
      <c r="AR97" s="34" t="s">
        <v>570</v>
      </c>
      <c r="AS97" s="337"/>
      <c r="AT97" s="337"/>
      <c r="AU97" s="317" t="s">
        <v>571</v>
      </c>
      <c r="AV97" s="29"/>
      <c r="AW97" s="29"/>
      <c r="AX97" s="29"/>
      <c r="AY97" s="29"/>
      <c r="AZ97" s="29"/>
      <c r="BA97" s="29"/>
      <c r="BB97" s="29"/>
      <c r="BC97" s="29"/>
      <c r="BD97" s="29"/>
      <c r="BE97" s="29"/>
      <c r="BF97" s="29"/>
      <c r="BG97" s="30"/>
      <c r="BH97" s="30"/>
      <c r="BI97" s="30"/>
      <c r="BJ97" s="30"/>
      <c r="BK97" s="30"/>
      <c r="BL97" s="30"/>
      <c r="BM97" s="30"/>
      <c r="BN97" s="30"/>
      <c r="BO97" s="30"/>
      <c r="BP97" s="30"/>
      <c r="BQ97" s="30"/>
      <c r="BR97" s="30"/>
      <c r="BS97" s="30"/>
      <c r="BT97" s="30"/>
      <c r="BU97" s="30"/>
      <c r="BV97" s="30"/>
      <c r="IP97" s="30"/>
      <c r="IQ97" s="30"/>
      <c r="IR97" s="30"/>
      <c r="IS97" s="30"/>
      <c r="IT97" s="30"/>
      <c r="IU97" s="30"/>
      <c r="IV97" s="30"/>
    </row>
    <row r="98" spans="1:256" s="12" customFormat="1" ht="51">
      <c r="A98" s="370"/>
      <c r="B98" s="133">
        <v>95</v>
      </c>
      <c r="C98" s="115" t="s">
        <v>572</v>
      </c>
      <c r="D98" s="49">
        <v>44090</v>
      </c>
      <c r="E98" s="141">
        <v>18971</v>
      </c>
      <c r="F98" s="141">
        <v>108871</v>
      </c>
      <c r="G98" s="141">
        <v>5364</v>
      </c>
      <c r="H98" s="141">
        <v>19</v>
      </c>
      <c r="I98" s="141"/>
      <c r="J98" s="141">
        <v>279</v>
      </c>
      <c r="K98" s="141">
        <v>20</v>
      </c>
      <c r="L98" s="156" t="s">
        <v>31</v>
      </c>
      <c r="M98" s="149" t="s">
        <v>573</v>
      </c>
      <c r="N98" s="155" t="s">
        <v>574</v>
      </c>
      <c r="O98" s="156"/>
      <c r="P98" s="155" t="s">
        <v>337</v>
      </c>
      <c r="Q98" s="155" t="s">
        <v>337</v>
      </c>
      <c r="R98" s="155" t="s">
        <v>337</v>
      </c>
      <c r="S98" s="155" t="s">
        <v>575</v>
      </c>
      <c r="T98" s="141"/>
      <c r="U98" s="141">
        <v>1</v>
      </c>
      <c r="V98" s="141"/>
      <c r="W98" s="141"/>
      <c r="X98" s="160" t="s">
        <v>57</v>
      </c>
      <c r="Y98" s="141"/>
      <c r="Z98" s="141"/>
      <c r="AA98" s="141"/>
      <c r="AB98" s="141"/>
      <c r="AC98" s="141"/>
      <c r="AD98" s="141"/>
      <c r="AE98" s="185"/>
      <c r="AF98" s="185"/>
      <c r="AG98" s="185"/>
      <c r="AH98" s="185"/>
      <c r="AI98" s="223"/>
      <c r="AJ98" s="223">
        <f>311.86+4.82</f>
        <v>316.68</v>
      </c>
      <c r="AK98" s="185">
        <v>466.54</v>
      </c>
      <c r="AL98" s="185">
        <f>+(232.22+4.82)/AK98</f>
        <v>0.50808076477901143</v>
      </c>
      <c r="AM98" s="185">
        <f>+AJ98/AK98</f>
        <v>0.67878424143696148</v>
      </c>
      <c r="AN98" s="185"/>
      <c r="AO98" s="286">
        <f>+AJ98*12923</f>
        <v>4092455.64</v>
      </c>
      <c r="AP98" s="297">
        <v>14832.43</v>
      </c>
      <c r="AQ98" s="156" t="s">
        <v>36</v>
      </c>
      <c r="AR98" s="11" t="s">
        <v>576</v>
      </c>
      <c r="AS98" s="344">
        <v>44132</v>
      </c>
      <c r="AT98" s="344"/>
      <c r="AU98" s="380" t="s">
        <v>577</v>
      </c>
    </row>
    <row r="99" spans="1:256" s="31" customFormat="1" ht="63.75">
      <c r="A99" s="370"/>
      <c r="B99" s="106">
        <v>523391</v>
      </c>
      <c r="C99" s="113">
        <v>44071</v>
      </c>
      <c r="D99" s="2" t="s">
        <v>475</v>
      </c>
      <c r="E99" s="25">
        <v>13930</v>
      </c>
      <c r="F99" s="25">
        <v>50334</v>
      </c>
      <c r="G99" s="25">
        <v>20047</v>
      </c>
      <c r="H99" s="25">
        <v>48</v>
      </c>
      <c r="I99" s="25"/>
      <c r="J99" s="25">
        <v>379</v>
      </c>
      <c r="K99" s="25">
        <v>2</v>
      </c>
      <c r="L99" s="148" t="s">
        <v>52</v>
      </c>
      <c r="M99" s="148" t="s">
        <v>578</v>
      </c>
      <c r="N99" s="148" t="s">
        <v>579</v>
      </c>
      <c r="O99" s="148"/>
      <c r="P99" s="148" t="s">
        <v>580</v>
      </c>
      <c r="Q99" s="148" t="s">
        <v>580</v>
      </c>
      <c r="R99" s="148" t="s">
        <v>580</v>
      </c>
      <c r="S99" s="148" t="s">
        <v>581</v>
      </c>
      <c r="T99" s="25"/>
      <c r="U99" s="172">
        <v>3</v>
      </c>
      <c r="V99" s="25"/>
      <c r="W99" s="25"/>
      <c r="X99" s="178" t="s">
        <v>96</v>
      </c>
      <c r="Y99" s="25"/>
      <c r="Z99" s="26">
        <f>2+1</f>
        <v>3</v>
      </c>
      <c r="AA99" s="25"/>
      <c r="AB99" s="26">
        <f>+Z99+1</f>
        <v>4</v>
      </c>
      <c r="AC99" s="25"/>
      <c r="AD99" s="26">
        <f>+Z99*2</f>
        <v>6</v>
      </c>
      <c r="AE99" s="183"/>
      <c r="AF99" s="183"/>
      <c r="AG99" s="183"/>
      <c r="AH99" s="197"/>
      <c r="AI99" s="198">
        <f>52.83+19.28/2+55.24+19.85/2</f>
        <v>127.63500000000001</v>
      </c>
      <c r="AJ99" s="198"/>
      <c r="AK99" s="197">
        <v>3560.24</v>
      </c>
      <c r="AL99" s="197">
        <f>+(55.24+19.85)/AK99</f>
        <v>2.1091274745522776E-2</v>
      </c>
      <c r="AM99" s="197">
        <f>+AI99/AK99</f>
        <v>3.5850111228456515E-2</v>
      </c>
      <c r="AN99" s="197"/>
      <c r="AO99" s="275"/>
      <c r="AP99" s="276"/>
      <c r="AQ99" s="178" t="s">
        <v>386</v>
      </c>
      <c r="AR99" s="28" t="s">
        <v>582</v>
      </c>
      <c r="AS99" s="340"/>
      <c r="AT99" s="355"/>
      <c r="AU99" s="317" t="s">
        <v>583</v>
      </c>
      <c r="AV99" s="39"/>
      <c r="AW99" s="39"/>
      <c r="AX99" s="39"/>
      <c r="AY99" s="39"/>
      <c r="AZ99" s="39"/>
      <c r="BA99" s="39"/>
      <c r="BB99" s="39"/>
      <c r="BC99" s="39"/>
      <c r="BD99" s="39"/>
      <c r="BE99" s="30"/>
      <c r="BF99" s="30"/>
      <c r="BG99" s="30"/>
      <c r="BH99" s="30"/>
      <c r="BI99" s="30"/>
      <c r="BJ99" s="30"/>
      <c r="BK99" s="30"/>
      <c r="BL99" s="30"/>
      <c r="BM99" s="30"/>
      <c r="BN99" s="30"/>
      <c r="BO99" s="30"/>
      <c r="BP99" s="30"/>
      <c r="BQ99" s="30"/>
      <c r="BR99" s="30"/>
      <c r="BS99" s="30"/>
      <c r="BT99" s="30"/>
      <c r="IN99" s="30"/>
      <c r="IO99" s="30"/>
      <c r="IP99" s="30"/>
      <c r="IQ99" s="30"/>
      <c r="IR99" s="30"/>
      <c r="IS99" s="30"/>
      <c r="IT99" s="30"/>
      <c r="IU99" s="30"/>
      <c r="IV99" s="30"/>
    </row>
    <row r="100" spans="1:256" s="12" customFormat="1" ht="63.75">
      <c r="A100" s="373"/>
      <c r="B100" s="116">
        <v>96</v>
      </c>
      <c r="C100" s="116" t="s">
        <v>584</v>
      </c>
      <c r="D100" s="71">
        <v>44008</v>
      </c>
      <c r="E100" s="115">
        <v>26762</v>
      </c>
      <c r="F100" s="115">
        <v>715</v>
      </c>
      <c r="G100" s="115">
        <v>1364</v>
      </c>
      <c r="H100" s="115"/>
      <c r="I100" s="115"/>
      <c r="J100" s="115">
        <v>66</v>
      </c>
      <c r="K100" s="115">
        <v>8</v>
      </c>
      <c r="L100" s="159" t="s">
        <v>239</v>
      </c>
      <c r="M100" s="159" t="s">
        <v>585</v>
      </c>
      <c r="N100" s="160" t="s">
        <v>586</v>
      </c>
      <c r="O100" s="156"/>
      <c r="P100" s="161" t="s">
        <v>263</v>
      </c>
      <c r="Q100" s="161" t="s">
        <v>263</v>
      </c>
      <c r="R100" s="161" t="s">
        <v>263</v>
      </c>
      <c r="S100" s="156" t="s">
        <v>587</v>
      </c>
      <c r="T100" s="141"/>
      <c r="U100" s="141">
        <v>1</v>
      </c>
      <c r="V100" s="141"/>
      <c r="W100" s="141"/>
      <c r="X100" s="160" t="s">
        <v>588</v>
      </c>
      <c r="Y100" s="141"/>
      <c r="Z100" s="141"/>
      <c r="AA100" s="141"/>
      <c r="AB100" s="141">
        <v>7</v>
      </c>
      <c r="AC100" s="141"/>
      <c r="AD100" s="141"/>
      <c r="AE100" s="185"/>
      <c r="AF100" s="185"/>
      <c r="AG100" s="185"/>
      <c r="AH100" s="185"/>
      <c r="AI100" s="223"/>
      <c r="AJ100" s="223">
        <f>139.82+48.19/2+185.38</f>
        <v>349.29499999999996</v>
      </c>
      <c r="AK100" s="185">
        <v>609.42999999999995</v>
      </c>
      <c r="AL100" s="185">
        <f>+(138.82+48.19)/AK100</f>
        <v>0.30686050900021333</v>
      </c>
      <c r="AM100" s="185">
        <f>+AJ100/AK100</f>
        <v>0.57315032079155925</v>
      </c>
      <c r="AN100" s="185">
        <f>+(2+8+18+4)/(2+4+5+1)</f>
        <v>2.6666666666666665</v>
      </c>
      <c r="AO100" s="286">
        <f>+AJ100*12923</f>
        <v>4513939.2849999992</v>
      </c>
      <c r="AP100" s="297">
        <v>69395.86</v>
      </c>
      <c r="AQ100" s="330" t="s">
        <v>36</v>
      </c>
      <c r="AR100" s="72" t="s">
        <v>589</v>
      </c>
      <c r="AS100" s="344">
        <v>44132</v>
      </c>
      <c r="AT100" s="344"/>
      <c r="AU100" s="380" t="s">
        <v>590</v>
      </c>
    </row>
    <row r="101" spans="1:256" s="31" customFormat="1" ht="39" thickBot="1">
      <c r="A101" s="371"/>
      <c r="B101" s="117">
        <v>97</v>
      </c>
      <c r="C101" s="397">
        <v>524793</v>
      </c>
      <c r="D101" s="73">
        <v>44120</v>
      </c>
      <c r="E101" s="74">
        <v>56900</v>
      </c>
      <c r="F101" s="74">
        <v>165571</v>
      </c>
      <c r="G101" s="74">
        <v>10296</v>
      </c>
      <c r="H101" s="74"/>
      <c r="I101" s="74"/>
      <c r="J101" s="74">
        <v>447</v>
      </c>
      <c r="K101" s="74">
        <v>20</v>
      </c>
      <c r="L101" s="162" t="s">
        <v>31</v>
      </c>
      <c r="M101" s="162" t="s">
        <v>591</v>
      </c>
      <c r="N101" s="162" t="s">
        <v>592</v>
      </c>
      <c r="O101" s="162"/>
      <c r="P101" s="162" t="s">
        <v>593</v>
      </c>
      <c r="Q101" s="162" t="s">
        <v>593</v>
      </c>
      <c r="R101" s="162" t="s">
        <v>593</v>
      </c>
      <c r="S101" s="162" t="s">
        <v>594</v>
      </c>
      <c r="T101" s="74"/>
      <c r="U101" s="173">
        <v>1</v>
      </c>
      <c r="V101" s="74"/>
      <c r="W101" s="74"/>
      <c r="X101" s="162" t="s">
        <v>44</v>
      </c>
      <c r="Y101" s="74"/>
      <c r="Z101" s="75">
        <v>2</v>
      </c>
      <c r="AA101" s="74"/>
      <c r="AB101" s="75">
        <f>+Z101+1</f>
        <v>3</v>
      </c>
      <c r="AC101" s="74"/>
      <c r="AD101" s="76">
        <f>+Z101*2</f>
        <v>4</v>
      </c>
      <c r="AE101" s="224"/>
      <c r="AF101" s="225"/>
      <c r="AG101" s="226"/>
      <c r="AH101" s="227"/>
      <c r="AI101" s="228">
        <f>94.14+32.73/2</f>
        <v>110.505</v>
      </c>
      <c r="AJ101" s="229"/>
      <c r="AK101" s="230">
        <v>668.05</v>
      </c>
      <c r="AL101" s="231">
        <f>+(94.14+32.73)/AK101</f>
        <v>0.18991093481026872</v>
      </c>
      <c r="AM101" s="231">
        <f>+AI101/AK101</f>
        <v>0.16541426539929646</v>
      </c>
      <c r="AN101" s="231">
        <f>+(12+20)/(4+5)</f>
        <v>3.5555555555555554</v>
      </c>
      <c r="AO101" s="298">
        <f>+(5*16157+6*12923+6*9693+6462*3)/20*AI101</f>
        <v>1303224.14175</v>
      </c>
      <c r="AP101" s="299">
        <v>17745.77</v>
      </c>
      <c r="AQ101" s="331" t="s">
        <v>595</v>
      </c>
      <c r="AR101" s="77" t="s">
        <v>596</v>
      </c>
      <c r="AS101" s="350">
        <v>44134</v>
      </c>
      <c r="AT101" s="350"/>
      <c r="AU101" s="322" t="s">
        <v>597</v>
      </c>
      <c r="AV101" s="29"/>
      <c r="AW101" s="29"/>
      <c r="AX101" s="29"/>
      <c r="AY101" s="29"/>
      <c r="AZ101" s="29"/>
      <c r="BA101" s="29"/>
      <c r="BB101" s="29"/>
      <c r="BC101" s="29"/>
      <c r="BD101" s="29"/>
      <c r="BE101" s="29"/>
      <c r="BF101" s="29"/>
      <c r="BG101" s="30"/>
      <c r="BH101" s="30"/>
      <c r="BI101" s="30"/>
      <c r="BJ101" s="30"/>
      <c r="BK101" s="30"/>
      <c r="BL101" s="30"/>
      <c r="BM101" s="30"/>
      <c r="BN101" s="30"/>
      <c r="BO101" s="30"/>
      <c r="BP101" s="30"/>
      <c r="BQ101" s="30"/>
      <c r="BR101" s="30"/>
      <c r="BS101" s="30"/>
      <c r="BT101" s="30"/>
      <c r="BU101" s="30"/>
      <c r="BV101" s="30"/>
      <c r="IP101" s="30"/>
      <c r="IQ101" s="30"/>
      <c r="IR101" s="30"/>
      <c r="IS101" s="30"/>
      <c r="IT101" s="30"/>
      <c r="IU101" s="30"/>
      <c r="IV101" s="30"/>
    </row>
    <row r="102" spans="1:256" s="31" customFormat="1" ht="51">
      <c r="A102" s="370" t="s">
        <v>598</v>
      </c>
      <c r="B102" s="107">
        <v>98</v>
      </c>
      <c r="C102" s="384">
        <v>524120</v>
      </c>
      <c r="D102" s="38">
        <v>44098</v>
      </c>
      <c r="E102" s="57">
        <v>49828</v>
      </c>
      <c r="F102" s="57">
        <v>159984</v>
      </c>
      <c r="G102" s="57">
        <v>32711</v>
      </c>
      <c r="H102" s="57">
        <v>111</v>
      </c>
      <c r="I102" s="57"/>
      <c r="J102" s="57">
        <v>14</v>
      </c>
      <c r="K102" s="57">
        <v>5</v>
      </c>
      <c r="L102" s="151" t="s">
        <v>73</v>
      </c>
      <c r="M102" s="151" t="s">
        <v>599</v>
      </c>
      <c r="N102" s="151" t="s">
        <v>600</v>
      </c>
      <c r="O102" s="151"/>
      <c r="P102" s="151" t="s">
        <v>190</v>
      </c>
      <c r="Q102" s="151" t="s">
        <v>190</v>
      </c>
      <c r="R102" s="151" t="s">
        <v>190</v>
      </c>
      <c r="S102" s="151" t="s">
        <v>259</v>
      </c>
      <c r="T102" s="57"/>
      <c r="U102" s="174">
        <v>1</v>
      </c>
      <c r="V102" s="57"/>
      <c r="W102" s="57"/>
      <c r="X102" s="151" t="s">
        <v>44</v>
      </c>
      <c r="Y102" s="57"/>
      <c r="Z102" s="78">
        <v>2</v>
      </c>
      <c r="AA102" s="57"/>
      <c r="AB102" s="78">
        <f>2+1</f>
        <v>3</v>
      </c>
      <c r="AC102" s="57"/>
      <c r="AD102" s="79">
        <f>+Z102*2</f>
        <v>4</v>
      </c>
      <c r="AE102" s="215"/>
      <c r="AF102" s="232"/>
      <c r="AG102" s="216"/>
      <c r="AH102" s="233"/>
      <c r="AI102" s="234">
        <f>64.09+62.44/2</f>
        <v>95.31</v>
      </c>
      <c r="AJ102" s="235"/>
      <c r="AK102" s="218">
        <v>2160</v>
      </c>
      <c r="AL102" s="210">
        <f>+(64.09+62.44)/AK102</f>
        <v>5.8578703703703702E-2</v>
      </c>
      <c r="AM102" s="210">
        <f>+AI102/AK102</f>
        <v>4.4125000000000004E-2</v>
      </c>
      <c r="AN102" s="210"/>
      <c r="AO102" s="269">
        <f>150000+(6*16157+6*12923+7*9693+6462*1)/20*AI102</f>
        <v>1335623.0415000001</v>
      </c>
      <c r="AP102" s="300">
        <v>13105.56</v>
      </c>
      <c r="AQ102" s="316" t="s">
        <v>65</v>
      </c>
      <c r="AR102" s="58" t="s">
        <v>387</v>
      </c>
      <c r="AS102" s="346">
        <v>44141</v>
      </c>
      <c r="AT102" s="346"/>
      <c r="AU102" s="323" t="s">
        <v>601</v>
      </c>
      <c r="AV102" s="29"/>
      <c r="AW102" s="29"/>
      <c r="AX102" s="29"/>
      <c r="AY102" s="29"/>
      <c r="AZ102" s="29"/>
      <c r="BA102" s="29"/>
      <c r="BB102" s="29"/>
      <c r="BC102" s="29"/>
      <c r="BD102" s="29"/>
      <c r="BE102" s="29"/>
      <c r="BF102" s="29"/>
      <c r="BG102" s="30"/>
      <c r="BH102" s="30"/>
      <c r="BI102" s="30"/>
      <c r="BJ102" s="30"/>
      <c r="BK102" s="30"/>
      <c r="BL102" s="30"/>
      <c r="BM102" s="30"/>
      <c r="BN102" s="30"/>
      <c r="BO102" s="30"/>
      <c r="BP102" s="30"/>
      <c r="BQ102" s="30"/>
      <c r="BR102" s="30"/>
      <c r="BS102" s="30"/>
      <c r="BT102" s="30"/>
      <c r="BU102" s="30"/>
      <c r="BV102" s="30"/>
      <c r="IP102" s="30"/>
      <c r="IQ102" s="30"/>
      <c r="IR102" s="30"/>
      <c r="IS102" s="30"/>
      <c r="IT102" s="30"/>
      <c r="IU102" s="30"/>
      <c r="IV102" s="30"/>
    </row>
    <row r="103" spans="1:256" s="31" customFormat="1" ht="89.25">
      <c r="A103" s="370"/>
      <c r="B103" s="104">
        <v>99</v>
      </c>
      <c r="C103" s="25" t="s">
        <v>602</v>
      </c>
      <c r="D103" s="10">
        <v>44028</v>
      </c>
      <c r="E103" s="25">
        <v>1088</v>
      </c>
      <c r="F103" s="25">
        <v>47113</v>
      </c>
      <c r="G103" s="25">
        <v>882</v>
      </c>
      <c r="H103" s="25"/>
      <c r="I103" s="25"/>
      <c r="J103" s="25">
        <v>130</v>
      </c>
      <c r="K103" s="25">
        <v>8</v>
      </c>
      <c r="L103" s="148" t="s">
        <v>86</v>
      </c>
      <c r="M103" s="148" t="s">
        <v>603</v>
      </c>
      <c r="N103" s="148" t="s">
        <v>604</v>
      </c>
      <c r="O103" s="148"/>
      <c r="P103" s="148" t="s">
        <v>605</v>
      </c>
      <c r="Q103" s="148" t="s">
        <v>605</v>
      </c>
      <c r="R103" s="148" t="s">
        <v>605</v>
      </c>
      <c r="S103" s="148" t="s">
        <v>575</v>
      </c>
      <c r="T103" s="25"/>
      <c r="U103" s="172">
        <f>1+3</f>
        <v>4</v>
      </c>
      <c r="V103" s="25"/>
      <c r="W103" s="25"/>
      <c r="X103" s="148" t="s">
        <v>606</v>
      </c>
      <c r="Y103" s="25"/>
      <c r="Z103" s="26">
        <v>3</v>
      </c>
      <c r="AA103" s="25"/>
      <c r="AB103" s="26">
        <f>+Z103+3</f>
        <v>6</v>
      </c>
      <c r="AC103" s="25"/>
      <c r="AD103" s="80">
        <f>+Z103*2</f>
        <v>6</v>
      </c>
      <c r="AE103" s="236"/>
      <c r="AF103" s="237"/>
      <c r="AG103" s="219"/>
      <c r="AH103" s="238"/>
      <c r="AI103" s="239">
        <f>81/2+132.4</f>
        <v>172.9</v>
      </c>
      <c r="AJ103" s="240">
        <v>81.77</v>
      </c>
      <c r="AK103" s="241">
        <v>231.44</v>
      </c>
      <c r="AL103" s="197">
        <f>163.15/AK103</f>
        <v>0.70493432423090219</v>
      </c>
      <c r="AM103" s="197">
        <f>+(AI103+AJ103)/AK103</f>
        <v>1.1003715865883168</v>
      </c>
      <c r="AN103" s="197"/>
      <c r="AO103" s="275">
        <f>+(AJ103*12923)+((7*16157+12923*5+8*9693+6462*4)/24*AI103)</f>
        <v>3081848.1850000001</v>
      </c>
      <c r="AP103" s="276">
        <v>3599</v>
      </c>
      <c r="AQ103" s="178" t="s">
        <v>211</v>
      </c>
      <c r="AR103" s="34" t="s">
        <v>607</v>
      </c>
      <c r="AS103" s="340">
        <v>44141</v>
      </c>
      <c r="AT103" s="355">
        <v>44685</v>
      </c>
      <c r="AU103" s="317" t="s">
        <v>608</v>
      </c>
      <c r="AV103" s="39"/>
      <c r="AW103" s="39"/>
      <c r="AX103" s="39"/>
      <c r="AY103" s="39"/>
      <c r="AZ103" s="39"/>
      <c r="BA103" s="39"/>
      <c r="BB103" s="39"/>
      <c r="BC103" s="39"/>
      <c r="BD103" s="39"/>
      <c r="BE103" s="30"/>
      <c r="BF103" s="30"/>
      <c r="BG103" s="30"/>
      <c r="BH103" s="30"/>
      <c r="BI103" s="30"/>
      <c r="BJ103" s="30"/>
      <c r="BK103" s="30"/>
      <c r="BL103" s="30"/>
      <c r="BM103" s="30"/>
      <c r="BN103" s="30"/>
      <c r="BO103" s="30"/>
      <c r="BP103" s="30"/>
      <c r="BQ103" s="30"/>
      <c r="BR103" s="30"/>
      <c r="BS103" s="30"/>
      <c r="BT103" s="30"/>
      <c r="IN103" s="30"/>
      <c r="IO103" s="30"/>
      <c r="IP103" s="30"/>
      <c r="IQ103" s="30"/>
      <c r="IR103" s="30"/>
      <c r="IS103" s="30"/>
      <c r="IT103" s="30"/>
      <c r="IU103" s="30"/>
      <c r="IV103" s="30"/>
    </row>
    <row r="104" spans="1:256" s="31" customFormat="1" ht="38.25">
      <c r="A104" s="370"/>
      <c r="B104" s="104">
        <v>100</v>
      </c>
      <c r="C104" s="25" t="s">
        <v>609</v>
      </c>
      <c r="D104" s="10">
        <v>43875</v>
      </c>
      <c r="E104" s="25">
        <v>38494</v>
      </c>
      <c r="F104" s="25">
        <v>102234</v>
      </c>
      <c r="G104" s="25">
        <v>2526</v>
      </c>
      <c r="H104" s="25"/>
      <c r="I104" s="25"/>
      <c r="J104" s="25">
        <v>577</v>
      </c>
      <c r="K104" s="25">
        <v>1</v>
      </c>
      <c r="L104" s="148" t="s">
        <v>31</v>
      </c>
      <c r="M104" s="148" t="s">
        <v>610</v>
      </c>
      <c r="N104" s="148" t="s">
        <v>611</v>
      </c>
      <c r="O104" s="148"/>
      <c r="P104" s="148" t="s">
        <v>612</v>
      </c>
      <c r="Q104" s="148" t="s">
        <v>197</v>
      </c>
      <c r="R104" s="148" t="s">
        <v>197</v>
      </c>
      <c r="S104" s="148" t="s">
        <v>197</v>
      </c>
      <c r="T104" s="25"/>
      <c r="U104" s="172">
        <v>1</v>
      </c>
      <c r="V104" s="25"/>
      <c r="W104" s="25"/>
      <c r="X104" s="148" t="s">
        <v>44</v>
      </c>
      <c r="Y104" s="25"/>
      <c r="Z104" s="26">
        <v>1</v>
      </c>
      <c r="AA104" s="25"/>
      <c r="AB104" s="26">
        <v>2</v>
      </c>
      <c r="AC104" s="25"/>
      <c r="AD104" s="80"/>
      <c r="AE104" s="236"/>
      <c r="AF104" s="237"/>
      <c r="AG104" s="219"/>
      <c r="AH104" s="238"/>
      <c r="AI104" s="239">
        <f>37.44+3.95/2</f>
        <v>39.414999999999999</v>
      </c>
      <c r="AJ104" s="240"/>
      <c r="AK104" s="241">
        <v>292.74</v>
      </c>
      <c r="AL104" s="197">
        <f>+(37.44+3.95)/AK104</f>
        <v>0.14138826262212201</v>
      </c>
      <c r="AM104" s="197">
        <f>+AI104/AK104</f>
        <v>0.13464166154266585</v>
      </c>
      <c r="AN104" s="197"/>
      <c r="AO104" s="275"/>
      <c r="AP104" s="276"/>
      <c r="AQ104" s="178" t="s">
        <v>36</v>
      </c>
      <c r="AR104" s="28" t="s">
        <v>613</v>
      </c>
      <c r="AS104" s="340"/>
      <c r="AT104" s="355"/>
      <c r="AU104" s="317" t="s">
        <v>614</v>
      </c>
      <c r="AV104" s="39"/>
      <c r="AW104" s="39"/>
      <c r="AX104" s="39"/>
      <c r="AY104" s="39"/>
      <c r="AZ104" s="39"/>
      <c r="BA104" s="39"/>
      <c r="BB104" s="39"/>
      <c r="BC104" s="39"/>
      <c r="BD104" s="39"/>
      <c r="BE104" s="30"/>
      <c r="BF104" s="30"/>
      <c r="BG104" s="30"/>
      <c r="BH104" s="30"/>
      <c r="BI104" s="30"/>
      <c r="BJ104" s="30"/>
      <c r="BK104" s="30"/>
      <c r="BL104" s="30"/>
      <c r="BM104" s="30"/>
      <c r="BN104" s="30"/>
      <c r="BO104" s="30"/>
      <c r="BP104" s="30"/>
      <c r="BQ104" s="30"/>
      <c r="BR104" s="30"/>
      <c r="BS104" s="30"/>
      <c r="BT104" s="30"/>
      <c r="IN104" s="30"/>
      <c r="IO104" s="30"/>
      <c r="IP104" s="30"/>
      <c r="IQ104" s="30"/>
      <c r="IR104" s="30"/>
      <c r="IS104" s="30"/>
      <c r="IT104" s="30"/>
      <c r="IU104" s="30"/>
      <c r="IV104" s="30"/>
    </row>
    <row r="105" spans="1:256" s="31" customFormat="1" ht="76.5">
      <c r="A105" s="370"/>
      <c r="B105" s="104">
        <v>101</v>
      </c>
      <c r="C105" s="25" t="s">
        <v>615</v>
      </c>
      <c r="D105" s="10">
        <v>43969</v>
      </c>
      <c r="E105" s="25">
        <v>29097</v>
      </c>
      <c r="F105" s="25">
        <v>1113</v>
      </c>
      <c r="G105" s="25">
        <v>4839</v>
      </c>
      <c r="H105" s="25"/>
      <c r="I105" s="25"/>
      <c r="J105" s="25">
        <v>190</v>
      </c>
      <c r="K105" s="25">
        <v>13</v>
      </c>
      <c r="L105" s="148" t="s">
        <v>108</v>
      </c>
      <c r="M105" s="148" t="s">
        <v>616</v>
      </c>
      <c r="N105" s="148" t="s">
        <v>617</v>
      </c>
      <c r="O105" s="148"/>
      <c r="P105" s="148" t="s">
        <v>491</v>
      </c>
      <c r="Q105" s="148" t="s">
        <v>491</v>
      </c>
      <c r="R105" s="148" t="s">
        <v>491</v>
      </c>
      <c r="S105" s="148" t="s">
        <v>587</v>
      </c>
      <c r="T105" s="25">
        <v>1</v>
      </c>
      <c r="U105" s="172">
        <v>1</v>
      </c>
      <c r="V105" s="25"/>
      <c r="W105" s="25"/>
      <c r="X105" s="148" t="s">
        <v>44</v>
      </c>
      <c r="Y105" s="25">
        <v>3</v>
      </c>
      <c r="Z105" s="26">
        <v>1</v>
      </c>
      <c r="AA105" s="25">
        <f>+Y105+2</f>
        <v>5</v>
      </c>
      <c r="AB105" s="26">
        <f>+Z105+2</f>
        <v>3</v>
      </c>
      <c r="AC105" s="25">
        <f>+Y105*2</f>
        <v>6</v>
      </c>
      <c r="AD105" s="80">
        <f>+Z105*2</f>
        <v>2</v>
      </c>
      <c r="AE105" s="236">
        <f>174.56+33.66/2</f>
        <v>191.39</v>
      </c>
      <c r="AF105" s="237"/>
      <c r="AG105" s="219">
        <f>12.56+16.06+0.65/2</f>
        <v>28.944999999999997</v>
      </c>
      <c r="AH105" s="238"/>
      <c r="AI105" s="239">
        <f>6.07+77.8/2+40.2/2+12.44+1.64/2+9.51/2+74.83</f>
        <v>157.91499999999996</v>
      </c>
      <c r="AJ105" s="240"/>
      <c r="AK105" s="241">
        <f>358.58+1697.13</f>
        <v>2055.71</v>
      </c>
      <c r="AL105" s="197">
        <f>+(174.56+33.66+12.56+16.06+0.65+6.07+77.8+40.2+12.44+1.64+9.51+74.83)/AK105</f>
        <v>0.22375724202343714</v>
      </c>
      <c r="AM105" s="197">
        <f>+(174.56+33.66/2+12.56+16.06+0.65/2+6.07+77.8/2+40.2/2+12.44+1.64/2+9.51/2+74.83)/AK105</f>
        <v>0.18399968867204028</v>
      </c>
      <c r="AN105" s="197"/>
      <c r="AO105" s="275">
        <f>+(13*16157+3*12923+3*9693+1*6462)/20*(AI105+AG105)</f>
        <v>2656691.3929999992</v>
      </c>
      <c r="AP105" s="276">
        <v>35031.25</v>
      </c>
      <c r="AQ105" s="178" t="s">
        <v>36</v>
      </c>
      <c r="AR105" s="34" t="s">
        <v>618</v>
      </c>
      <c r="AS105" s="340">
        <v>44145</v>
      </c>
      <c r="AT105" s="355"/>
      <c r="AU105" s="317" t="s">
        <v>619</v>
      </c>
      <c r="AV105" s="39"/>
      <c r="AW105" s="39"/>
      <c r="AX105" s="39"/>
      <c r="AY105" s="39"/>
      <c r="AZ105" s="39"/>
      <c r="BA105" s="39"/>
      <c r="BB105" s="39"/>
      <c r="BC105" s="39"/>
      <c r="BD105" s="39"/>
      <c r="BE105" s="30"/>
      <c r="BF105" s="30"/>
      <c r="BG105" s="30"/>
      <c r="BH105" s="30"/>
      <c r="BI105" s="30"/>
      <c r="BJ105" s="30"/>
      <c r="BK105" s="30"/>
      <c r="BL105" s="30"/>
      <c r="BM105" s="30"/>
      <c r="BN105" s="30"/>
      <c r="BO105" s="30"/>
      <c r="BP105" s="30"/>
      <c r="BQ105" s="30"/>
      <c r="BR105" s="30"/>
      <c r="BS105" s="30"/>
      <c r="BT105" s="30"/>
      <c r="IN105" s="30"/>
      <c r="IO105" s="30"/>
      <c r="IP105" s="30"/>
      <c r="IQ105" s="30"/>
      <c r="IR105" s="30"/>
      <c r="IS105" s="30"/>
      <c r="IT105" s="30"/>
      <c r="IU105" s="30"/>
      <c r="IV105" s="30"/>
    </row>
    <row r="106" spans="1:256" s="31" customFormat="1" ht="63.75">
      <c r="A106" s="370"/>
      <c r="B106" s="106">
        <v>102</v>
      </c>
      <c r="C106" s="108">
        <v>524753</v>
      </c>
      <c r="D106" s="13">
        <v>44119</v>
      </c>
      <c r="E106" s="25">
        <v>47020</v>
      </c>
      <c r="F106" s="25">
        <v>131186</v>
      </c>
      <c r="G106" s="25">
        <v>6865</v>
      </c>
      <c r="H106" s="25"/>
      <c r="I106" s="25"/>
      <c r="J106" s="25">
        <v>542</v>
      </c>
      <c r="K106" s="25">
        <v>3</v>
      </c>
      <c r="L106" s="148" t="s">
        <v>52</v>
      </c>
      <c r="M106" s="148" t="s">
        <v>620</v>
      </c>
      <c r="N106" s="148" t="s">
        <v>621</v>
      </c>
      <c r="O106" s="148"/>
      <c r="P106" s="148" t="s">
        <v>402</v>
      </c>
      <c r="Q106" s="148"/>
      <c r="R106" s="148"/>
      <c r="S106" s="148"/>
      <c r="T106" s="25">
        <v>1</v>
      </c>
      <c r="U106" s="26"/>
      <c r="V106" s="25"/>
      <c r="W106" s="25"/>
      <c r="X106" s="148" t="s">
        <v>161</v>
      </c>
      <c r="Y106" s="25">
        <v>2</v>
      </c>
      <c r="Z106" s="26"/>
      <c r="AA106" s="27">
        <f>+Y106+1</f>
        <v>3</v>
      </c>
      <c r="AB106" s="26"/>
      <c r="AC106" s="27">
        <f>+Y106*2</f>
        <v>4</v>
      </c>
      <c r="AD106" s="26"/>
      <c r="AE106" s="183"/>
      <c r="AF106" s="183"/>
      <c r="AG106" s="183">
        <f>44.9+2.12/2</f>
        <v>45.96</v>
      </c>
      <c r="AH106" s="183">
        <v>127.51</v>
      </c>
      <c r="AI106" s="192"/>
      <c r="AJ106" s="193"/>
      <c r="AK106" s="194">
        <v>287.70999999999998</v>
      </c>
      <c r="AL106" s="194">
        <f>+(44.9+2.12+AH106)/AK106</f>
        <v>0.60661777484272361</v>
      </c>
      <c r="AM106" s="194">
        <f>+(AG106+AH106)/AK106</f>
        <v>0.60293350943658552</v>
      </c>
      <c r="AN106" s="194"/>
      <c r="AO106" s="263">
        <f>+(12923*AH106)+(4*12923+5*9693+10*6462)/19*AG106</f>
        <v>2046398.6205263159</v>
      </c>
      <c r="AP106" s="292">
        <v>30572.7</v>
      </c>
      <c r="AQ106" s="313" t="s">
        <v>36</v>
      </c>
      <c r="AR106" s="34" t="s">
        <v>622</v>
      </c>
      <c r="AS106" s="337">
        <v>44146</v>
      </c>
      <c r="AT106" s="337"/>
      <c r="AU106" s="317" t="s">
        <v>623</v>
      </c>
      <c r="AV106" s="29"/>
      <c r="AW106" s="29"/>
      <c r="AX106" s="29"/>
      <c r="AY106" s="29"/>
      <c r="AZ106" s="29"/>
      <c r="BA106" s="29"/>
      <c r="BB106" s="29"/>
      <c r="BC106" s="29"/>
      <c r="BD106" s="29"/>
      <c r="BE106" s="29"/>
      <c r="BF106" s="29"/>
      <c r="BG106" s="30"/>
      <c r="BH106" s="30"/>
      <c r="BI106" s="30"/>
      <c r="BJ106" s="30"/>
      <c r="BK106" s="30"/>
      <c r="BL106" s="30"/>
      <c r="BM106" s="30"/>
      <c r="BN106" s="30"/>
      <c r="BO106" s="30"/>
      <c r="BP106" s="30"/>
      <c r="BQ106" s="30"/>
      <c r="BR106" s="30"/>
      <c r="BS106" s="30"/>
      <c r="BT106" s="30"/>
      <c r="BU106" s="30"/>
      <c r="BV106" s="30"/>
      <c r="IP106" s="30"/>
      <c r="IQ106" s="30"/>
      <c r="IR106" s="30"/>
      <c r="IS106" s="30"/>
      <c r="IT106" s="30"/>
      <c r="IU106" s="30"/>
      <c r="IV106" s="30"/>
    </row>
    <row r="107" spans="1:256" s="31" customFormat="1" ht="63.75">
      <c r="A107" s="370"/>
      <c r="B107" s="106">
        <v>103</v>
      </c>
      <c r="C107" s="108" t="s">
        <v>624</v>
      </c>
      <c r="D107" s="13" t="s">
        <v>625</v>
      </c>
      <c r="E107" s="25">
        <v>163059</v>
      </c>
      <c r="F107" s="25">
        <v>33322</v>
      </c>
      <c r="G107" s="25"/>
      <c r="H107" s="25">
        <v>224</v>
      </c>
      <c r="I107" s="25"/>
      <c r="J107" s="25"/>
      <c r="K107" s="25">
        <v>1</v>
      </c>
      <c r="L107" s="148" t="s">
        <v>39</v>
      </c>
      <c r="M107" s="148" t="s">
        <v>220</v>
      </c>
      <c r="N107" s="148" t="s">
        <v>626</v>
      </c>
      <c r="O107" s="148"/>
      <c r="P107" s="148" t="s">
        <v>627</v>
      </c>
      <c r="Q107" s="148" t="s">
        <v>627</v>
      </c>
      <c r="R107" s="148" t="s">
        <v>627</v>
      </c>
      <c r="S107" s="148" t="s">
        <v>197</v>
      </c>
      <c r="T107" s="25"/>
      <c r="U107" s="172">
        <v>1</v>
      </c>
      <c r="V107" s="25"/>
      <c r="W107" s="25"/>
      <c r="X107" s="148" t="s">
        <v>44</v>
      </c>
      <c r="Y107" s="25"/>
      <c r="Z107" s="26">
        <v>3</v>
      </c>
      <c r="AA107" s="25"/>
      <c r="AB107" s="26">
        <f>+Z107+2</f>
        <v>5</v>
      </c>
      <c r="AC107" s="25"/>
      <c r="AD107" s="80">
        <f>+Z107*2</f>
        <v>6</v>
      </c>
      <c r="AE107" s="236"/>
      <c r="AF107" s="237"/>
      <c r="AG107" s="219"/>
      <c r="AH107" s="242"/>
      <c r="AI107" s="243">
        <f>84.91+4.36/2+41.51</f>
        <v>128.6</v>
      </c>
      <c r="AJ107" s="244"/>
      <c r="AK107" s="214">
        <v>746.05</v>
      </c>
      <c r="AL107" s="194">
        <f>+(84.91+4.36)/AK107</f>
        <v>0.11965685945982173</v>
      </c>
      <c r="AM107" s="194">
        <f>+AI107/AK107</f>
        <v>0.17237450573017896</v>
      </c>
      <c r="AN107" s="194">
        <f>+(2+30)/(1+10)</f>
        <v>2.9090909090909092</v>
      </c>
      <c r="AO107" s="263">
        <f>+(6*12923+10*9693+6462*4)/20*AI107</f>
        <v>1288031.8799999999</v>
      </c>
      <c r="AP107" s="292">
        <v>5578.92</v>
      </c>
      <c r="AQ107" s="313" t="s">
        <v>36</v>
      </c>
      <c r="AR107" s="34" t="s">
        <v>628</v>
      </c>
      <c r="AS107" s="337">
        <v>44148</v>
      </c>
      <c r="AT107" s="337"/>
      <c r="AU107" s="317" t="s">
        <v>629</v>
      </c>
      <c r="AV107" s="29"/>
      <c r="AW107" s="29"/>
      <c r="AX107" s="29"/>
      <c r="AY107" s="29"/>
      <c r="AZ107" s="29"/>
      <c r="BA107" s="29"/>
      <c r="BB107" s="29"/>
      <c r="BC107" s="29"/>
      <c r="BD107" s="29"/>
      <c r="BE107" s="29"/>
      <c r="BF107" s="29"/>
      <c r="BG107" s="30"/>
      <c r="BH107" s="30"/>
      <c r="BI107" s="30"/>
      <c r="BJ107" s="30"/>
      <c r="BK107" s="30"/>
      <c r="BL107" s="30"/>
      <c r="BM107" s="30"/>
      <c r="BN107" s="30"/>
      <c r="BO107" s="30"/>
      <c r="BP107" s="30"/>
      <c r="BQ107" s="30"/>
      <c r="BR107" s="30"/>
      <c r="BS107" s="30"/>
      <c r="BT107" s="30"/>
      <c r="BU107" s="30"/>
      <c r="BV107" s="30"/>
      <c r="IP107" s="30"/>
      <c r="IQ107" s="30"/>
      <c r="IR107" s="30"/>
      <c r="IS107" s="30"/>
      <c r="IT107" s="30"/>
      <c r="IU107" s="30"/>
      <c r="IV107" s="30"/>
    </row>
    <row r="108" spans="1:256" s="31" customFormat="1" ht="63.75">
      <c r="A108" s="370"/>
      <c r="B108" s="106">
        <v>104</v>
      </c>
      <c r="C108" s="108">
        <v>523796</v>
      </c>
      <c r="D108" s="13">
        <v>44088</v>
      </c>
      <c r="E108" s="25">
        <v>53432</v>
      </c>
      <c r="F108" s="25">
        <v>162973</v>
      </c>
      <c r="G108" s="25">
        <v>9927</v>
      </c>
      <c r="H108" s="25"/>
      <c r="I108" s="25"/>
      <c r="J108" s="25">
        <v>453</v>
      </c>
      <c r="K108" s="25">
        <v>16</v>
      </c>
      <c r="L108" s="148" t="s">
        <v>31</v>
      </c>
      <c r="M108" s="148" t="s">
        <v>630</v>
      </c>
      <c r="N108" s="148" t="s">
        <v>631</v>
      </c>
      <c r="O108" s="148"/>
      <c r="P108" s="148" t="s">
        <v>190</v>
      </c>
      <c r="Q108" s="148" t="s">
        <v>190</v>
      </c>
      <c r="R108" s="148" t="s">
        <v>190</v>
      </c>
      <c r="S108" s="148" t="s">
        <v>632</v>
      </c>
      <c r="T108" s="25"/>
      <c r="U108" s="172">
        <v>2</v>
      </c>
      <c r="V108" s="25"/>
      <c r="W108" s="25"/>
      <c r="X108" s="148" t="s">
        <v>161</v>
      </c>
      <c r="Y108" s="25"/>
      <c r="Z108" s="26">
        <v>2</v>
      </c>
      <c r="AA108" s="25"/>
      <c r="AB108" s="26">
        <f>2+1</f>
        <v>3</v>
      </c>
      <c r="AC108" s="25"/>
      <c r="AD108" s="80">
        <f>+Z108*2</f>
        <v>4</v>
      </c>
      <c r="AE108" s="236"/>
      <c r="AF108" s="237"/>
      <c r="AG108" s="219"/>
      <c r="AH108" s="242"/>
      <c r="AI108" s="243">
        <v>108.72</v>
      </c>
      <c r="AJ108" s="244">
        <f>106.92+1.8/2</f>
        <v>107.82000000000001</v>
      </c>
      <c r="AK108" s="214">
        <v>181.25</v>
      </c>
      <c r="AL108" s="194">
        <f>+(106.92+1.8)/AK108</f>
        <v>0.59983448275862072</v>
      </c>
      <c r="AM108" s="194">
        <f>+(AI108+AJ108)/AK108</f>
        <v>1.1947034482758623</v>
      </c>
      <c r="AN108" s="194"/>
      <c r="AO108" s="263">
        <f>+(2*16157+12*12923+8*9693+6462*1)/23*AI108+AJ108*12923</f>
        <v>2676234.9521739129</v>
      </c>
      <c r="AP108" s="292">
        <v>9425.7000000000007</v>
      </c>
      <c r="AQ108" s="313" t="s">
        <v>65</v>
      </c>
      <c r="AR108" s="34" t="s">
        <v>633</v>
      </c>
      <c r="AS108" s="337">
        <v>44148</v>
      </c>
      <c r="AT108" s="337"/>
      <c r="AU108" s="317" t="s">
        <v>634</v>
      </c>
      <c r="AV108" s="29"/>
      <c r="AW108" s="29"/>
      <c r="AX108" s="29"/>
      <c r="AY108" s="29"/>
      <c r="AZ108" s="29"/>
      <c r="BA108" s="29"/>
      <c r="BB108" s="29"/>
      <c r="BC108" s="29"/>
      <c r="BD108" s="29"/>
      <c r="BE108" s="29"/>
      <c r="BF108" s="29"/>
      <c r="BG108" s="30"/>
      <c r="BH108" s="30"/>
      <c r="BI108" s="30"/>
      <c r="BJ108" s="30"/>
      <c r="BK108" s="30"/>
      <c r="BL108" s="30"/>
      <c r="BM108" s="30"/>
      <c r="BN108" s="30"/>
      <c r="BO108" s="30"/>
      <c r="BP108" s="30"/>
      <c r="BQ108" s="30"/>
      <c r="BR108" s="30"/>
      <c r="BS108" s="30"/>
      <c r="BT108" s="30"/>
      <c r="BU108" s="30"/>
      <c r="BV108" s="30"/>
      <c r="IP108" s="30"/>
      <c r="IQ108" s="30"/>
      <c r="IR108" s="30"/>
      <c r="IS108" s="30"/>
      <c r="IT108" s="30"/>
      <c r="IU108" s="30"/>
      <c r="IV108" s="30"/>
    </row>
    <row r="109" spans="1:256" s="31" customFormat="1" ht="38.25">
      <c r="A109" s="370"/>
      <c r="B109" s="106">
        <v>105</v>
      </c>
      <c r="C109" s="108" t="s">
        <v>635</v>
      </c>
      <c r="D109" s="13">
        <v>44110</v>
      </c>
      <c r="E109" s="25">
        <v>43113</v>
      </c>
      <c r="F109" s="25">
        <v>141062</v>
      </c>
      <c r="G109" s="25">
        <v>32107</v>
      </c>
      <c r="H109" s="25">
        <v>3</v>
      </c>
      <c r="I109" s="25"/>
      <c r="J109" s="25">
        <v>7</v>
      </c>
      <c r="K109" s="25">
        <v>15</v>
      </c>
      <c r="L109" s="148" t="s">
        <v>636</v>
      </c>
      <c r="M109" s="148" t="s">
        <v>637</v>
      </c>
      <c r="N109" s="148" t="s">
        <v>638</v>
      </c>
      <c r="O109" s="148"/>
      <c r="P109" s="148" t="s">
        <v>248</v>
      </c>
      <c r="Q109" s="148" t="s">
        <v>248</v>
      </c>
      <c r="R109" s="148" t="s">
        <v>248</v>
      </c>
      <c r="S109" s="148" t="s">
        <v>639</v>
      </c>
      <c r="T109" s="25"/>
      <c r="U109" s="26">
        <v>1</v>
      </c>
      <c r="V109" s="25"/>
      <c r="W109" s="25"/>
      <c r="X109" s="148" t="s">
        <v>44</v>
      </c>
      <c r="Y109" s="25"/>
      <c r="Z109" s="26">
        <v>3</v>
      </c>
      <c r="AA109" s="27"/>
      <c r="AB109" s="26">
        <f>+Z109+2</f>
        <v>5</v>
      </c>
      <c r="AC109" s="27"/>
      <c r="AD109" s="26">
        <f>+Z109*2</f>
        <v>6</v>
      </c>
      <c r="AE109" s="183"/>
      <c r="AF109" s="183"/>
      <c r="AG109" s="183"/>
      <c r="AH109" s="183"/>
      <c r="AI109" s="192">
        <f>+(101.58+77.06/2+105.76+3.51/2+3.78/2)</f>
        <v>249.51499999999999</v>
      </c>
      <c r="AJ109" s="193"/>
      <c r="AK109" s="194">
        <v>858.33</v>
      </c>
      <c r="AL109" s="194">
        <f>+(101.58+77.6)/AK109</f>
        <v>0.20875420875420875</v>
      </c>
      <c r="AM109" s="194">
        <f>+AI109/AK109</f>
        <v>0.29069821630375259</v>
      </c>
      <c r="AN109" s="194"/>
      <c r="AO109" s="263">
        <v>200000</v>
      </c>
      <c r="AP109" s="292">
        <v>23675.69</v>
      </c>
      <c r="AQ109" s="313" t="s">
        <v>36</v>
      </c>
      <c r="AR109" s="34" t="s">
        <v>640</v>
      </c>
      <c r="AS109" s="337">
        <v>44148</v>
      </c>
      <c r="AT109" s="337"/>
      <c r="AU109" s="317" t="s">
        <v>641</v>
      </c>
      <c r="AV109" s="29"/>
      <c r="AW109" s="29"/>
      <c r="AX109" s="29"/>
      <c r="AY109" s="29"/>
      <c r="AZ109" s="29"/>
      <c r="BA109" s="29"/>
      <c r="BB109" s="29"/>
      <c r="BC109" s="29"/>
      <c r="BD109" s="29"/>
      <c r="BE109" s="29"/>
      <c r="BF109" s="29"/>
      <c r="BG109" s="30"/>
      <c r="BH109" s="30"/>
      <c r="BI109" s="30"/>
      <c r="BJ109" s="30"/>
      <c r="BK109" s="30"/>
      <c r="BL109" s="30"/>
      <c r="BM109" s="30"/>
      <c r="BN109" s="30"/>
      <c r="BO109" s="30"/>
      <c r="BP109" s="30"/>
      <c r="BQ109" s="30"/>
      <c r="BR109" s="30"/>
      <c r="BS109" s="30"/>
      <c r="BT109" s="30"/>
      <c r="BU109" s="30"/>
      <c r="BV109" s="30"/>
      <c r="IP109" s="30"/>
      <c r="IQ109" s="30"/>
      <c r="IR109" s="30"/>
      <c r="IS109" s="30"/>
      <c r="IT109" s="30"/>
      <c r="IU109" s="30"/>
      <c r="IV109" s="30"/>
    </row>
    <row r="110" spans="1:256" s="31" customFormat="1" ht="63.75">
      <c r="A110" s="370"/>
      <c r="B110" s="106">
        <v>114</v>
      </c>
      <c r="C110" s="108">
        <v>524029</v>
      </c>
      <c r="D110" s="13">
        <v>44095</v>
      </c>
      <c r="E110" s="25">
        <v>53518</v>
      </c>
      <c r="F110" s="25">
        <v>137826</v>
      </c>
      <c r="G110" s="25">
        <v>8484</v>
      </c>
      <c r="H110" s="25"/>
      <c r="I110" s="25">
        <v>121</v>
      </c>
      <c r="J110" s="25">
        <v>662</v>
      </c>
      <c r="K110" s="25">
        <v>14</v>
      </c>
      <c r="L110" s="148" t="s">
        <v>108</v>
      </c>
      <c r="M110" s="148" t="s">
        <v>642</v>
      </c>
      <c r="N110" s="148" t="s">
        <v>643</v>
      </c>
      <c r="O110" s="148"/>
      <c r="P110" s="148" t="s">
        <v>391</v>
      </c>
      <c r="Q110" s="148" t="s">
        <v>391</v>
      </c>
      <c r="R110" s="148" t="s">
        <v>391</v>
      </c>
      <c r="S110" s="148" t="s">
        <v>546</v>
      </c>
      <c r="T110" s="25"/>
      <c r="U110" s="172">
        <v>1</v>
      </c>
      <c r="V110" s="25"/>
      <c r="W110" s="25"/>
      <c r="X110" s="148" t="s">
        <v>44</v>
      </c>
      <c r="Y110" s="25"/>
      <c r="Z110" s="26">
        <v>3</v>
      </c>
      <c r="AA110" s="25"/>
      <c r="AB110" s="26">
        <f>+Z110+1</f>
        <v>4</v>
      </c>
      <c r="AC110" s="25"/>
      <c r="AD110" s="80">
        <f>+Z110*2</f>
        <v>6</v>
      </c>
      <c r="AE110" s="236"/>
      <c r="AF110" s="237"/>
      <c r="AG110" s="219"/>
      <c r="AH110" s="242"/>
      <c r="AI110" s="243">
        <f>109.05+20.25/2</f>
        <v>119.175</v>
      </c>
      <c r="AJ110" s="244"/>
      <c r="AK110" s="214">
        <v>297.73</v>
      </c>
      <c r="AL110" s="194">
        <f>+(109.05+20.25)/AK110</f>
        <v>0.43428609814261243</v>
      </c>
      <c r="AM110" s="194">
        <f>+AI110/AK110</f>
        <v>0.40027877607228024</v>
      </c>
      <c r="AN110" s="194"/>
      <c r="AO110" s="263">
        <f>+(11*16157+7*12923+4*9693)/22*AI110</f>
        <v>1662816.2727272727</v>
      </c>
      <c r="AP110" s="292">
        <v>7205.62</v>
      </c>
      <c r="AQ110" s="313" t="s">
        <v>644</v>
      </c>
      <c r="AR110" s="34" t="s">
        <v>645</v>
      </c>
      <c r="AS110" s="337">
        <v>44161</v>
      </c>
      <c r="AT110" s="337"/>
      <c r="AU110" s="317" t="s">
        <v>646</v>
      </c>
      <c r="AV110" s="29"/>
      <c r="AW110" s="29"/>
      <c r="AX110" s="29"/>
      <c r="AY110" s="29"/>
      <c r="AZ110" s="29"/>
      <c r="BA110" s="29"/>
      <c r="BB110" s="29"/>
      <c r="BC110" s="29"/>
      <c r="BD110" s="29"/>
      <c r="BE110" s="29"/>
      <c r="BF110" s="29"/>
      <c r="BG110" s="30"/>
      <c r="BH110" s="30"/>
      <c r="BI110" s="30"/>
      <c r="BJ110" s="30"/>
      <c r="BK110" s="30"/>
      <c r="BL110" s="30"/>
      <c r="BM110" s="30"/>
      <c r="BN110" s="30"/>
      <c r="BO110" s="30"/>
      <c r="BP110" s="30"/>
      <c r="BQ110" s="30"/>
      <c r="BR110" s="30"/>
      <c r="BS110" s="30"/>
      <c r="BT110" s="30"/>
      <c r="BU110" s="30"/>
      <c r="BV110" s="30"/>
      <c r="IP110" s="30"/>
      <c r="IQ110" s="30"/>
      <c r="IR110" s="30"/>
      <c r="IS110" s="30"/>
      <c r="IT110" s="30"/>
      <c r="IU110" s="30"/>
      <c r="IV110" s="30"/>
    </row>
    <row r="111" spans="1:256" s="31" customFormat="1" ht="63.75">
      <c r="A111" s="370"/>
      <c r="B111" s="118">
        <v>107</v>
      </c>
      <c r="C111" s="142">
        <v>524890</v>
      </c>
      <c r="D111" s="81">
        <v>44124</v>
      </c>
      <c r="E111" s="25">
        <v>51769</v>
      </c>
      <c r="F111" s="25">
        <v>161522</v>
      </c>
      <c r="G111" s="25">
        <v>21201</v>
      </c>
      <c r="H111" s="25">
        <v>41</v>
      </c>
      <c r="I111" s="25"/>
      <c r="J111" s="25">
        <v>394</v>
      </c>
      <c r="K111" s="25">
        <v>6</v>
      </c>
      <c r="L111" s="148" t="s">
        <v>52</v>
      </c>
      <c r="M111" s="148" t="s">
        <v>647</v>
      </c>
      <c r="N111" s="148" t="s">
        <v>648</v>
      </c>
      <c r="O111" s="148"/>
      <c r="P111" s="148" t="s">
        <v>612</v>
      </c>
      <c r="Q111" s="148"/>
      <c r="R111" s="148"/>
      <c r="S111" s="148"/>
      <c r="T111" s="25"/>
      <c r="U111" s="26"/>
      <c r="V111" s="25">
        <v>1</v>
      </c>
      <c r="W111" s="25"/>
      <c r="X111" s="148" t="s">
        <v>57</v>
      </c>
      <c r="Y111" s="25"/>
      <c r="Z111" s="26"/>
      <c r="AA111" s="27"/>
      <c r="AB111" s="26"/>
      <c r="AC111" s="27"/>
      <c r="AD111" s="26"/>
      <c r="AE111" s="183"/>
      <c r="AF111" s="183">
        <v>96.8</v>
      </c>
      <c r="AG111" s="183"/>
      <c r="AH111" s="183">
        <v>48</v>
      </c>
      <c r="AI111" s="192"/>
      <c r="AJ111" s="193"/>
      <c r="AK111" s="194">
        <v>1004.29</v>
      </c>
      <c r="AL111" s="194">
        <f>+(AF111+AH111)/AK111</f>
        <v>0.14418146153003616</v>
      </c>
      <c r="AM111" s="194">
        <f>+AL111</f>
        <v>0.14418146153003616</v>
      </c>
      <c r="AN111" s="194"/>
      <c r="AO111" s="263">
        <f>+AH111*12964</f>
        <v>622272</v>
      </c>
      <c r="AP111" s="292">
        <v>10069.35</v>
      </c>
      <c r="AQ111" s="313" t="s">
        <v>36</v>
      </c>
      <c r="AR111" s="34" t="s">
        <v>649</v>
      </c>
      <c r="AS111" s="337">
        <v>44152</v>
      </c>
      <c r="AT111" s="337"/>
      <c r="AU111" s="317" t="s">
        <v>650</v>
      </c>
      <c r="AV111" s="29"/>
      <c r="AW111" s="29"/>
      <c r="AX111" s="29"/>
      <c r="AY111" s="29"/>
      <c r="AZ111" s="29"/>
      <c r="BA111" s="29"/>
      <c r="BB111" s="29"/>
      <c r="BC111" s="29"/>
      <c r="BD111" s="29"/>
      <c r="BE111" s="29"/>
      <c r="BF111" s="29"/>
      <c r="BG111" s="30"/>
      <c r="BH111" s="30"/>
      <c r="BI111" s="30"/>
      <c r="BJ111" s="30"/>
      <c r="BK111" s="30"/>
      <c r="BL111" s="30"/>
      <c r="BM111" s="30"/>
      <c r="BN111" s="30"/>
      <c r="BO111" s="30"/>
      <c r="BP111" s="30"/>
      <c r="BQ111" s="30"/>
      <c r="BR111" s="30"/>
      <c r="BS111" s="30"/>
      <c r="BT111" s="30"/>
      <c r="BU111" s="30"/>
      <c r="BV111" s="30"/>
      <c r="IP111" s="30"/>
      <c r="IQ111" s="30"/>
      <c r="IR111" s="30"/>
      <c r="IS111" s="30"/>
      <c r="IT111" s="30"/>
      <c r="IU111" s="30"/>
      <c r="IV111" s="30"/>
    </row>
    <row r="112" spans="1:256" s="31" customFormat="1" ht="51">
      <c r="A112" s="370"/>
      <c r="B112" s="106">
        <v>106</v>
      </c>
      <c r="C112" s="108">
        <v>525194</v>
      </c>
      <c r="D112" s="40" t="s">
        <v>475</v>
      </c>
      <c r="E112" s="25">
        <v>44233</v>
      </c>
      <c r="F112" s="25">
        <v>140999</v>
      </c>
      <c r="G112" s="25">
        <v>32103</v>
      </c>
      <c r="H112" s="25"/>
      <c r="I112" s="25"/>
      <c r="J112" s="25">
        <v>4</v>
      </c>
      <c r="K112" s="25">
        <v>15</v>
      </c>
      <c r="L112" s="148" t="s">
        <v>651</v>
      </c>
      <c r="M112" s="148" t="s">
        <v>652</v>
      </c>
      <c r="N112" s="148" t="s">
        <v>653</v>
      </c>
      <c r="O112" s="148"/>
      <c r="P112" s="148" t="s">
        <v>248</v>
      </c>
      <c r="Q112" s="148" t="s">
        <v>248</v>
      </c>
      <c r="R112" s="148"/>
      <c r="S112" s="148" t="s">
        <v>197</v>
      </c>
      <c r="T112" s="25">
        <v>1</v>
      </c>
      <c r="U112" s="26"/>
      <c r="V112" s="25"/>
      <c r="W112" s="25"/>
      <c r="X112" s="148" t="s">
        <v>44</v>
      </c>
      <c r="Y112" s="25">
        <v>3</v>
      </c>
      <c r="Z112" s="26"/>
      <c r="AA112" s="27">
        <f>+Y112+1</f>
        <v>4</v>
      </c>
      <c r="AB112" s="26"/>
      <c r="AC112" s="27">
        <f>+Y112*2</f>
        <v>6</v>
      </c>
      <c r="AD112" s="26"/>
      <c r="AE112" s="183">
        <f>151.89+48.11</f>
        <v>200</v>
      </c>
      <c r="AF112" s="183"/>
      <c r="AG112" s="183"/>
      <c r="AH112" s="183"/>
      <c r="AI112" s="192"/>
      <c r="AJ112" s="193"/>
      <c r="AK112" s="194">
        <v>800</v>
      </c>
      <c r="AL112" s="194">
        <f>+AE112/AK112</f>
        <v>0.25</v>
      </c>
      <c r="AM112" s="194">
        <f>+(151.89+48.11/2)/AK112</f>
        <v>0.21993124999999999</v>
      </c>
      <c r="AN112" s="194"/>
      <c r="AO112" s="263">
        <v>195000</v>
      </c>
      <c r="AP112" s="292"/>
      <c r="AQ112" s="313" t="s">
        <v>36</v>
      </c>
      <c r="AR112" s="34" t="s">
        <v>654</v>
      </c>
      <c r="AS112" s="337">
        <v>44152</v>
      </c>
      <c r="AT112" s="337"/>
      <c r="AU112" s="317" t="s">
        <v>655</v>
      </c>
      <c r="AV112" s="29"/>
      <c r="AW112" s="29"/>
      <c r="AX112" s="29"/>
      <c r="AY112" s="29"/>
      <c r="AZ112" s="29"/>
      <c r="BA112" s="29"/>
      <c r="BB112" s="29"/>
      <c r="BC112" s="29"/>
      <c r="BD112" s="29"/>
      <c r="BE112" s="29"/>
      <c r="BF112" s="29"/>
      <c r="BG112" s="30"/>
      <c r="BH112" s="30"/>
      <c r="BI112" s="30"/>
      <c r="BJ112" s="30"/>
      <c r="BK112" s="30"/>
      <c r="BL112" s="30"/>
      <c r="BM112" s="30"/>
      <c r="BN112" s="30"/>
      <c r="BO112" s="30"/>
      <c r="BP112" s="30"/>
      <c r="BQ112" s="30"/>
      <c r="BR112" s="30"/>
      <c r="BS112" s="30"/>
      <c r="BT112" s="30"/>
      <c r="BU112" s="30"/>
      <c r="BV112" s="30"/>
      <c r="IP112" s="30"/>
      <c r="IQ112" s="30"/>
      <c r="IR112" s="30"/>
      <c r="IS112" s="30"/>
      <c r="IT112" s="30"/>
      <c r="IU112" s="30"/>
      <c r="IV112" s="30"/>
    </row>
    <row r="113" spans="1:256" s="87" customFormat="1" ht="63.75">
      <c r="A113" s="374"/>
      <c r="B113" s="118">
        <v>111</v>
      </c>
      <c r="C113" s="142" t="s">
        <v>656</v>
      </c>
      <c r="D113" s="82">
        <v>44019</v>
      </c>
      <c r="E113" s="83">
        <v>410</v>
      </c>
      <c r="F113" s="83">
        <v>1093</v>
      </c>
      <c r="G113" s="83">
        <v>4816</v>
      </c>
      <c r="H113" s="83"/>
      <c r="I113" s="83"/>
      <c r="J113" s="83">
        <v>165</v>
      </c>
      <c r="K113" s="83">
        <v>12</v>
      </c>
      <c r="L113" s="163" t="s">
        <v>108</v>
      </c>
      <c r="M113" s="164" t="s">
        <v>657</v>
      </c>
      <c r="N113" s="165"/>
      <c r="O113" s="163" t="s">
        <v>658</v>
      </c>
      <c r="P113" s="163" t="s">
        <v>391</v>
      </c>
      <c r="Q113" s="163" t="s">
        <v>391</v>
      </c>
      <c r="R113" s="163" t="s">
        <v>391</v>
      </c>
      <c r="S113" s="163" t="s">
        <v>575</v>
      </c>
      <c r="T113" s="83"/>
      <c r="U113" s="84">
        <v>19</v>
      </c>
      <c r="V113" s="83"/>
      <c r="W113" s="83"/>
      <c r="X113" s="163" t="s">
        <v>96</v>
      </c>
      <c r="Y113" s="83"/>
      <c r="Z113" s="84">
        <v>1</v>
      </c>
      <c r="AA113" s="85"/>
      <c r="AB113" s="84">
        <v>2</v>
      </c>
      <c r="AC113" s="85"/>
      <c r="AD113" s="84">
        <f>+Z113*2</f>
        <v>2</v>
      </c>
      <c r="AE113" s="245"/>
      <c r="AF113" s="245"/>
      <c r="AG113" s="245">
        <f>1038.23+398.29/2-AI113</f>
        <v>1197.345</v>
      </c>
      <c r="AH113" s="245"/>
      <c r="AI113" s="246">
        <v>40.03</v>
      </c>
      <c r="AJ113" s="247"/>
      <c r="AK113" s="248">
        <v>715.2</v>
      </c>
      <c r="AL113" s="248">
        <v>0.51</v>
      </c>
      <c r="AM113" s="248">
        <v>1.49</v>
      </c>
      <c r="AN113" s="248"/>
      <c r="AO113" s="301">
        <f>+(16157*2+8*12923+16*9693)/26*AI113</f>
        <v>447698.59923076926</v>
      </c>
      <c r="AP113" s="302">
        <v>5789</v>
      </c>
      <c r="AQ113" s="332" t="s">
        <v>36</v>
      </c>
      <c r="AR113" s="86" t="s">
        <v>659</v>
      </c>
      <c r="AS113" s="351">
        <v>44155</v>
      </c>
      <c r="AT113" s="351"/>
      <c r="AU113" s="333" t="s">
        <v>660</v>
      </c>
    </row>
    <row r="114" spans="1:256" s="31" customFormat="1" ht="51">
      <c r="A114" s="370"/>
      <c r="B114" s="106">
        <v>112</v>
      </c>
      <c r="C114" s="108" t="s">
        <v>661</v>
      </c>
      <c r="D114" s="13">
        <v>44056</v>
      </c>
      <c r="E114" s="25"/>
      <c r="F114" s="25">
        <v>60370</v>
      </c>
      <c r="G114" s="25">
        <v>30324</v>
      </c>
      <c r="H114" s="25">
        <v>291</v>
      </c>
      <c r="I114" s="25"/>
      <c r="J114" s="25"/>
      <c r="K114" s="25">
        <v>18</v>
      </c>
      <c r="L114" s="148" t="s">
        <v>39</v>
      </c>
      <c r="M114" s="148" t="s">
        <v>662</v>
      </c>
      <c r="N114" s="148" t="s">
        <v>663</v>
      </c>
      <c r="O114" s="148" t="s">
        <v>664</v>
      </c>
      <c r="P114" s="148" t="s">
        <v>436</v>
      </c>
      <c r="Q114" s="148" t="s">
        <v>436</v>
      </c>
      <c r="R114" s="148" t="s">
        <v>436</v>
      </c>
      <c r="S114" s="148" t="s">
        <v>197</v>
      </c>
      <c r="T114" s="25"/>
      <c r="U114" s="26">
        <v>1</v>
      </c>
      <c r="V114" s="25"/>
      <c r="W114" s="25"/>
      <c r="X114" s="148" t="s">
        <v>665</v>
      </c>
      <c r="Y114" s="25"/>
      <c r="Z114" s="26">
        <v>2</v>
      </c>
      <c r="AA114" s="27"/>
      <c r="AB114" s="26">
        <f>+Z114+1</f>
        <v>3</v>
      </c>
      <c r="AC114" s="27"/>
      <c r="AD114" s="26">
        <f>+Z114*2</f>
        <v>4</v>
      </c>
      <c r="AE114" s="183"/>
      <c r="AF114" s="183"/>
      <c r="AG114" s="183"/>
      <c r="AH114" s="183"/>
      <c r="AI114" s="192">
        <f>90+80.1/2+33+4.3/2</f>
        <v>165.20000000000002</v>
      </c>
      <c r="AJ114" s="193"/>
      <c r="AK114" s="194">
        <v>1856.44</v>
      </c>
      <c r="AL114" s="194">
        <f>+(90+80.1)/AK114</f>
        <v>9.1626984982008566E-2</v>
      </c>
      <c r="AM114" s="194">
        <f>+AI114/AK114</f>
        <v>8.8987524509275828E-2</v>
      </c>
      <c r="AN114" s="194"/>
      <c r="AO114" s="263">
        <f>+(7*3157+12923*4+9*9693+2*6462)/22*AI114</f>
        <v>1306221.3818181821</v>
      </c>
      <c r="AP114" s="292">
        <v>7924.51</v>
      </c>
      <c r="AQ114" s="313" t="s">
        <v>36</v>
      </c>
      <c r="AR114" s="34" t="s">
        <v>666</v>
      </c>
      <c r="AS114" s="337">
        <v>44160</v>
      </c>
      <c r="AT114" s="337"/>
      <c r="AU114" s="317" t="s">
        <v>667</v>
      </c>
      <c r="AV114" s="29"/>
      <c r="AW114" s="29"/>
      <c r="AX114" s="29"/>
      <c r="AY114" s="29"/>
      <c r="AZ114" s="29"/>
      <c r="BA114" s="29"/>
      <c r="BB114" s="29"/>
      <c r="BC114" s="29"/>
      <c r="BD114" s="29"/>
      <c r="BE114" s="29"/>
      <c r="BF114" s="29"/>
      <c r="BG114" s="30"/>
      <c r="BH114" s="30"/>
      <c r="BI114" s="30"/>
      <c r="BJ114" s="30"/>
      <c r="BK114" s="30"/>
      <c r="BL114" s="30"/>
      <c r="BM114" s="30"/>
      <c r="BN114" s="30"/>
      <c r="BO114" s="30"/>
      <c r="BP114" s="30"/>
      <c r="BQ114" s="30"/>
      <c r="BR114" s="30"/>
      <c r="BS114" s="30"/>
      <c r="BT114" s="30"/>
      <c r="BU114" s="30"/>
      <c r="BV114" s="30"/>
      <c r="IP114" s="30"/>
      <c r="IQ114" s="30"/>
      <c r="IR114" s="30"/>
      <c r="IS114" s="30"/>
      <c r="IT114" s="30"/>
      <c r="IU114" s="30"/>
      <c r="IV114" s="30"/>
    </row>
    <row r="115" spans="1:256" s="31" customFormat="1" ht="51">
      <c r="A115" s="370"/>
      <c r="B115" s="106">
        <v>113</v>
      </c>
      <c r="C115" s="108" t="s">
        <v>668</v>
      </c>
      <c r="D115" s="13">
        <v>44089</v>
      </c>
      <c r="E115" s="25">
        <v>1007</v>
      </c>
      <c r="F115" s="25"/>
      <c r="G115" s="25">
        <v>2739</v>
      </c>
      <c r="H115" s="25"/>
      <c r="I115" s="25"/>
      <c r="J115" s="25">
        <v>577</v>
      </c>
      <c r="K115" s="25">
        <v>3</v>
      </c>
      <c r="L115" s="148" t="s">
        <v>52</v>
      </c>
      <c r="M115" s="148" t="s">
        <v>669</v>
      </c>
      <c r="N115" s="148" t="s">
        <v>670</v>
      </c>
      <c r="O115" s="148"/>
      <c r="P115" s="148" t="s">
        <v>210</v>
      </c>
      <c r="Q115" s="148"/>
      <c r="R115" s="148"/>
      <c r="S115" s="148"/>
      <c r="T115" s="25">
        <v>6</v>
      </c>
      <c r="U115" s="26"/>
      <c r="V115" s="25"/>
      <c r="W115" s="25"/>
      <c r="X115" s="148" t="s">
        <v>606</v>
      </c>
      <c r="Y115" s="25">
        <f>1+1+3+2+1</f>
        <v>8</v>
      </c>
      <c r="Z115" s="26"/>
      <c r="AA115" s="27">
        <f>1+1+1+2+1</f>
        <v>6</v>
      </c>
      <c r="AB115" s="26"/>
      <c r="AC115" s="27">
        <f>+Y115*2</f>
        <v>16</v>
      </c>
      <c r="AD115" s="26"/>
      <c r="AE115" s="183">
        <v>47.88</v>
      </c>
      <c r="AF115" s="183"/>
      <c r="AG115" s="183">
        <f>32.4/2+26.94+239.55+75.02-AH115</f>
        <v>339.31399999999996</v>
      </c>
      <c r="AH115" s="183">
        <f>6.3*(2.77+0.15)</f>
        <v>18.396000000000001</v>
      </c>
      <c r="AI115" s="192"/>
      <c r="AJ115" s="193"/>
      <c r="AK115" s="194">
        <v>559.01</v>
      </c>
      <c r="AL115" s="194">
        <f>+(47.88+32.4+26.94+239.55)/AK115</f>
        <v>0.62032879554927456</v>
      </c>
      <c r="AM115" s="194">
        <f>+(AE115+AG115+AH115)/AK115</f>
        <v>0.72555052682420706</v>
      </c>
      <c r="AN115" s="194"/>
      <c r="AO115" s="263">
        <f>4500+((11*12923+9693*8+6462*4)/23*32.4+26.94/2+239.55+75.02)</f>
        <v>350726.21391304344</v>
      </c>
      <c r="AP115" s="292">
        <v>56673.95</v>
      </c>
      <c r="AQ115" s="313" t="s">
        <v>595</v>
      </c>
      <c r="AR115" s="34" t="s">
        <v>671</v>
      </c>
      <c r="AS115" s="337">
        <v>44160</v>
      </c>
      <c r="AT115" s="337"/>
      <c r="AU115" s="317" t="s">
        <v>672</v>
      </c>
      <c r="AV115" s="29"/>
      <c r="AW115" s="29"/>
      <c r="AX115" s="29"/>
      <c r="AY115" s="29"/>
      <c r="AZ115" s="29"/>
      <c r="BA115" s="29"/>
      <c r="BB115" s="29"/>
      <c r="BC115" s="29"/>
      <c r="BD115" s="29"/>
      <c r="BE115" s="29"/>
      <c r="BF115" s="29"/>
      <c r="BG115" s="30"/>
      <c r="BH115" s="30"/>
      <c r="BI115" s="30"/>
      <c r="BJ115" s="30"/>
      <c r="BK115" s="30"/>
      <c r="BL115" s="30"/>
      <c r="BM115" s="30"/>
      <c r="BN115" s="30"/>
      <c r="BO115" s="30"/>
      <c r="BP115" s="30"/>
      <c r="BQ115" s="30"/>
      <c r="BR115" s="30"/>
      <c r="BS115" s="30"/>
      <c r="BT115" s="30"/>
      <c r="BU115" s="30"/>
      <c r="BV115" s="30"/>
      <c r="IP115" s="30"/>
      <c r="IQ115" s="30"/>
      <c r="IR115" s="30"/>
      <c r="IS115" s="30"/>
      <c r="IT115" s="30"/>
      <c r="IU115" s="30"/>
      <c r="IV115" s="30"/>
    </row>
    <row r="116" spans="1:256" s="64" customFormat="1" ht="89.25">
      <c r="A116" s="372"/>
      <c r="B116" s="119">
        <v>108</v>
      </c>
      <c r="C116" s="398">
        <v>518954</v>
      </c>
      <c r="D116" s="88">
        <v>43860</v>
      </c>
      <c r="E116" s="65">
        <v>41106</v>
      </c>
      <c r="F116" s="65">
        <v>139548</v>
      </c>
      <c r="G116" s="65">
        <v>8456</v>
      </c>
      <c r="H116" s="65"/>
      <c r="I116" s="65">
        <v>76</v>
      </c>
      <c r="J116" s="65">
        <v>515</v>
      </c>
      <c r="K116" s="65">
        <v>6</v>
      </c>
      <c r="L116" s="157" t="s">
        <v>31</v>
      </c>
      <c r="M116" s="157" t="s">
        <v>673</v>
      </c>
      <c r="N116" s="157" t="s">
        <v>674</v>
      </c>
      <c r="O116" s="157"/>
      <c r="P116" s="157" t="s">
        <v>436</v>
      </c>
      <c r="Q116" s="157" t="s">
        <v>436</v>
      </c>
      <c r="R116" s="157" t="s">
        <v>437</v>
      </c>
      <c r="S116" s="157" t="s">
        <v>197</v>
      </c>
      <c r="T116" s="65"/>
      <c r="U116" s="89"/>
      <c r="V116" s="65">
        <v>1</v>
      </c>
      <c r="W116" s="65"/>
      <c r="X116" s="157" t="s">
        <v>675</v>
      </c>
      <c r="Y116" s="65">
        <v>1</v>
      </c>
      <c r="Z116" s="89">
        <v>2</v>
      </c>
      <c r="AA116" s="90">
        <v>2</v>
      </c>
      <c r="AB116" s="89">
        <v>2</v>
      </c>
      <c r="AC116" s="90">
        <f>+Y116*2</f>
        <v>2</v>
      </c>
      <c r="AD116" s="89">
        <f>+Z116*2</f>
        <v>4</v>
      </c>
      <c r="AE116" s="211">
        <f>+(0.15+2.9+0.15+2.9+0.15)*(0.15+3.55+0.15+1.3+0.15/2)+9*4.26+0.7*9/2+4.25*9/2</f>
        <v>93.271250000000009</v>
      </c>
      <c r="AF116" s="211">
        <f>109.65+54.5/2-AE116</f>
        <v>43.628749999999997</v>
      </c>
      <c r="AG116" s="211"/>
      <c r="AH116" s="211"/>
      <c r="AI116" s="249">
        <v>38.340000000000003</v>
      </c>
      <c r="AJ116" s="250"/>
      <c r="AK116" s="213">
        <v>333</v>
      </c>
      <c r="AL116" s="213">
        <f>+(109.65+54.5)/AK116</f>
        <v>0.49294294294294294</v>
      </c>
      <c r="AM116" s="213">
        <f>+(AE116+AF116+AI116)/AK116</f>
        <v>0.52624624624624627</v>
      </c>
      <c r="AN116" s="213"/>
      <c r="AO116" s="293">
        <f>+(10*12923+4*9693+6462*6)/20*AI116</f>
        <v>396385.75800000009</v>
      </c>
      <c r="AP116" s="293">
        <v>2219.17</v>
      </c>
      <c r="AQ116" s="325" t="s">
        <v>36</v>
      </c>
      <c r="AR116" s="60" t="s">
        <v>676</v>
      </c>
      <c r="AS116" s="348">
        <v>44153</v>
      </c>
      <c r="AT116" s="348"/>
      <c r="AU116" s="326" t="s">
        <v>677</v>
      </c>
      <c r="AV116" s="67"/>
      <c r="AW116" s="67"/>
      <c r="AX116" s="67"/>
      <c r="AY116" s="67"/>
      <c r="AZ116" s="67"/>
      <c r="BA116" s="67"/>
      <c r="BB116" s="67"/>
      <c r="BC116" s="67"/>
      <c r="BD116" s="67"/>
      <c r="BE116" s="67"/>
      <c r="BF116" s="67"/>
      <c r="BG116" s="63"/>
      <c r="BH116" s="63"/>
      <c r="BI116" s="63"/>
      <c r="BJ116" s="63"/>
      <c r="BK116" s="63"/>
      <c r="BL116" s="63"/>
      <c r="BM116" s="63"/>
      <c r="BN116" s="63"/>
      <c r="BO116" s="63"/>
      <c r="BP116" s="63"/>
      <c r="BQ116" s="63"/>
      <c r="BR116" s="63"/>
      <c r="BS116" s="63"/>
      <c r="BT116" s="63"/>
      <c r="BU116" s="63"/>
      <c r="BV116" s="63"/>
      <c r="IP116" s="63"/>
      <c r="IQ116" s="63"/>
      <c r="IR116" s="63"/>
      <c r="IS116" s="63"/>
      <c r="IT116" s="63"/>
      <c r="IU116" s="63"/>
      <c r="IV116" s="63"/>
    </row>
    <row r="117" spans="1:256" s="31" customFormat="1" ht="38.25">
      <c r="A117" s="370"/>
      <c r="B117" s="106">
        <v>110</v>
      </c>
      <c r="C117" s="108" t="s">
        <v>678</v>
      </c>
      <c r="D117" s="13">
        <v>44148</v>
      </c>
      <c r="E117" s="25">
        <v>54638</v>
      </c>
      <c r="F117" s="25">
        <v>163808</v>
      </c>
      <c r="G117" s="25">
        <v>33418</v>
      </c>
      <c r="H117" s="25">
        <v>310</v>
      </c>
      <c r="I117" s="25"/>
      <c r="J117" s="25">
        <v>2</v>
      </c>
      <c r="K117" s="25">
        <v>25</v>
      </c>
      <c r="L117" s="148" t="s">
        <v>679</v>
      </c>
      <c r="M117" s="148" t="s">
        <v>680</v>
      </c>
      <c r="N117" s="148" t="s">
        <v>681</v>
      </c>
      <c r="O117" s="148"/>
      <c r="P117" s="148" t="s">
        <v>124</v>
      </c>
      <c r="Q117" s="148" t="s">
        <v>124</v>
      </c>
      <c r="R117" s="148" t="s">
        <v>124</v>
      </c>
      <c r="S117" s="148" t="s">
        <v>497</v>
      </c>
      <c r="T117" s="25"/>
      <c r="U117" s="26">
        <v>1</v>
      </c>
      <c r="V117" s="25"/>
      <c r="W117" s="25"/>
      <c r="X117" s="148" t="s">
        <v>44</v>
      </c>
      <c r="Y117" s="25"/>
      <c r="Z117" s="26">
        <v>1</v>
      </c>
      <c r="AA117" s="27"/>
      <c r="AB117" s="26">
        <f>+Z117+1</f>
        <v>2</v>
      </c>
      <c r="AC117" s="27"/>
      <c r="AD117" s="26">
        <f>+Z117*2</f>
        <v>2</v>
      </c>
      <c r="AE117" s="183"/>
      <c r="AF117" s="183"/>
      <c r="AG117" s="183"/>
      <c r="AH117" s="183"/>
      <c r="AI117" s="192">
        <f>60.79+52.72/2</f>
        <v>87.15</v>
      </c>
      <c r="AJ117" s="193"/>
      <c r="AK117" s="194">
        <v>450</v>
      </c>
      <c r="AL117" s="194">
        <f>+(60.79+52.72)/AK117</f>
        <v>0.25224444444444444</v>
      </c>
      <c r="AM117" s="194">
        <f>+AI117/AK117</f>
        <v>0.19366666666666668</v>
      </c>
      <c r="AN117" s="194"/>
      <c r="AO117" s="263">
        <f>+(1*16157+12923*4+9693*6+6462*10)/21*AI117</f>
        <v>791102.05</v>
      </c>
      <c r="AP117" s="292">
        <v>3777.64</v>
      </c>
      <c r="AQ117" s="313" t="s">
        <v>36</v>
      </c>
      <c r="AR117" s="34" t="s">
        <v>682</v>
      </c>
      <c r="AS117" s="337">
        <v>44154</v>
      </c>
      <c r="AT117" s="337"/>
      <c r="AU117" s="317" t="s">
        <v>683</v>
      </c>
      <c r="AV117" s="29"/>
      <c r="AW117" s="29"/>
      <c r="AX117" s="29"/>
      <c r="AY117" s="29"/>
      <c r="AZ117" s="29"/>
      <c r="BA117" s="29"/>
      <c r="BB117" s="29"/>
      <c r="BC117" s="29"/>
      <c r="BD117" s="29"/>
      <c r="BE117" s="29"/>
      <c r="BF117" s="29"/>
      <c r="BG117" s="30"/>
      <c r="BH117" s="30"/>
      <c r="BI117" s="30"/>
      <c r="BJ117" s="30"/>
      <c r="BK117" s="30"/>
      <c r="BL117" s="30"/>
      <c r="BM117" s="30"/>
      <c r="BN117" s="30"/>
      <c r="BO117" s="30"/>
      <c r="BP117" s="30"/>
      <c r="BQ117" s="30"/>
      <c r="BR117" s="30"/>
      <c r="BS117" s="30"/>
      <c r="BT117" s="30"/>
      <c r="BU117" s="30"/>
      <c r="BV117" s="30"/>
      <c r="IP117" s="30"/>
      <c r="IQ117" s="30"/>
      <c r="IR117" s="30"/>
      <c r="IS117" s="30"/>
      <c r="IT117" s="30"/>
      <c r="IU117" s="30"/>
      <c r="IV117" s="30"/>
    </row>
    <row r="118" spans="1:256" s="64" customFormat="1" ht="76.5">
      <c r="A118" s="372"/>
      <c r="B118" s="120">
        <v>109</v>
      </c>
      <c r="C118" s="65">
        <v>520042</v>
      </c>
      <c r="D118" s="91">
        <v>43887</v>
      </c>
      <c r="E118" s="65">
        <v>54662</v>
      </c>
      <c r="F118" s="65">
        <v>164050</v>
      </c>
      <c r="G118" s="65">
        <v>31469</v>
      </c>
      <c r="H118" s="65">
        <v>3</v>
      </c>
      <c r="I118" s="65"/>
      <c r="J118" s="65"/>
      <c r="K118" s="65">
        <v>26</v>
      </c>
      <c r="L118" s="157" t="s">
        <v>381</v>
      </c>
      <c r="M118" s="157" t="s">
        <v>684</v>
      </c>
      <c r="N118" s="157" t="s">
        <v>685</v>
      </c>
      <c r="O118" s="157"/>
      <c r="P118" s="157" t="s">
        <v>686</v>
      </c>
      <c r="Q118" s="157"/>
      <c r="R118" s="157"/>
      <c r="S118" s="157"/>
      <c r="T118" s="65">
        <v>2</v>
      </c>
      <c r="U118" s="89"/>
      <c r="V118" s="65"/>
      <c r="W118" s="65"/>
      <c r="X118" s="157" t="s">
        <v>161</v>
      </c>
      <c r="Y118" s="65">
        <v>2</v>
      </c>
      <c r="Z118" s="89"/>
      <c r="AA118" s="90">
        <f>+Y118+1</f>
        <v>3</v>
      </c>
      <c r="AB118" s="89"/>
      <c r="AC118" s="90">
        <f>+Y118*2</f>
        <v>4</v>
      </c>
      <c r="AD118" s="89"/>
      <c r="AE118" s="211"/>
      <c r="AF118" s="211"/>
      <c r="AG118" s="211">
        <f>144.3+4.2/2-AH118</f>
        <v>110.89400000000001</v>
      </c>
      <c r="AH118" s="212">
        <f>+(4.03+0.3)*(7.9+0.3)</f>
        <v>35.506000000000007</v>
      </c>
      <c r="AI118" s="251"/>
      <c r="AJ118" s="251"/>
      <c r="AK118" s="212">
        <v>4059</v>
      </c>
      <c r="AL118" s="212">
        <f>+(AG118+AH118)/AK118</f>
        <v>3.6067997043606803E-2</v>
      </c>
      <c r="AM118" s="212">
        <f>+AL118</f>
        <v>3.6067997043606803E-2</v>
      </c>
      <c r="AN118" s="212"/>
      <c r="AO118" s="290">
        <f>+AH118*12923+((6*16157+6*12923+2*9693+6462*6)/20*AG118)</f>
        <v>1748751.9566000002</v>
      </c>
      <c r="AP118" s="291">
        <v>25740.19</v>
      </c>
      <c r="AQ118" s="324" t="s">
        <v>386</v>
      </c>
      <c r="AR118" s="61" t="s">
        <v>687</v>
      </c>
      <c r="AS118" s="347">
        <v>44154</v>
      </c>
      <c r="AT118" s="360"/>
      <c r="AU118" s="326" t="s">
        <v>688</v>
      </c>
      <c r="AV118" s="62"/>
      <c r="AW118" s="62"/>
      <c r="AX118" s="62"/>
      <c r="AY118" s="62"/>
      <c r="AZ118" s="62"/>
      <c r="BA118" s="62"/>
      <c r="BB118" s="62"/>
      <c r="BC118" s="62"/>
      <c r="BD118" s="62"/>
      <c r="BE118" s="63"/>
      <c r="BF118" s="63"/>
      <c r="BG118" s="63"/>
      <c r="BH118" s="63"/>
      <c r="BI118" s="63"/>
      <c r="BJ118" s="63"/>
      <c r="BK118" s="63"/>
      <c r="BL118" s="63"/>
      <c r="BM118" s="63"/>
      <c r="BN118" s="63"/>
      <c r="BO118" s="63"/>
      <c r="BP118" s="63"/>
      <c r="BQ118" s="63"/>
      <c r="BR118" s="63"/>
      <c r="BS118" s="63"/>
      <c r="BT118" s="63"/>
      <c r="IN118" s="63"/>
      <c r="IO118" s="63"/>
      <c r="IP118" s="63"/>
      <c r="IQ118" s="63"/>
      <c r="IR118" s="63"/>
      <c r="IS118" s="63"/>
      <c r="IT118" s="63"/>
      <c r="IU118" s="63"/>
      <c r="IV118" s="63"/>
    </row>
    <row r="119" spans="1:256" s="31" customFormat="1" ht="63.75">
      <c r="A119" s="370"/>
      <c r="B119" s="106">
        <v>115</v>
      </c>
      <c r="C119" s="108">
        <v>525120</v>
      </c>
      <c r="D119" s="13">
        <v>44133</v>
      </c>
      <c r="E119" s="25">
        <v>55793</v>
      </c>
      <c r="F119" s="25">
        <v>164675</v>
      </c>
      <c r="G119" s="25"/>
      <c r="H119" s="25"/>
      <c r="I119" s="25"/>
      <c r="J119" s="25">
        <v>349</v>
      </c>
      <c r="K119" s="25"/>
      <c r="L119" s="148" t="s">
        <v>31</v>
      </c>
      <c r="M119" s="148" t="s">
        <v>689</v>
      </c>
      <c r="N119" s="148" t="s">
        <v>690</v>
      </c>
      <c r="O119" s="148"/>
      <c r="P119" s="148" t="s">
        <v>102</v>
      </c>
      <c r="Q119" s="148"/>
      <c r="R119" s="148"/>
      <c r="S119" s="148"/>
      <c r="T119" s="25">
        <v>3</v>
      </c>
      <c r="U119" s="26"/>
      <c r="V119" s="25"/>
      <c r="W119" s="25"/>
      <c r="X119" s="148" t="s">
        <v>57</v>
      </c>
      <c r="Y119" s="25"/>
      <c r="Z119" s="26"/>
      <c r="AA119" s="27"/>
      <c r="AB119" s="26"/>
      <c r="AC119" s="27"/>
      <c r="AD119" s="26"/>
      <c r="AE119" s="183"/>
      <c r="AF119" s="183">
        <f>552.79+14.87+48.43+1.22/2</f>
        <v>616.69999999999993</v>
      </c>
      <c r="AG119" s="183"/>
      <c r="AH119" s="183">
        <f>66+1.22/2</f>
        <v>66.61</v>
      </c>
      <c r="AI119" s="192"/>
      <c r="AJ119" s="193"/>
      <c r="AK119" s="194">
        <v>911.25</v>
      </c>
      <c r="AL119" s="194">
        <f>+(552.79+66+1.22)/AK119</f>
        <v>0.68039506172839503</v>
      </c>
      <c r="AM119" s="194">
        <f>+(AF119+AH119)/AK119</f>
        <v>0.74986008230452672</v>
      </c>
      <c r="AN119" s="194"/>
      <c r="AO119" s="263">
        <f>12923*AH119</f>
        <v>860801.03</v>
      </c>
      <c r="AP119" s="292">
        <v>12377.73</v>
      </c>
      <c r="AQ119" s="313" t="s">
        <v>65</v>
      </c>
      <c r="AR119" s="34" t="s">
        <v>691</v>
      </c>
      <c r="AS119" s="337">
        <v>44162</v>
      </c>
      <c r="AT119" s="337"/>
      <c r="AU119" s="317" t="s">
        <v>692</v>
      </c>
      <c r="AV119" s="29"/>
      <c r="AW119" s="29"/>
      <c r="AX119" s="29"/>
      <c r="AY119" s="29"/>
      <c r="AZ119" s="29"/>
      <c r="BA119" s="29"/>
      <c r="BB119" s="29"/>
      <c r="BC119" s="29"/>
      <c r="BD119" s="29"/>
      <c r="BE119" s="29"/>
      <c r="BF119" s="29"/>
      <c r="BG119" s="30"/>
      <c r="BH119" s="30"/>
      <c r="BI119" s="30"/>
      <c r="BJ119" s="30"/>
      <c r="BK119" s="30"/>
      <c r="BL119" s="30"/>
      <c r="BM119" s="30"/>
      <c r="BN119" s="30"/>
      <c r="BO119" s="30"/>
      <c r="BP119" s="30"/>
      <c r="BQ119" s="30"/>
      <c r="BR119" s="30"/>
      <c r="BS119" s="30"/>
      <c r="BT119" s="30"/>
      <c r="BU119" s="30"/>
      <c r="BV119" s="30"/>
      <c r="IP119" s="30"/>
      <c r="IQ119" s="30"/>
      <c r="IR119" s="30"/>
      <c r="IS119" s="30"/>
      <c r="IT119" s="30"/>
      <c r="IU119" s="30"/>
      <c r="IV119" s="30"/>
    </row>
    <row r="120" spans="1:256" s="31" customFormat="1" ht="39" thickBot="1">
      <c r="A120" s="371"/>
      <c r="B120" s="112">
        <v>116</v>
      </c>
      <c r="C120" s="387" t="s">
        <v>693</v>
      </c>
      <c r="D120" s="53">
        <v>44105</v>
      </c>
      <c r="E120" s="54">
        <v>45438</v>
      </c>
      <c r="F120" s="54">
        <v>103169</v>
      </c>
      <c r="G120" s="54">
        <v>345</v>
      </c>
      <c r="H120" s="54"/>
      <c r="I120" s="54"/>
      <c r="J120" s="54">
        <v>51</v>
      </c>
      <c r="K120" s="54">
        <v>15</v>
      </c>
      <c r="L120" s="150" t="s">
        <v>31</v>
      </c>
      <c r="M120" s="150" t="s">
        <v>694</v>
      </c>
      <c r="N120" s="150" t="s">
        <v>695</v>
      </c>
      <c r="O120" s="150"/>
      <c r="P120" s="150" t="s">
        <v>696</v>
      </c>
      <c r="Q120" s="150" t="s">
        <v>696</v>
      </c>
      <c r="R120" s="150" t="s">
        <v>696</v>
      </c>
      <c r="S120" s="150" t="s">
        <v>462</v>
      </c>
      <c r="T120" s="54"/>
      <c r="U120" s="92">
        <v>1</v>
      </c>
      <c r="V120" s="54"/>
      <c r="W120" s="54"/>
      <c r="X120" s="150" t="s">
        <v>57</v>
      </c>
      <c r="Y120" s="54"/>
      <c r="Z120" s="92"/>
      <c r="AA120" s="93"/>
      <c r="AB120" s="92"/>
      <c r="AC120" s="93"/>
      <c r="AD120" s="92"/>
      <c r="AE120" s="187"/>
      <c r="AF120" s="187"/>
      <c r="AG120" s="187"/>
      <c r="AH120" s="187"/>
      <c r="AI120" s="252"/>
      <c r="AJ120" s="253">
        <v>75.540000000000006</v>
      </c>
      <c r="AK120" s="209">
        <v>143.62</v>
      </c>
      <c r="AL120" s="209">
        <f>+AJ120/AK120</f>
        <v>0.52597131318757839</v>
      </c>
      <c r="AM120" s="209">
        <f>+AJ120/AK120</f>
        <v>0.52597131318757839</v>
      </c>
      <c r="AN120" s="209"/>
      <c r="AO120" s="267">
        <f>+(AJ120*12923)+70000</f>
        <v>1046203.42</v>
      </c>
      <c r="AP120" s="303">
        <v>17009.810000000001</v>
      </c>
      <c r="AQ120" s="315" t="s">
        <v>36</v>
      </c>
      <c r="AR120" s="55" t="s">
        <v>697</v>
      </c>
      <c r="AS120" s="345">
        <v>44162</v>
      </c>
      <c r="AT120" s="345"/>
      <c r="AU120" s="322" t="s">
        <v>698</v>
      </c>
      <c r="AV120" s="29"/>
      <c r="AW120" s="29"/>
      <c r="AX120" s="29"/>
      <c r="AY120" s="29"/>
      <c r="AZ120" s="29"/>
      <c r="BA120" s="29"/>
      <c r="BB120" s="29"/>
      <c r="BC120" s="29"/>
      <c r="BD120" s="29"/>
      <c r="BE120" s="29"/>
      <c r="BF120" s="29"/>
      <c r="BG120" s="30"/>
      <c r="BH120" s="30"/>
      <c r="BI120" s="30"/>
      <c r="BJ120" s="30"/>
      <c r="BK120" s="30"/>
      <c r="BL120" s="30"/>
      <c r="BM120" s="30"/>
      <c r="BN120" s="30"/>
      <c r="BO120" s="30"/>
      <c r="BP120" s="30"/>
      <c r="BQ120" s="30"/>
      <c r="BR120" s="30"/>
      <c r="BS120" s="30"/>
      <c r="BT120" s="30"/>
      <c r="BU120" s="30"/>
      <c r="BV120" s="30"/>
      <c r="IP120" s="30"/>
      <c r="IQ120" s="30"/>
      <c r="IR120" s="30"/>
      <c r="IS120" s="30"/>
      <c r="IT120" s="30"/>
      <c r="IU120" s="30"/>
      <c r="IV120" s="30"/>
    </row>
    <row r="121" spans="1:256" s="12" customFormat="1" ht="51">
      <c r="A121" s="375" t="s">
        <v>699</v>
      </c>
      <c r="B121" s="121">
        <v>117</v>
      </c>
      <c r="C121" s="399" t="s">
        <v>700</v>
      </c>
      <c r="D121" s="94">
        <v>44047</v>
      </c>
      <c r="E121" s="19">
        <v>11915</v>
      </c>
      <c r="F121" s="19">
        <v>1430</v>
      </c>
      <c r="G121" s="19">
        <v>804</v>
      </c>
      <c r="H121" s="19"/>
      <c r="I121" s="19"/>
      <c r="J121" s="19">
        <v>185</v>
      </c>
      <c r="K121" s="19">
        <v>9</v>
      </c>
      <c r="L121" s="166" t="s">
        <v>86</v>
      </c>
      <c r="M121" s="166" t="s">
        <v>701</v>
      </c>
      <c r="N121" s="166" t="s">
        <v>702</v>
      </c>
      <c r="O121" s="151"/>
      <c r="P121" s="166" t="s">
        <v>703</v>
      </c>
      <c r="Q121" s="166" t="s">
        <v>703</v>
      </c>
      <c r="R121" s="166" t="s">
        <v>703</v>
      </c>
      <c r="S121" s="166" t="s">
        <v>704</v>
      </c>
      <c r="T121" s="19"/>
      <c r="U121" s="175">
        <v>1</v>
      </c>
      <c r="V121" s="19"/>
      <c r="W121" s="19"/>
      <c r="X121" s="166" t="s">
        <v>705</v>
      </c>
      <c r="Y121" s="19"/>
      <c r="Z121" s="175">
        <v>19</v>
      </c>
      <c r="AA121" s="180"/>
      <c r="AB121" s="175">
        <f>+Z121+14</f>
        <v>33</v>
      </c>
      <c r="AC121" s="180">
        <f>+Y121*2</f>
        <v>0</v>
      </c>
      <c r="AD121" s="175">
        <f>+Z121*2</f>
        <v>38</v>
      </c>
      <c r="AE121" s="189"/>
      <c r="AF121" s="189"/>
      <c r="AG121" s="189"/>
      <c r="AH121" s="190"/>
      <c r="AI121" s="254">
        <f>1467.55+255.55/2</f>
        <v>1595.325</v>
      </c>
      <c r="AJ121" s="255"/>
      <c r="AK121" s="206">
        <v>456.6</v>
      </c>
      <c r="AL121" s="206">
        <v>0.73</v>
      </c>
      <c r="AM121" s="206">
        <f>+AI121/AK121</f>
        <v>3.49392247043364</v>
      </c>
      <c r="AN121" s="206"/>
      <c r="AO121" s="304">
        <f>+(4*11168+8934*10+6*6700+3*4466)/23*(1467.55+255.55/2)</f>
        <v>13012996.663043479</v>
      </c>
      <c r="AP121" s="279">
        <v>44978.02</v>
      </c>
      <c r="AQ121" s="319" t="s">
        <v>65</v>
      </c>
      <c r="AR121" s="95" t="s">
        <v>706</v>
      </c>
      <c r="AS121" s="336">
        <v>44169</v>
      </c>
      <c r="AT121" s="336"/>
      <c r="AU121" s="381"/>
    </row>
    <row r="122" spans="1:256" s="31" customFormat="1" ht="63.75">
      <c r="A122" s="370"/>
      <c r="B122" s="106">
        <v>118</v>
      </c>
      <c r="C122" s="108" t="s">
        <v>707</v>
      </c>
      <c r="D122" s="13">
        <v>44098</v>
      </c>
      <c r="E122" s="25"/>
      <c r="F122" s="25">
        <v>60370</v>
      </c>
      <c r="G122" s="25">
        <v>30324</v>
      </c>
      <c r="H122" s="25"/>
      <c r="I122" s="25"/>
      <c r="J122" s="25"/>
      <c r="K122" s="25">
        <v>6</v>
      </c>
      <c r="L122" s="148" t="s">
        <v>679</v>
      </c>
      <c r="M122" s="148" t="s">
        <v>708</v>
      </c>
      <c r="N122" s="148" t="s">
        <v>709</v>
      </c>
      <c r="O122" s="148"/>
      <c r="P122" s="148" t="s">
        <v>710</v>
      </c>
      <c r="Q122" s="148" t="s">
        <v>710</v>
      </c>
      <c r="R122" s="148" t="s">
        <v>710</v>
      </c>
      <c r="S122" s="148" t="s">
        <v>217</v>
      </c>
      <c r="T122" s="25"/>
      <c r="U122" s="26">
        <v>1</v>
      </c>
      <c r="V122" s="25"/>
      <c r="W122" s="25"/>
      <c r="X122" s="148" t="s">
        <v>44</v>
      </c>
      <c r="Y122" s="25"/>
      <c r="Z122" s="26">
        <v>2</v>
      </c>
      <c r="AA122" s="27"/>
      <c r="AB122" s="26">
        <f>+Z122+1</f>
        <v>3</v>
      </c>
      <c r="AC122" s="27"/>
      <c r="AD122" s="26">
        <f>+Z122*2</f>
        <v>4</v>
      </c>
      <c r="AE122" s="183"/>
      <c r="AF122" s="183"/>
      <c r="AG122" s="183">
        <v>14.95</v>
      </c>
      <c r="AH122" s="183"/>
      <c r="AI122" s="192">
        <f>133.64+37.94/2</f>
        <v>152.60999999999999</v>
      </c>
      <c r="AJ122" s="193"/>
      <c r="AK122" s="194">
        <v>2782.84</v>
      </c>
      <c r="AL122" s="194">
        <f>+(AG122+133.64+37.94)/AK122</f>
        <v>6.7028646993718632E-2</v>
      </c>
      <c r="AM122" s="194">
        <f>+(AG122+AI122)/AK122</f>
        <v>6.021186988831552E-2</v>
      </c>
      <c r="AN122" s="194">
        <f>+(14+6+16)/(7+2+4)</f>
        <v>2.7692307692307692</v>
      </c>
      <c r="AO122" s="263">
        <f>+(9*16157+7*12923+2*9693+3*6462)/21*AI122</f>
        <v>1995891.7171428569</v>
      </c>
      <c r="AP122" s="292">
        <v>12660.19</v>
      </c>
      <c r="AQ122" s="313" t="s">
        <v>65</v>
      </c>
      <c r="AR122" s="34" t="s">
        <v>711</v>
      </c>
      <c r="AS122" s="337">
        <v>44169</v>
      </c>
      <c r="AT122" s="337"/>
      <c r="AU122" s="317" t="s">
        <v>712</v>
      </c>
      <c r="AV122" s="29"/>
      <c r="AW122" s="29"/>
      <c r="AX122" s="29"/>
      <c r="AY122" s="29"/>
      <c r="AZ122" s="29"/>
      <c r="BA122" s="29"/>
      <c r="BB122" s="29"/>
      <c r="BC122" s="29"/>
      <c r="BD122" s="29"/>
      <c r="BE122" s="29"/>
      <c r="BF122" s="29"/>
      <c r="BG122" s="30"/>
      <c r="BH122" s="30"/>
      <c r="BI122" s="30"/>
      <c r="BJ122" s="30"/>
      <c r="BK122" s="30"/>
      <c r="BL122" s="30"/>
      <c r="BM122" s="30"/>
      <c r="BN122" s="30"/>
      <c r="BO122" s="30"/>
      <c r="BP122" s="30"/>
      <c r="BQ122" s="30"/>
      <c r="BR122" s="30"/>
      <c r="BS122" s="30"/>
      <c r="BT122" s="30"/>
      <c r="BU122" s="30"/>
      <c r="BV122" s="30"/>
      <c r="IP122" s="30"/>
      <c r="IQ122" s="30"/>
      <c r="IR122" s="30"/>
      <c r="IS122" s="30"/>
      <c r="IT122" s="30"/>
      <c r="IU122" s="30"/>
      <c r="IV122" s="30"/>
    </row>
    <row r="123" spans="1:256" s="31" customFormat="1" ht="89.25">
      <c r="A123" s="370"/>
      <c r="B123" s="106">
        <v>119</v>
      </c>
      <c r="C123" s="108">
        <v>524231</v>
      </c>
      <c r="D123" s="13">
        <v>44104</v>
      </c>
      <c r="E123" s="25">
        <v>49185</v>
      </c>
      <c r="F123" s="25">
        <v>159463</v>
      </c>
      <c r="G123" s="25">
        <v>21119</v>
      </c>
      <c r="H123" s="25"/>
      <c r="I123" s="25"/>
      <c r="J123" s="25">
        <v>464</v>
      </c>
      <c r="K123" s="25">
        <v>6</v>
      </c>
      <c r="L123" s="148" t="s">
        <v>239</v>
      </c>
      <c r="M123" s="148" t="s">
        <v>713</v>
      </c>
      <c r="N123" s="148" t="s">
        <v>714</v>
      </c>
      <c r="O123" s="148"/>
      <c r="P123" s="148" t="s">
        <v>337</v>
      </c>
      <c r="Q123" s="148" t="s">
        <v>337</v>
      </c>
      <c r="R123" s="148" t="s">
        <v>337</v>
      </c>
      <c r="S123" s="148" t="s">
        <v>338</v>
      </c>
      <c r="T123" s="25">
        <v>1</v>
      </c>
      <c r="U123" s="26">
        <v>2</v>
      </c>
      <c r="V123" s="25"/>
      <c r="W123" s="25"/>
      <c r="X123" s="148" t="s">
        <v>96</v>
      </c>
      <c r="Y123" s="25">
        <v>2</v>
      </c>
      <c r="Z123" s="26">
        <v>4</v>
      </c>
      <c r="AA123" s="27">
        <f>+Y123</f>
        <v>2</v>
      </c>
      <c r="AB123" s="26"/>
      <c r="AC123" s="27"/>
      <c r="AD123" s="26"/>
      <c r="AE123" s="183"/>
      <c r="AF123" s="183"/>
      <c r="AG123" s="183">
        <f>73.47+12.64/2</f>
        <v>79.789999999999992</v>
      </c>
      <c r="AH123" s="183"/>
      <c r="AI123" s="192">
        <f>39.23+8.22/2+83.12+28.36/2</f>
        <v>140.64000000000001</v>
      </c>
      <c r="AJ123" s="193"/>
      <c r="AK123" s="194">
        <v>301.56</v>
      </c>
      <c r="AL123" s="194">
        <f>+(73.47+39.23+8.22+12.54)/AK123</f>
        <v>0.44256532696644107</v>
      </c>
      <c r="AM123" s="194">
        <f>+(AG123+AI123)/AK123</f>
        <v>0.73096564531104924</v>
      </c>
      <c r="AN123" s="194"/>
      <c r="AO123" s="263">
        <f>+(7*16157+6*12923+7*9693+6462*2)/22*AI123</f>
        <v>1735062.8945454545</v>
      </c>
      <c r="AP123" s="292">
        <v>21624.9</v>
      </c>
      <c r="AQ123" s="313" t="s">
        <v>644</v>
      </c>
      <c r="AR123" s="34" t="s">
        <v>715</v>
      </c>
      <c r="AS123" s="337">
        <v>44169</v>
      </c>
      <c r="AT123" s="337"/>
      <c r="AU123" s="317" t="s">
        <v>716</v>
      </c>
      <c r="AV123" s="29"/>
      <c r="AW123" s="29"/>
      <c r="AX123" s="29"/>
      <c r="AY123" s="29"/>
      <c r="AZ123" s="29"/>
      <c r="BA123" s="29"/>
      <c r="BB123" s="29"/>
      <c r="BC123" s="29"/>
      <c r="BD123" s="29"/>
      <c r="BE123" s="29"/>
      <c r="BF123" s="29"/>
      <c r="BG123" s="30"/>
      <c r="BH123" s="30"/>
      <c r="BI123" s="30"/>
      <c r="BJ123" s="30"/>
      <c r="BK123" s="30"/>
      <c r="BL123" s="30"/>
      <c r="BM123" s="30"/>
      <c r="BN123" s="30"/>
      <c r="BO123" s="30"/>
      <c r="BP123" s="30"/>
      <c r="BQ123" s="30"/>
      <c r="BR123" s="30"/>
      <c r="BS123" s="30"/>
      <c r="BT123" s="30"/>
      <c r="BU123" s="30"/>
      <c r="BV123" s="30"/>
      <c r="IP123" s="30"/>
      <c r="IQ123" s="30"/>
      <c r="IR123" s="30"/>
      <c r="IS123" s="30"/>
      <c r="IT123" s="30"/>
      <c r="IU123" s="30"/>
      <c r="IV123" s="30"/>
    </row>
    <row r="124" spans="1:256" s="31" customFormat="1" ht="89.25">
      <c r="A124" s="370"/>
      <c r="B124" s="122">
        <v>120</v>
      </c>
      <c r="C124" s="400" t="s">
        <v>717</v>
      </c>
      <c r="D124" s="96">
        <v>44118</v>
      </c>
      <c r="E124" s="110" t="s">
        <v>718</v>
      </c>
      <c r="F124" s="25">
        <v>161519</v>
      </c>
      <c r="G124" s="25" t="s">
        <v>719</v>
      </c>
      <c r="H124" s="25">
        <v>343</v>
      </c>
      <c r="I124" s="25"/>
      <c r="J124" s="25"/>
      <c r="K124" s="25">
        <v>20</v>
      </c>
      <c r="L124" s="148" t="s">
        <v>720</v>
      </c>
      <c r="M124" s="148" t="s">
        <v>721</v>
      </c>
      <c r="N124" s="148" t="s">
        <v>722</v>
      </c>
      <c r="O124" s="148"/>
      <c r="P124" s="148" t="s">
        <v>723</v>
      </c>
      <c r="Q124" s="148" t="s">
        <v>723</v>
      </c>
      <c r="R124" s="148" t="s">
        <v>723</v>
      </c>
      <c r="S124" s="148" t="s">
        <v>724</v>
      </c>
      <c r="T124" s="25"/>
      <c r="U124" s="26">
        <v>2</v>
      </c>
      <c r="V124" s="25"/>
      <c r="W124" s="25"/>
      <c r="X124" s="148" t="s">
        <v>725</v>
      </c>
      <c r="Y124" s="25"/>
      <c r="Z124" s="26"/>
      <c r="AA124" s="27"/>
      <c r="AB124" s="26"/>
      <c r="AC124" s="27"/>
      <c r="AD124" s="26"/>
      <c r="AE124" s="183"/>
      <c r="AF124" s="183"/>
      <c r="AG124" s="183"/>
      <c r="AH124" s="183"/>
      <c r="AI124" s="192"/>
      <c r="AJ124" s="193">
        <v>23.42</v>
      </c>
      <c r="AK124" s="194">
        <v>1077.22</v>
      </c>
      <c r="AL124" s="194">
        <f>+AJ124/AK124</f>
        <v>2.174114851191029E-2</v>
      </c>
      <c r="AM124" s="194">
        <f>+AL124</f>
        <v>2.174114851191029E-2</v>
      </c>
      <c r="AN124" s="194"/>
      <c r="AO124" s="263">
        <v>319256.96000000002</v>
      </c>
      <c r="AP124" s="292">
        <v>2991.77</v>
      </c>
      <c r="AQ124" s="313" t="s">
        <v>36</v>
      </c>
      <c r="AR124" s="34" t="s">
        <v>726</v>
      </c>
      <c r="AS124" s="337">
        <v>44169</v>
      </c>
      <c r="AT124" s="337"/>
      <c r="AU124" s="317" t="s">
        <v>727</v>
      </c>
      <c r="AV124" s="29"/>
      <c r="AW124" s="29"/>
      <c r="AX124" s="29"/>
      <c r="AY124" s="29"/>
      <c r="AZ124" s="29"/>
      <c r="BA124" s="29"/>
      <c r="BB124" s="29"/>
      <c r="BC124" s="29"/>
      <c r="BD124" s="29"/>
      <c r="BE124" s="29"/>
      <c r="BF124" s="29"/>
      <c r="BG124" s="30"/>
      <c r="BH124" s="30"/>
      <c r="BI124" s="30"/>
      <c r="BJ124" s="30"/>
      <c r="BK124" s="30"/>
      <c r="BL124" s="30"/>
      <c r="BM124" s="30"/>
      <c r="BN124" s="30"/>
      <c r="BO124" s="30"/>
      <c r="BP124" s="30"/>
      <c r="BQ124" s="30"/>
      <c r="BR124" s="30"/>
      <c r="BS124" s="30"/>
      <c r="BT124" s="30"/>
      <c r="BU124" s="30"/>
      <c r="BV124" s="30"/>
      <c r="IP124" s="30"/>
      <c r="IQ124" s="30"/>
      <c r="IR124" s="30"/>
      <c r="IS124" s="30"/>
      <c r="IT124" s="30"/>
      <c r="IU124" s="30"/>
      <c r="IV124" s="30"/>
    </row>
    <row r="125" spans="1:256" s="31" customFormat="1" ht="51">
      <c r="A125" s="370"/>
      <c r="B125" s="106">
        <v>121</v>
      </c>
      <c r="C125" s="108" t="s">
        <v>728</v>
      </c>
      <c r="D125" s="13">
        <v>44141</v>
      </c>
      <c r="E125" s="25">
        <v>114</v>
      </c>
      <c r="F125" s="25">
        <v>107941</v>
      </c>
      <c r="G125" s="25">
        <v>22082</v>
      </c>
      <c r="H125" s="25"/>
      <c r="I125" s="25"/>
      <c r="J125" s="25">
        <v>713</v>
      </c>
      <c r="K125" s="25">
        <v>3</v>
      </c>
      <c r="L125" s="148" t="s">
        <v>99</v>
      </c>
      <c r="M125" s="148" t="s">
        <v>729</v>
      </c>
      <c r="N125" s="148" t="s">
        <v>643</v>
      </c>
      <c r="O125" s="148"/>
      <c r="P125" s="148" t="s">
        <v>730</v>
      </c>
      <c r="Q125" s="148" t="s">
        <v>730</v>
      </c>
      <c r="R125" s="148" t="s">
        <v>730</v>
      </c>
      <c r="S125" s="148" t="s">
        <v>731</v>
      </c>
      <c r="T125" s="25"/>
      <c r="U125" s="26">
        <v>2</v>
      </c>
      <c r="V125" s="25"/>
      <c r="W125" s="25"/>
      <c r="X125" s="148" t="s">
        <v>44</v>
      </c>
      <c r="Y125" s="25"/>
      <c r="Z125" s="26">
        <f>2+2</f>
        <v>4</v>
      </c>
      <c r="AA125" s="27"/>
      <c r="AB125" s="26">
        <f>+Z125+2</f>
        <v>6</v>
      </c>
      <c r="AC125" s="27"/>
      <c r="AD125" s="26">
        <f>+Z125*2</f>
        <v>8</v>
      </c>
      <c r="AE125" s="183"/>
      <c r="AF125" s="183"/>
      <c r="AG125" s="183"/>
      <c r="AH125" s="183"/>
      <c r="AI125" s="192">
        <f>121.3+18.91/2+16.06/2+16.06/2</f>
        <v>146.815</v>
      </c>
      <c r="AJ125" s="193"/>
      <c r="AK125" s="194">
        <v>372</v>
      </c>
      <c r="AL125" s="194">
        <f>+(121.3+18.91+16.06+16.06)/AK125</f>
        <v>0.46325268817204307</v>
      </c>
      <c r="AM125" s="194">
        <f>+AI125/AK125</f>
        <v>0.39466397849462365</v>
      </c>
      <c r="AN125" s="194"/>
      <c r="AO125" s="263">
        <f>+(2*16157+8*12923+7*9693+3*6462)/20*AI125</f>
        <v>1636510.1012500001</v>
      </c>
      <c r="AP125" s="292">
        <v>7488.05</v>
      </c>
      <c r="AQ125" s="313" t="s">
        <v>65</v>
      </c>
      <c r="AR125" s="34" t="s">
        <v>732</v>
      </c>
      <c r="AS125" s="337">
        <v>44175</v>
      </c>
      <c r="AT125" s="337"/>
      <c r="AU125" s="317" t="s">
        <v>733</v>
      </c>
      <c r="AV125" s="29"/>
      <c r="AW125" s="29"/>
      <c r="AX125" s="29"/>
      <c r="AY125" s="29"/>
      <c r="AZ125" s="29"/>
      <c r="BA125" s="29"/>
      <c r="BB125" s="29"/>
      <c r="BC125" s="29"/>
      <c r="BD125" s="29"/>
      <c r="BE125" s="29"/>
      <c r="BF125" s="29"/>
      <c r="BG125" s="30"/>
      <c r="BH125" s="30"/>
      <c r="BI125" s="30"/>
      <c r="BJ125" s="30"/>
      <c r="BK125" s="30"/>
      <c r="BL125" s="30"/>
      <c r="BM125" s="30"/>
      <c r="BN125" s="30"/>
      <c r="BO125" s="30"/>
      <c r="BP125" s="30"/>
      <c r="BQ125" s="30"/>
      <c r="BR125" s="30"/>
      <c r="BS125" s="30"/>
      <c r="BT125" s="30"/>
      <c r="BU125" s="30"/>
      <c r="BV125" s="30"/>
      <c r="IP125" s="30"/>
      <c r="IQ125" s="30"/>
      <c r="IR125" s="30"/>
      <c r="IS125" s="30"/>
      <c r="IT125" s="30"/>
      <c r="IU125" s="30"/>
      <c r="IV125" s="30"/>
    </row>
    <row r="126" spans="1:256" s="31" customFormat="1" ht="51">
      <c r="A126" s="376"/>
      <c r="B126" s="106">
        <v>122</v>
      </c>
      <c r="C126" s="108">
        <v>525252</v>
      </c>
      <c r="D126" s="13">
        <v>44148</v>
      </c>
      <c r="E126" s="25">
        <v>10205</v>
      </c>
      <c r="F126" s="25">
        <v>158729</v>
      </c>
      <c r="G126" s="25">
        <v>32437</v>
      </c>
      <c r="H126" s="25">
        <v>111</v>
      </c>
      <c r="I126" s="25"/>
      <c r="J126" s="25">
        <v>14</v>
      </c>
      <c r="K126" s="25">
        <v>1</v>
      </c>
      <c r="L126" s="148" t="s">
        <v>39</v>
      </c>
      <c r="M126" s="148" t="s">
        <v>734</v>
      </c>
      <c r="N126" s="148" t="s">
        <v>735</v>
      </c>
      <c r="O126" s="148"/>
      <c r="P126" s="148" t="s">
        <v>203</v>
      </c>
      <c r="Q126" s="148" t="s">
        <v>203</v>
      </c>
      <c r="R126" s="148" t="s">
        <v>203</v>
      </c>
      <c r="S126" s="148" t="s">
        <v>736</v>
      </c>
      <c r="T126" s="25"/>
      <c r="U126" s="26">
        <v>1</v>
      </c>
      <c r="V126" s="25"/>
      <c r="W126" s="25"/>
      <c r="X126" s="148" t="s">
        <v>44</v>
      </c>
      <c r="Y126" s="25"/>
      <c r="Z126" s="26">
        <v>3</v>
      </c>
      <c r="AA126" s="25"/>
      <c r="AB126" s="26">
        <f>+Z126+1</f>
        <v>4</v>
      </c>
      <c r="AC126" s="25"/>
      <c r="AD126" s="26">
        <f>+Z126*2</f>
        <v>6</v>
      </c>
      <c r="AE126" s="183"/>
      <c r="AF126" s="183"/>
      <c r="AG126" s="183"/>
      <c r="AH126" s="183"/>
      <c r="AI126" s="192">
        <f>+(31.9/2+156.74+8.14/2)</f>
        <v>176.76</v>
      </c>
      <c r="AJ126" s="193"/>
      <c r="AK126" s="194">
        <v>2160</v>
      </c>
      <c r="AL126" s="256">
        <f>+(31.9+156.74+8.14)/AK126</f>
        <v>9.1101851851851864E-2</v>
      </c>
      <c r="AM126" s="194">
        <f>+AI126/AK126</f>
        <v>8.1833333333333327E-2</v>
      </c>
      <c r="AN126" s="194">
        <f>+(2+12+16)/(1+4+4)</f>
        <v>3.3333333333333335</v>
      </c>
      <c r="AO126" s="263">
        <f>430000+((7*12923+12*9693+2)/21*AI126)</f>
        <v>2170488.3828571429</v>
      </c>
      <c r="AP126" s="292">
        <v>30951.54</v>
      </c>
      <c r="AQ126" s="313" t="s">
        <v>36</v>
      </c>
      <c r="AR126" s="34" t="s">
        <v>737</v>
      </c>
      <c r="AS126" s="337">
        <v>44179</v>
      </c>
      <c r="AT126" s="337"/>
      <c r="AU126" s="317" t="s">
        <v>738</v>
      </c>
      <c r="AV126" s="97"/>
      <c r="AW126" s="97"/>
      <c r="AX126" s="97"/>
      <c r="AY126" s="97"/>
      <c r="AZ126" s="97"/>
      <c r="BA126" s="97"/>
      <c r="BB126" s="97"/>
      <c r="BC126" s="97"/>
      <c r="BD126" s="97"/>
      <c r="BE126" s="97"/>
      <c r="BF126" s="97"/>
    </row>
    <row r="127" spans="1:256" s="99" customFormat="1" ht="38.25">
      <c r="A127" s="377"/>
      <c r="B127" s="118">
        <v>123</v>
      </c>
      <c r="C127" s="142" t="s">
        <v>739</v>
      </c>
      <c r="D127" s="82">
        <v>44126</v>
      </c>
      <c r="E127" s="142">
        <v>57111</v>
      </c>
      <c r="F127" s="142">
        <v>165062</v>
      </c>
      <c r="G127" s="142">
        <v>33560</v>
      </c>
      <c r="H127" s="142">
        <v>341</v>
      </c>
      <c r="I127" s="142"/>
      <c r="J127" s="142">
        <v>2</v>
      </c>
      <c r="K127" s="142">
        <v>7</v>
      </c>
      <c r="L127" s="167" t="s">
        <v>720</v>
      </c>
      <c r="M127" s="167" t="s">
        <v>220</v>
      </c>
      <c r="N127" s="168" t="s">
        <v>740</v>
      </c>
      <c r="O127" s="169"/>
      <c r="P127" s="167" t="s">
        <v>741</v>
      </c>
      <c r="Q127" s="169"/>
      <c r="R127" s="169"/>
      <c r="S127" s="169"/>
      <c r="T127" s="176"/>
      <c r="U127" s="177">
        <v>1</v>
      </c>
      <c r="V127" s="176"/>
      <c r="W127" s="176"/>
      <c r="X127" s="167" t="s">
        <v>44</v>
      </c>
      <c r="Y127" s="176"/>
      <c r="Z127" s="26">
        <v>2</v>
      </c>
      <c r="AA127" s="25"/>
      <c r="AB127" s="26">
        <f>+Z127+1</f>
        <v>3</v>
      </c>
      <c r="AC127" s="25"/>
      <c r="AD127" s="26">
        <f>+Z127*2</f>
        <v>4</v>
      </c>
      <c r="AE127" s="183"/>
      <c r="AF127" s="183"/>
      <c r="AG127" s="183"/>
      <c r="AH127" s="183"/>
      <c r="AI127" s="192">
        <f>+(102.93+32.08/2)</f>
        <v>118.97</v>
      </c>
      <c r="AJ127" s="193"/>
      <c r="AK127" s="257">
        <v>992.9</v>
      </c>
      <c r="AL127" s="257">
        <f>+(102.93+32.08)/AK127</f>
        <v>0.13597542552120051</v>
      </c>
      <c r="AM127" s="257">
        <f>+AI127/AK127</f>
        <v>0.11982072716285629</v>
      </c>
      <c r="AN127" s="257"/>
      <c r="AO127" s="305">
        <f>+(7*12923+5*9693+7*6462)/19*AI127</f>
        <v>1153132.3789473684</v>
      </c>
      <c r="AP127" s="305">
        <v>46843.02</v>
      </c>
      <c r="AQ127" s="170" t="s">
        <v>36</v>
      </c>
      <c r="AR127" s="86" t="s">
        <v>742</v>
      </c>
      <c r="AS127" s="352">
        <v>44180</v>
      </c>
      <c r="AT127" s="352"/>
      <c r="AU127" s="382" t="s">
        <v>743</v>
      </c>
    </row>
    <row r="128" spans="1:256" s="99" customFormat="1" ht="63.75">
      <c r="A128" s="377"/>
      <c r="B128" s="123">
        <v>125</v>
      </c>
      <c r="C128" s="143">
        <v>525934</v>
      </c>
      <c r="D128" s="98">
        <v>44167</v>
      </c>
      <c r="E128" s="143">
        <v>71</v>
      </c>
      <c r="F128" s="143">
        <v>1128</v>
      </c>
      <c r="G128" s="143">
        <v>4820</v>
      </c>
      <c r="H128" s="143"/>
      <c r="I128" s="143"/>
      <c r="J128" s="143">
        <v>47</v>
      </c>
      <c r="K128" s="143">
        <v>1</v>
      </c>
      <c r="L128" s="170" t="s">
        <v>31</v>
      </c>
      <c r="M128" s="167" t="s">
        <v>744</v>
      </c>
      <c r="N128" s="168" t="s">
        <v>745</v>
      </c>
      <c r="O128" s="170"/>
      <c r="P128" s="167" t="s">
        <v>177</v>
      </c>
      <c r="Q128" s="167"/>
      <c r="R128" s="167"/>
      <c r="S128" s="167"/>
      <c r="T128" s="142">
        <v>1</v>
      </c>
      <c r="U128" s="100"/>
      <c r="V128" s="142"/>
      <c r="W128" s="142"/>
      <c r="X128" s="167" t="s">
        <v>44</v>
      </c>
      <c r="Y128" s="142">
        <f>2+2</f>
        <v>4</v>
      </c>
      <c r="Z128" s="26"/>
      <c r="AA128" s="25">
        <f>+Y128+1</f>
        <v>5</v>
      </c>
      <c r="AB128" s="26"/>
      <c r="AC128" s="25">
        <f>+Y128*2</f>
        <v>8</v>
      </c>
      <c r="AD128" s="26"/>
      <c r="AE128" s="183">
        <f>55.65+1.75/2</f>
        <v>56.524999999999999</v>
      </c>
      <c r="AF128" s="183"/>
      <c r="AG128" s="183">
        <f>44.45+11.56/2</f>
        <v>50.230000000000004</v>
      </c>
      <c r="AH128" s="183"/>
      <c r="AI128" s="192"/>
      <c r="AJ128" s="193"/>
      <c r="AK128" s="258">
        <v>480.41</v>
      </c>
      <c r="AL128" s="258">
        <f>+(65.65+1.75+44.45+11.55)/AK128</f>
        <v>0.25686392872754521</v>
      </c>
      <c r="AM128" s="258">
        <f>+(AE128+AG128)/AK128</f>
        <v>0.22221644012406067</v>
      </c>
      <c r="AN128" s="258">
        <f>+(15+12)/(5+3)</f>
        <v>3.375</v>
      </c>
      <c r="AO128" s="306">
        <f>+(9*12923+9*9693+3*6462)/21*AG128</f>
        <v>533227.32857142866</v>
      </c>
      <c r="AP128" s="306">
        <v>8158.15</v>
      </c>
      <c r="AQ128" s="167" t="s">
        <v>65</v>
      </c>
      <c r="AR128" s="86" t="s">
        <v>746</v>
      </c>
      <c r="AS128" s="351">
        <v>44180</v>
      </c>
      <c r="AT128" s="351"/>
      <c r="AU128" s="382" t="s">
        <v>747</v>
      </c>
    </row>
    <row r="129" spans="1:256" s="31" customFormat="1" ht="102">
      <c r="A129" s="370"/>
      <c r="B129" s="106">
        <v>127</v>
      </c>
      <c r="C129" s="108" t="s">
        <v>748</v>
      </c>
      <c r="D129" s="13">
        <v>44111</v>
      </c>
      <c r="E129" s="25">
        <v>38236</v>
      </c>
      <c r="F129" s="25">
        <v>137251</v>
      </c>
      <c r="G129" s="25">
        <v>20355</v>
      </c>
      <c r="H129" s="25">
        <v>49</v>
      </c>
      <c r="I129" s="25"/>
      <c r="J129" s="25">
        <v>381</v>
      </c>
      <c r="K129" s="25">
        <v>7</v>
      </c>
      <c r="L129" s="148" t="s">
        <v>52</v>
      </c>
      <c r="M129" s="148" t="s">
        <v>749</v>
      </c>
      <c r="N129" s="148" t="s">
        <v>750</v>
      </c>
      <c r="O129" s="148"/>
      <c r="P129" s="148" t="s">
        <v>686</v>
      </c>
      <c r="Q129" s="148"/>
      <c r="R129" s="148"/>
      <c r="S129" s="148"/>
      <c r="T129" s="25"/>
      <c r="U129" s="26"/>
      <c r="V129" s="25">
        <v>1</v>
      </c>
      <c r="W129" s="25"/>
      <c r="X129" s="148" t="s">
        <v>44</v>
      </c>
      <c r="Y129" s="25">
        <v>1</v>
      </c>
      <c r="Z129" s="26">
        <v>2</v>
      </c>
      <c r="AA129" s="27">
        <f>+Y129+1</f>
        <v>2</v>
      </c>
      <c r="AB129" s="26">
        <f>+Z129</f>
        <v>2</v>
      </c>
      <c r="AC129" s="27">
        <f>+Y129*2</f>
        <v>2</v>
      </c>
      <c r="AD129" s="26">
        <f>+Z129*2</f>
        <v>4</v>
      </c>
      <c r="AE129" s="183">
        <f>77.45+10.04/2</f>
        <v>82.47</v>
      </c>
      <c r="AF129" s="183"/>
      <c r="AG129" s="183">
        <f>20.7+37.95+7.1+56.95/2+3/2</f>
        <v>95.724999999999994</v>
      </c>
      <c r="AH129" s="183"/>
      <c r="AI129" s="192"/>
      <c r="AJ129" s="193"/>
      <c r="AK129" s="194">
        <v>300</v>
      </c>
      <c r="AL129" s="194">
        <f>+(77.45+10.04+20.7+7.1+56.95+3)/AK129</f>
        <v>0.58413333333333339</v>
      </c>
      <c r="AM129" s="194">
        <f>+(77.45+10.04+20.7+7.1+56.95/2+3/2+37.95)/AK129</f>
        <v>0.6107166666666668</v>
      </c>
      <c r="AN129" s="194"/>
      <c r="AO129" s="263">
        <f>+(7*16157+10*12923+9693*3+6462)/21*AG129</f>
        <v>1266624.0833333333</v>
      </c>
      <c r="AP129" s="292">
        <v>12279.69</v>
      </c>
      <c r="AQ129" s="313" t="s">
        <v>386</v>
      </c>
      <c r="AR129" s="34" t="s">
        <v>751</v>
      </c>
      <c r="AS129" s="337">
        <v>44181</v>
      </c>
      <c r="AT129" s="337"/>
      <c r="AU129" s="317" t="s">
        <v>752</v>
      </c>
      <c r="AV129" s="29"/>
      <c r="AW129" s="29"/>
      <c r="AX129" s="29"/>
      <c r="AY129" s="29"/>
      <c r="AZ129" s="29"/>
      <c r="BA129" s="29"/>
      <c r="BB129" s="29"/>
      <c r="BC129" s="29"/>
      <c r="BD129" s="29"/>
      <c r="BE129" s="29"/>
      <c r="BF129" s="29"/>
      <c r="BG129" s="30"/>
      <c r="BH129" s="30"/>
      <c r="BI129" s="30"/>
      <c r="BJ129" s="30"/>
      <c r="BK129" s="30"/>
      <c r="BL129" s="30"/>
      <c r="BM129" s="30"/>
      <c r="BN129" s="30"/>
      <c r="BO129" s="30"/>
      <c r="BP129" s="30"/>
      <c r="BQ129" s="30"/>
      <c r="BR129" s="30"/>
      <c r="BS129" s="30"/>
      <c r="BT129" s="30"/>
      <c r="BU129" s="30"/>
      <c r="BV129" s="30"/>
      <c r="IP129" s="30"/>
      <c r="IQ129" s="30"/>
      <c r="IR129" s="30"/>
      <c r="IS129" s="30"/>
      <c r="IT129" s="30"/>
      <c r="IU129" s="30"/>
      <c r="IV129" s="30"/>
    </row>
    <row r="130" spans="1:256" s="31" customFormat="1" ht="63.75">
      <c r="A130" s="370"/>
      <c r="B130" s="104">
        <v>128</v>
      </c>
      <c r="C130" s="25" t="s">
        <v>753</v>
      </c>
      <c r="D130" s="10">
        <v>43965</v>
      </c>
      <c r="E130" s="25">
        <v>43753</v>
      </c>
      <c r="F130" s="25">
        <v>141662</v>
      </c>
      <c r="G130" s="25">
        <v>32076</v>
      </c>
      <c r="H130" s="25">
        <v>331</v>
      </c>
      <c r="I130" s="25"/>
      <c r="J130" s="25">
        <v>2</v>
      </c>
      <c r="K130" s="25">
        <v>7</v>
      </c>
      <c r="L130" s="148" t="s">
        <v>754</v>
      </c>
      <c r="M130" s="148" t="s">
        <v>755</v>
      </c>
      <c r="N130" s="148" t="s">
        <v>756</v>
      </c>
      <c r="O130" s="148"/>
      <c r="P130" s="148" t="s">
        <v>34</v>
      </c>
      <c r="Q130" s="148"/>
      <c r="R130" s="148"/>
      <c r="S130" s="148"/>
      <c r="T130" s="25">
        <v>2</v>
      </c>
      <c r="U130" s="26"/>
      <c r="V130" s="25"/>
      <c r="W130" s="25"/>
      <c r="X130" s="148" t="s">
        <v>96</v>
      </c>
      <c r="Y130" s="25">
        <f>2+2</f>
        <v>4</v>
      </c>
      <c r="Z130" s="26"/>
      <c r="AA130" s="27">
        <f>+Y130+1+1</f>
        <v>6</v>
      </c>
      <c r="AB130" s="26"/>
      <c r="AC130" s="27">
        <f>+Y130*2</f>
        <v>8</v>
      </c>
      <c r="AD130" s="26"/>
      <c r="AE130" s="183">
        <f>117.97+58.34</f>
        <v>176.31</v>
      </c>
      <c r="AF130" s="183"/>
      <c r="AG130" s="183">
        <f>26.8/2</f>
        <v>13.4</v>
      </c>
      <c r="AH130" s="197"/>
      <c r="AI130" s="198"/>
      <c r="AJ130" s="198"/>
      <c r="AK130" s="197">
        <v>857.31</v>
      </c>
      <c r="AL130" s="197">
        <f>+(117.97+26.8)/AK130</f>
        <v>0.16886540457944035</v>
      </c>
      <c r="AM130" s="197">
        <f>+(AE130+AG130)/AK130</f>
        <v>0.22128518272270242</v>
      </c>
      <c r="AN130" s="197"/>
      <c r="AO130" s="275">
        <f>+((5*16157+12923*7+5*9693+4*6462)/21*AG130)+430000</f>
        <v>586690.0285714285</v>
      </c>
      <c r="AP130" s="276">
        <v>27025.67</v>
      </c>
      <c r="AQ130" s="178" t="s">
        <v>36</v>
      </c>
      <c r="AR130" s="28" t="s">
        <v>757</v>
      </c>
      <c r="AS130" s="340">
        <v>44181</v>
      </c>
      <c r="AT130" s="355"/>
      <c r="AU130" s="378" t="s">
        <v>758</v>
      </c>
      <c r="AV130" s="39"/>
      <c r="AW130" s="39"/>
      <c r="AX130" s="39"/>
      <c r="AY130" s="39"/>
      <c r="AZ130" s="39"/>
      <c r="BA130" s="39"/>
      <c r="BB130" s="39"/>
      <c r="BC130" s="39"/>
      <c r="BD130" s="39"/>
      <c r="BE130" s="30"/>
      <c r="BF130" s="30"/>
      <c r="BG130" s="30"/>
      <c r="BH130" s="30"/>
      <c r="BI130" s="30"/>
      <c r="BJ130" s="30"/>
      <c r="BK130" s="30"/>
      <c r="BL130" s="30"/>
      <c r="BM130" s="30"/>
      <c r="BN130" s="30"/>
      <c r="BO130" s="30"/>
      <c r="BP130" s="30"/>
      <c r="BQ130" s="30"/>
      <c r="BR130" s="30"/>
      <c r="BS130" s="30"/>
      <c r="BT130" s="30"/>
      <c r="IN130" s="30"/>
      <c r="IO130" s="30"/>
      <c r="IP130" s="30"/>
      <c r="IQ130" s="30"/>
      <c r="IR130" s="30"/>
      <c r="IS130" s="30"/>
      <c r="IT130" s="30"/>
      <c r="IU130" s="30"/>
      <c r="IV130" s="30"/>
    </row>
    <row r="131" spans="1:256" s="31" customFormat="1" ht="51">
      <c r="A131" s="370"/>
      <c r="B131" s="106">
        <v>126</v>
      </c>
      <c r="C131" s="108" t="s">
        <v>759</v>
      </c>
      <c r="D131" s="13">
        <v>44144</v>
      </c>
      <c r="E131" s="25">
        <v>55064</v>
      </c>
      <c r="F131" s="25">
        <v>164049</v>
      </c>
      <c r="G131" s="25">
        <v>33458</v>
      </c>
      <c r="H131" s="25">
        <v>137</v>
      </c>
      <c r="I131" s="25"/>
      <c r="J131" s="25">
        <v>4</v>
      </c>
      <c r="K131" s="25">
        <v>5</v>
      </c>
      <c r="L131" s="148" t="s">
        <v>39</v>
      </c>
      <c r="M131" s="148" t="s">
        <v>220</v>
      </c>
      <c r="N131" s="148" t="s">
        <v>760</v>
      </c>
      <c r="O131" s="148"/>
      <c r="P131" s="148" t="s">
        <v>203</v>
      </c>
      <c r="Q131" s="148" t="s">
        <v>203</v>
      </c>
      <c r="R131" s="148" t="s">
        <v>203</v>
      </c>
      <c r="S131" s="148" t="s">
        <v>197</v>
      </c>
      <c r="T131" s="25"/>
      <c r="U131" s="26">
        <v>1</v>
      </c>
      <c r="V131" s="25"/>
      <c r="W131" s="25"/>
      <c r="X131" s="148" t="s">
        <v>44</v>
      </c>
      <c r="Y131" s="25"/>
      <c r="Z131" s="26">
        <f>1+1</f>
        <v>2</v>
      </c>
      <c r="AA131" s="27"/>
      <c r="AB131" s="26">
        <f>+Z131+3</f>
        <v>5</v>
      </c>
      <c r="AC131" s="27"/>
      <c r="AD131" s="26">
        <f>+Z131*2</f>
        <v>4</v>
      </c>
      <c r="AE131" s="183"/>
      <c r="AF131" s="183"/>
      <c r="AG131" s="183"/>
      <c r="AH131" s="183"/>
      <c r="AI131" s="192">
        <f>83.1+(32.53+17.4+1.23)/2+62.77</f>
        <v>171.45</v>
      </c>
      <c r="AJ131" s="193"/>
      <c r="AK131" s="194">
        <v>1012.5</v>
      </c>
      <c r="AL131" s="194">
        <f>+(83.1+1.23+17.4+32.53)/AK131</f>
        <v>0.13260246913580245</v>
      </c>
      <c r="AM131" s="194">
        <f>+AI131/AK131</f>
        <v>0.16933333333333334</v>
      </c>
      <c r="AN131" s="194">
        <f>+(6+21)/(3+7)</f>
        <v>2.7</v>
      </c>
      <c r="AO131" s="263">
        <f>+((4*16157+14*12923+5*9693)/23*AI131)+1886.5</f>
        <v>2193576.5760869565</v>
      </c>
      <c r="AP131" s="292">
        <v>8623.58</v>
      </c>
      <c r="AQ131" s="313" t="s">
        <v>36</v>
      </c>
      <c r="AR131" s="34" t="s">
        <v>761</v>
      </c>
      <c r="AS131" s="337">
        <v>44181</v>
      </c>
      <c r="AT131" s="337"/>
      <c r="AU131" s="317" t="s">
        <v>762</v>
      </c>
      <c r="AV131" s="29"/>
      <c r="AW131" s="29"/>
      <c r="AX131" s="29"/>
      <c r="AY131" s="29"/>
      <c r="AZ131" s="29"/>
      <c r="BA131" s="29"/>
      <c r="BB131" s="29"/>
      <c r="BC131" s="29"/>
      <c r="BD131" s="29"/>
      <c r="BE131" s="29"/>
      <c r="BF131" s="29"/>
      <c r="BG131" s="30"/>
      <c r="BH131" s="30"/>
      <c r="BI131" s="30"/>
      <c r="BJ131" s="30"/>
      <c r="BK131" s="30"/>
      <c r="BL131" s="30"/>
      <c r="BM131" s="30"/>
      <c r="BN131" s="30"/>
      <c r="BO131" s="30"/>
      <c r="BP131" s="30"/>
      <c r="BQ131" s="30"/>
      <c r="BR131" s="30"/>
      <c r="BS131" s="30"/>
      <c r="BT131" s="30"/>
      <c r="BU131" s="30"/>
      <c r="BV131" s="30"/>
      <c r="IP131" s="30"/>
      <c r="IQ131" s="30"/>
      <c r="IR131" s="30"/>
      <c r="IS131" s="30"/>
      <c r="IT131" s="30"/>
      <c r="IU131" s="30"/>
      <c r="IV131" s="30"/>
    </row>
    <row r="132" spans="1:256" s="31" customFormat="1" ht="76.5">
      <c r="A132" s="370"/>
      <c r="B132" s="106">
        <v>124</v>
      </c>
      <c r="C132" s="108">
        <v>525363</v>
      </c>
      <c r="D132" s="13">
        <v>44151</v>
      </c>
      <c r="E132" s="25">
        <v>3569</v>
      </c>
      <c r="F132" s="25">
        <v>1554</v>
      </c>
      <c r="G132" s="25">
        <v>4612</v>
      </c>
      <c r="H132" s="25"/>
      <c r="I132" s="25"/>
      <c r="J132" s="25">
        <v>46</v>
      </c>
      <c r="K132" s="25">
        <v>9</v>
      </c>
      <c r="L132" s="148" t="s">
        <v>31</v>
      </c>
      <c r="M132" s="148" t="s">
        <v>763</v>
      </c>
      <c r="N132" s="148" t="s">
        <v>764</v>
      </c>
      <c r="O132" s="148"/>
      <c r="P132" s="148" t="s">
        <v>321</v>
      </c>
      <c r="Q132" s="148" t="s">
        <v>321</v>
      </c>
      <c r="R132" s="148" t="s">
        <v>321</v>
      </c>
      <c r="S132" s="148" t="s">
        <v>330</v>
      </c>
      <c r="T132" s="25"/>
      <c r="U132" s="26">
        <v>1</v>
      </c>
      <c r="V132" s="25"/>
      <c r="W132" s="25"/>
      <c r="X132" s="148" t="s">
        <v>44</v>
      </c>
      <c r="Y132" s="25"/>
      <c r="Z132" s="26">
        <v>4</v>
      </c>
      <c r="AA132" s="27"/>
      <c r="AB132" s="26">
        <f>+Z132+3</f>
        <v>7</v>
      </c>
      <c r="AC132" s="27"/>
      <c r="AD132" s="26">
        <f>+Z132*2</f>
        <v>8</v>
      </c>
      <c r="AE132" s="183"/>
      <c r="AF132" s="183"/>
      <c r="AG132" s="183"/>
      <c r="AH132" s="183"/>
      <c r="AI132" s="192">
        <f>98.7+107.65+12.56/2+90.77/2</f>
        <v>258.01500000000004</v>
      </c>
      <c r="AJ132" s="193"/>
      <c r="AK132" s="194">
        <v>546.71400000000006</v>
      </c>
      <c r="AL132" s="194">
        <f>+(98.7+90.77)/AK132</f>
        <v>0.34656145626415269</v>
      </c>
      <c r="AM132" s="194">
        <f>+AI132/AK132</f>
        <v>0.47193779562989063</v>
      </c>
      <c r="AN132" s="194">
        <f>+(4+21)/(2+7)</f>
        <v>2.7777777777777777</v>
      </c>
      <c r="AO132" s="263">
        <f>+(10*16157+12923*8+5*9693)/23*AI132</f>
        <v>3515947.9689130438</v>
      </c>
      <c r="AP132" s="292">
        <v>12481.85</v>
      </c>
      <c r="AQ132" s="313" t="s">
        <v>65</v>
      </c>
      <c r="AR132" s="34" t="s">
        <v>765</v>
      </c>
      <c r="AS132" s="337">
        <v>44180</v>
      </c>
      <c r="AT132" s="337"/>
      <c r="AU132" s="317" t="s">
        <v>766</v>
      </c>
      <c r="AV132" s="29"/>
      <c r="AW132" s="29"/>
      <c r="AX132" s="29"/>
      <c r="AY132" s="29"/>
      <c r="AZ132" s="29"/>
      <c r="BA132" s="29"/>
      <c r="BB132" s="29"/>
      <c r="BC132" s="29"/>
      <c r="BD132" s="29"/>
      <c r="BE132" s="29"/>
      <c r="BF132" s="29"/>
      <c r="BG132" s="30"/>
      <c r="BH132" s="30"/>
      <c r="BI132" s="30"/>
      <c r="BJ132" s="30"/>
      <c r="BK132" s="30"/>
      <c r="BL132" s="30"/>
      <c r="BM132" s="30"/>
      <c r="BN132" s="30"/>
      <c r="BO132" s="30"/>
      <c r="BP132" s="30"/>
      <c r="BQ132" s="30"/>
      <c r="BR132" s="30"/>
      <c r="BS132" s="30"/>
      <c r="BT132" s="30"/>
      <c r="BU132" s="30"/>
      <c r="BV132" s="30"/>
      <c r="IP132" s="30"/>
      <c r="IQ132" s="30"/>
      <c r="IR132" s="30"/>
      <c r="IS132" s="30"/>
      <c r="IT132" s="30"/>
      <c r="IU132" s="30"/>
      <c r="IV132" s="30"/>
    </row>
    <row r="133" spans="1:256" s="31" customFormat="1" ht="38.25">
      <c r="A133" s="370"/>
      <c r="B133" s="106">
        <v>131</v>
      </c>
      <c r="C133" s="108" t="s">
        <v>767</v>
      </c>
      <c r="D133" s="13">
        <v>44165</v>
      </c>
      <c r="E133" s="25"/>
      <c r="F133" s="25"/>
      <c r="G133" s="25" t="s">
        <v>768</v>
      </c>
      <c r="H133" s="25"/>
      <c r="I133" s="25"/>
      <c r="J133" s="25"/>
      <c r="K133" s="25">
        <v>107</v>
      </c>
      <c r="L133" s="148"/>
      <c r="M133" s="148" t="s">
        <v>769</v>
      </c>
      <c r="N133" s="148" t="s">
        <v>770</v>
      </c>
      <c r="O133" s="148"/>
      <c r="P133" s="148" t="s">
        <v>771</v>
      </c>
      <c r="Q133" s="148" t="s">
        <v>771</v>
      </c>
      <c r="R133" s="148" t="s">
        <v>771</v>
      </c>
      <c r="S133" s="148" t="s">
        <v>197</v>
      </c>
      <c r="T133" s="25"/>
      <c r="U133" s="26">
        <v>1</v>
      </c>
      <c r="V133" s="25"/>
      <c r="W133" s="25"/>
      <c r="X133" s="148" t="s">
        <v>772</v>
      </c>
      <c r="Y133" s="25"/>
      <c r="Z133" s="26"/>
      <c r="AA133" s="27"/>
      <c r="AB133" s="26"/>
      <c r="AC133" s="27"/>
      <c r="AD133" s="26"/>
      <c r="AE133" s="183"/>
      <c r="AF133" s="183"/>
      <c r="AG133" s="183"/>
      <c r="AH133" s="183"/>
      <c r="AI133" s="192"/>
      <c r="AJ133" s="193">
        <v>7.84</v>
      </c>
      <c r="AK133" s="194">
        <v>9</v>
      </c>
      <c r="AL133" s="194"/>
      <c r="AM133" s="194"/>
      <c r="AN133" s="194"/>
      <c r="AO133" s="263">
        <v>120802.62</v>
      </c>
      <c r="AP133" s="292">
        <v>10020.799999999999</v>
      </c>
      <c r="AQ133" s="313" t="s">
        <v>36</v>
      </c>
      <c r="AR133" s="34" t="s">
        <v>773</v>
      </c>
      <c r="AS133" s="337">
        <v>44188</v>
      </c>
      <c r="AT133" s="337"/>
      <c r="AU133" s="317"/>
      <c r="AV133" s="29"/>
      <c r="AW133" s="29"/>
      <c r="AX133" s="29"/>
      <c r="AY133" s="29"/>
      <c r="AZ133" s="29"/>
      <c r="BA133" s="29"/>
      <c r="BB133" s="29"/>
      <c r="BC133" s="29"/>
      <c r="BD133" s="29"/>
      <c r="BE133" s="29"/>
      <c r="BF133" s="29"/>
      <c r="BG133" s="30"/>
      <c r="BH133" s="30"/>
      <c r="BI133" s="30"/>
      <c r="BJ133" s="30"/>
      <c r="BK133" s="30"/>
      <c r="BL133" s="30"/>
      <c r="BM133" s="30"/>
      <c r="BN133" s="30"/>
      <c r="BO133" s="30"/>
      <c r="BP133" s="30"/>
      <c r="BQ133" s="30"/>
      <c r="BR133" s="30"/>
      <c r="BS133" s="30"/>
      <c r="BT133" s="30"/>
      <c r="BU133" s="30"/>
      <c r="BV133" s="30"/>
      <c r="IP133" s="30"/>
      <c r="IQ133" s="30"/>
      <c r="IR133" s="30"/>
      <c r="IS133" s="30"/>
      <c r="IT133" s="30"/>
      <c r="IU133" s="30"/>
      <c r="IV133" s="30"/>
    </row>
    <row r="134" spans="1:256" s="31" customFormat="1" ht="89.25">
      <c r="A134" s="370"/>
      <c r="B134" s="104">
        <v>129</v>
      </c>
      <c r="C134" s="25" t="s">
        <v>774</v>
      </c>
      <c r="D134" s="10">
        <v>44032</v>
      </c>
      <c r="E134" s="25">
        <v>50697</v>
      </c>
      <c r="F134" s="25">
        <v>58438</v>
      </c>
      <c r="G134" s="25">
        <v>21171</v>
      </c>
      <c r="H134" s="25"/>
      <c r="I134" s="25"/>
      <c r="J134" s="25">
        <v>380</v>
      </c>
      <c r="K134" s="25">
        <v>6</v>
      </c>
      <c r="L134" s="148" t="s">
        <v>52</v>
      </c>
      <c r="M134" s="148" t="s">
        <v>775</v>
      </c>
      <c r="N134" s="148" t="s">
        <v>750</v>
      </c>
      <c r="O134" s="148"/>
      <c r="P134" s="148" t="s">
        <v>491</v>
      </c>
      <c r="Q134" s="148" t="s">
        <v>491</v>
      </c>
      <c r="R134" s="148" t="s">
        <v>491</v>
      </c>
      <c r="S134" s="148" t="s">
        <v>776</v>
      </c>
      <c r="T134" s="25"/>
      <c r="U134" s="26">
        <v>1</v>
      </c>
      <c r="V134" s="25"/>
      <c r="W134" s="25"/>
      <c r="X134" s="148" t="s">
        <v>366</v>
      </c>
      <c r="Y134" s="25"/>
      <c r="Z134" s="26"/>
      <c r="AA134" s="27"/>
      <c r="AB134" s="26"/>
      <c r="AC134" s="27"/>
      <c r="AD134" s="26"/>
      <c r="AE134" s="183"/>
      <c r="AF134" s="183"/>
      <c r="AG134" s="183"/>
      <c r="AH134" s="197"/>
      <c r="AI134" s="198"/>
      <c r="AJ134" s="198">
        <f>187+148.28+11.7/2</f>
        <v>341.13</v>
      </c>
      <c r="AK134" s="197">
        <f>12.5*30</f>
        <v>375</v>
      </c>
      <c r="AL134" s="197">
        <f>+(187+11.7)/AK134</f>
        <v>0.5298666666666666</v>
      </c>
      <c r="AM134" s="197">
        <f>+AJ134/AK134</f>
        <v>0.90967999999999993</v>
      </c>
      <c r="AN134" s="197"/>
      <c r="AO134" s="275">
        <f>+AJ134*12923</f>
        <v>4408422.99</v>
      </c>
      <c r="AP134" s="276"/>
      <c r="AQ134" s="178" t="s">
        <v>36</v>
      </c>
      <c r="AR134" s="28" t="s">
        <v>777</v>
      </c>
      <c r="AS134" s="340">
        <v>44182</v>
      </c>
      <c r="AT134" s="355"/>
      <c r="AU134" s="378" t="s">
        <v>778</v>
      </c>
      <c r="AV134" s="39"/>
      <c r="AW134" s="39"/>
      <c r="AX134" s="39"/>
      <c r="AY134" s="39"/>
      <c r="AZ134" s="39"/>
      <c r="BA134" s="39"/>
      <c r="BB134" s="39"/>
      <c r="BC134" s="39"/>
      <c r="BD134" s="39"/>
      <c r="BE134" s="30"/>
      <c r="BF134" s="30"/>
      <c r="BG134" s="30"/>
      <c r="BH134" s="30"/>
      <c r="BI134" s="30"/>
      <c r="BJ134" s="30"/>
      <c r="BK134" s="30"/>
      <c r="BL134" s="30"/>
      <c r="BM134" s="30"/>
      <c r="BN134" s="30"/>
      <c r="BO134" s="30"/>
      <c r="BP134" s="30"/>
      <c r="BQ134" s="30"/>
      <c r="BR134" s="30"/>
      <c r="BS134" s="30"/>
      <c r="BT134" s="30"/>
      <c r="IN134" s="30"/>
      <c r="IO134" s="30"/>
      <c r="IP134" s="30"/>
      <c r="IQ134" s="30"/>
      <c r="IR134" s="30"/>
      <c r="IS134" s="30"/>
      <c r="IT134" s="30"/>
      <c r="IU134" s="30"/>
      <c r="IV134" s="30"/>
    </row>
    <row r="135" spans="1:256" s="31" customFormat="1" ht="38.25">
      <c r="A135" s="370"/>
      <c r="B135" s="106">
        <v>130</v>
      </c>
      <c r="C135" s="108">
        <v>523619</v>
      </c>
      <c r="D135" s="13">
        <v>44081</v>
      </c>
      <c r="E135" s="25">
        <v>53022</v>
      </c>
      <c r="F135" s="25">
        <v>162582</v>
      </c>
      <c r="G135" s="25">
        <v>33176</v>
      </c>
      <c r="H135" s="25">
        <v>327</v>
      </c>
      <c r="I135" s="25"/>
      <c r="J135" s="25">
        <v>11</v>
      </c>
      <c r="K135" s="25">
        <v>9</v>
      </c>
      <c r="L135" s="148" t="s">
        <v>52</v>
      </c>
      <c r="M135" s="148" t="s">
        <v>220</v>
      </c>
      <c r="N135" s="148" t="s">
        <v>779</v>
      </c>
      <c r="O135" s="148"/>
      <c r="P135" s="148" t="s">
        <v>686</v>
      </c>
      <c r="Q135" s="148"/>
      <c r="R135" s="148"/>
      <c r="S135" s="148"/>
      <c r="T135" s="25">
        <v>1</v>
      </c>
      <c r="U135" s="26"/>
      <c r="V135" s="25"/>
      <c r="W135" s="25"/>
      <c r="X135" s="148" t="s">
        <v>780</v>
      </c>
      <c r="Y135" s="25"/>
      <c r="Z135" s="26"/>
      <c r="AA135" s="27"/>
      <c r="AB135" s="26"/>
      <c r="AC135" s="27"/>
      <c r="AD135" s="26"/>
      <c r="AE135" s="183"/>
      <c r="AF135" s="183"/>
      <c r="AG135" s="183"/>
      <c r="AH135" s="183">
        <f>120.54+19.55</f>
        <v>140.09</v>
      </c>
      <c r="AI135" s="192"/>
      <c r="AJ135" s="193"/>
      <c r="AK135" s="194">
        <v>430.67</v>
      </c>
      <c r="AL135" s="194">
        <f>+(120.54)/AK135</f>
        <v>0.27988947453967072</v>
      </c>
      <c r="AM135" s="194">
        <f>+AH135/AK135</f>
        <v>0.32528386003204307</v>
      </c>
      <c r="AN135" s="194"/>
      <c r="AO135" s="263">
        <f>12923*AH135</f>
        <v>1810383.07</v>
      </c>
      <c r="AP135" s="292">
        <v>27337.48</v>
      </c>
      <c r="AQ135" s="313" t="s">
        <v>36</v>
      </c>
      <c r="AR135" s="34" t="s">
        <v>781</v>
      </c>
      <c r="AS135" s="337">
        <v>44183</v>
      </c>
      <c r="AT135" s="337"/>
      <c r="AU135" s="317" t="s">
        <v>672</v>
      </c>
      <c r="AV135" s="29"/>
      <c r="AW135" s="29"/>
      <c r="AX135" s="29"/>
      <c r="AY135" s="29"/>
      <c r="AZ135" s="29"/>
      <c r="BA135" s="29"/>
      <c r="BB135" s="29"/>
      <c r="BC135" s="29"/>
      <c r="BD135" s="29"/>
      <c r="BE135" s="29"/>
      <c r="BF135" s="29"/>
      <c r="BG135" s="30"/>
      <c r="BH135" s="30"/>
      <c r="BI135" s="30"/>
      <c r="BJ135" s="30"/>
      <c r="BK135" s="30"/>
      <c r="BL135" s="30"/>
      <c r="BM135" s="30"/>
      <c r="BN135" s="30"/>
      <c r="BO135" s="30"/>
      <c r="BP135" s="30"/>
      <c r="BQ135" s="30"/>
      <c r="BR135" s="30"/>
      <c r="BS135" s="30"/>
      <c r="BT135" s="30"/>
      <c r="BU135" s="30"/>
      <c r="BV135" s="30"/>
      <c r="IP135" s="30"/>
      <c r="IQ135" s="30"/>
      <c r="IR135" s="30"/>
      <c r="IS135" s="30"/>
      <c r="IT135" s="30"/>
      <c r="IU135" s="30"/>
      <c r="IV135" s="30"/>
    </row>
    <row r="136" spans="1:256" s="31" customFormat="1" ht="63.75">
      <c r="A136" s="370"/>
      <c r="B136" s="106">
        <v>132</v>
      </c>
      <c r="C136" s="108" t="s">
        <v>782</v>
      </c>
      <c r="D136" s="13">
        <v>44137</v>
      </c>
      <c r="E136" s="25">
        <v>48821</v>
      </c>
      <c r="F136" s="25">
        <v>159183</v>
      </c>
      <c r="G136" s="25">
        <v>9417</v>
      </c>
      <c r="H136" s="25"/>
      <c r="I136" s="25">
        <v>21</v>
      </c>
      <c r="J136" s="25">
        <v>283</v>
      </c>
      <c r="K136" s="25">
        <v>10</v>
      </c>
      <c r="L136" s="148" t="s">
        <v>31</v>
      </c>
      <c r="M136" s="148" t="s">
        <v>783</v>
      </c>
      <c r="N136" s="148" t="s">
        <v>784</v>
      </c>
      <c r="O136" s="148"/>
      <c r="P136" s="148" t="s">
        <v>785</v>
      </c>
      <c r="Q136" s="148" t="s">
        <v>785</v>
      </c>
      <c r="R136" s="148" t="s">
        <v>785</v>
      </c>
      <c r="S136" s="148" t="s">
        <v>786</v>
      </c>
      <c r="T136" s="25"/>
      <c r="U136" s="26">
        <v>2</v>
      </c>
      <c r="V136" s="25"/>
      <c r="W136" s="25"/>
      <c r="X136" s="148" t="s">
        <v>57</v>
      </c>
      <c r="Y136" s="25"/>
      <c r="Z136" s="26"/>
      <c r="AA136" s="27"/>
      <c r="AB136" s="26"/>
      <c r="AC136" s="27"/>
      <c r="AD136" s="26"/>
      <c r="AE136" s="183"/>
      <c r="AF136" s="183">
        <f>150+28.48</f>
        <v>178.48</v>
      </c>
      <c r="AG136" s="183"/>
      <c r="AH136" s="183"/>
      <c r="AI136" s="192"/>
      <c r="AJ136" s="193">
        <v>41</v>
      </c>
      <c r="AK136" s="194">
        <v>237.05</v>
      </c>
      <c r="AL136" s="194">
        <f>150/AK136</f>
        <v>0.63277789495886938</v>
      </c>
      <c r="AM136" s="194">
        <f>+(AF136+AJ136)/AK136</f>
        <v>0.92588061590381765</v>
      </c>
      <c r="AN136" s="194"/>
      <c r="AO136" s="263">
        <f>+AJ136*12923</f>
        <v>529843</v>
      </c>
      <c r="AP136" s="292">
        <v>9078.83</v>
      </c>
      <c r="AQ136" s="313" t="s">
        <v>36</v>
      </c>
      <c r="AR136" s="34" t="s">
        <v>787</v>
      </c>
      <c r="AS136" s="337">
        <v>44188</v>
      </c>
      <c r="AT136" s="337"/>
      <c r="AU136" s="317"/>
      <c r="AV136" s="29"/>
      <c r="AW136" s="29"/>
      <c r="AX136" s="29"/>
      <c r="AY136" s="29"/>
      <c r="AZ136" s="29"/>
      <c r="BA136" s="29"/>
      <c r="BB136" s="29"/>
      <c r="BC136" s="29"/>
      <c r="BD136" s="29"/>
      <c r="BE136" s="29"/>
      <c r="BF136" s="29"/>
      <c r="BG136" s="30"/>
      <c r="BH136" s="30"/>
      <c r="BI136" s="30"/>
      <c r="BJ136" s="30"/>
      <c r="BK136" s="30"/>
      <c r="BL136" s="30"/>
      <c r="BM136" s="30"/>
      <c r="BN136" s="30"/>
      <c r="BO136" s="30"/>
      <c r="BP136" s="30"/>
      <c r="BQ136" s="30"/>
      <c r="BR136" s="30"/>
      <c r="BS136" s="30"/>
      <c r="BT136" s="30"/>
      <c r="BU136" s="30"/>
      <c r="BV136" s="30"/>
      <c r="IP136" s="30"/>
      <c r="IQ136" s="30"/>
      <c r="IR136" s="30"/>
      <c r="IS136" s="30"/>
      <c r="IT136" s="30"/>
      <c r="IU136" s="30"/>
      <c r="IV136" s="30"/>
    </row>
    <row r="137" spans="1:256" s="99" customFormat="1" ht="12.75">
      <c r="A137" s="171"/>
      <c r="B137" s="134"/>
      <c r="C137" s="124"/>
      <c r="E137" s="144"/>
      <c r="F137" s="144"/>
      <c r="G137" s="144"/>
      <c r="H137" s="144"/>
      <c r="I137" s="144"/>
      <c r="J137" s="144"/>
      <c r="K137" s="144"/>
      <c r="L137" s="171"/>
      <c r="M137" s="171"/>
      <c r="N137" s="171"/>
      <c r="O137" s="171"/>
      <c r="P137" s="171"/>
      <c r="Q137" s="171"/>
      <c r="R137" s="171"/>
      <c r="S137" s="171"/>
      <c r="T137" s="144"/>
      <c r="U137" s="144"/>
      <c r="V137" s="144"/>
      <c r="W137" s="144"/>
      <c r="X137" s="171"/>
      <c r="Y137" s="144"/>
      <c r="Z137" s="144"/>
      <c r="AA137" s="144"/>
      <c r="AB137" s="144"/>
      <c r="AC137" s="144"/>
      <c r="AD137" s="144"/>
      <c r="AE137" s="259"/>
      <c r="AF137" s="259"/>
      <c r="AG137" s="259"/>
      <c r="AH137" s="259"/>
      <c r="AI137" s="259"/>
      <c r="AJ137" s="259"/>
      <c r="AK137" s="259"/>
      <c r="AL137" s="259"/>
      <c r="AM137" s="259"/>
      <c r="AN137" s="259"/>
      <c r="AO137" s="307"/>
      <c r="AP137" s="308"/>
      <c r="AQ137" s="171"/>
      <c r="AS137" s="353"/>
      <c r="AT137" s="353"/>
      <c r="AU137" s="382"/>
    </row>
    <row r="138" spans="1:256" s="99" customFormat="1" ht="12.75">
      <c r="A138" s="171"/>
      <c r="B138" s="134"/>
      <c r="C138" s="124"/>
      <c r="E138" s="144"/>
      <c r="F138" s="144"/>
      <c r="G138" s="144"/>
      <c r="H138" s="144"/>
      <c r="I138" s="144"/>
      <c r="J138" s="144"/>
      <c r="K138" s="144"/>
      <c r="L138" s="171"/>
      <c r="M138" s="171"/>
      <c r="N138" s="171"/>
      <c r="O138" s="171"/>
      <c r="P138" s="171"/>
      <c r="Q138" s="171"/>
      <c r="R138" s="171"/>
      <c r="S138" s="171"/>
      <c r="T138" s="144"/>
      <c r="U138" s="144"/>
      <c r="V138" s="144"/>
      <c r="W138" s="144"/>
      <c r="X138" s="171"/>
      <c r="Y138" s="181"/>
      <c r="Z138" s="102"/>
      <c r="AA138" s="181"/>
      <c r="AB138" s="102"/>
      <c r="AC138" s="181"/>
      <c r="AD138" s="102"/>
      <c r="AE138" s="260"/>
      <c r="AF138" s="260"/>
      <c r="AG138" s="260"/>
      <c r="AH138" s="260"/>
      <c r="AI138" s="261"/>
      <c r="AJ138" s="261"/>
      <c r="AK138" s="260"/>
      <c r="AL138" s="260"/>
      <c r="AM138" s="260"/>
      <c r="AN138" s="260"/>
      <c r="AO138" s="308"/>
      <c r="AP138" s="308"/>
      <c r="AQ138" s="171"/>
      <c r="AS138" s="353"/>
      <c r="AT138" s="353"/>
      <c r="AU138" s="382"/>
    </row>
    <row r="139" spans="1:256" s="99" customFormat="1" ht="12.75">
      <c r="A139" s="171"/>
      <c r="B139" s="134"/>
      <c r="C139" s="124"/>
      <c r="E139" s="144"/>
      <c r="F139" s="144"/>
      <c r="G139" s="144"/>
      <c r="H139" s="144"/>
      <c r="I139" s="144"/>
      <c r="J139" s="144"/>
      <c r="K139" s="144"/>
      <c r="L139" s="171"/>
      <c r="M139" s="171"/>
      <c r="N139" s="171"/>
      <c r="O139" s="171"/>
      <c r="P139" s="171"/>
      <c r="Q139" s="171"/>
      <c r="R139" s="171"/>
      <c r="S139" s="171"/>
      <c r="T139" s="144"/>
      <c r="U139" s="144"/>
      <c r="V139" s="144"/>
      <c r="W139" s="144"/>
      <c r="X139" s="171"/>
      <c r="Y139" s="144"/>
      <c r="Z139" s="144"/>
      <c r="AA139" s="144"/>
      <c r="AB139" s="144"/>
      <c r="AC139" s="144"/>
      <c r="AD139" s="144"/>
      <c r="AE139" s="259"/>
      <c r="AF139" s="259"/>
      <c r="AG139" s="259"/>
      <c r="AH139" s="259"/>
      <c r="AI139" s="259"/>
      <c r="AJ139" s="259"/>
      <c r="AK139" s="259"/>
      <c r="AL139" s="259"/>
      <c r="AM139" s="259"/>
      <c r="AN139" s="259"/>
      <c r="AO139" s="307"/>
      <c r="AP139" s="308"/>
      <c r="AQ139" s="171"/>
      <c r="AS139" s="353"/>
      <c r="AT139" s="353"/>
      <c r="AU139" s="382"/>
    </row>
    <row r="140" spans="1:256" s="99" customFormat="1" ht="12.75">
      <c r="A140" s="171"/>
      <c r="B140" s="134"/>
      <c r="C140" s="124"/>
      <c r="E140" s="144"/>
      <c r="F140" s="144"/>
      <c r="G140" s="144"/>
      <c r="H140" s="144"/>
      <c r="I140" s="144"/>
      <c r="J140" s="144"/>
      <c r="K140" s="144"/>
      <c r="L140" s="171"/>
      <c r="M140" s="171"/>
      <c r="N140" s="171"/>
      <c r="O140" s="171"/>
      <c r="P140" s="171"/>
      <c r="Q140" s="171"/>
      <c r="R140" s="171"/>
      <c r="S140" s="171"/>
      <c r="T140" s="144"/>
      <c r="U140" s="144"/>
      <c r="V140" s="144"/>
      <c r="W140" s="144"/>
      <c r="X140" s="171"/>
      <c r="Y140" s="144"/>
      <c r="Z140" s="144"/>
      <c r="AA140" s="144"/>
      <c r="AB140" s="144"/>
      <c r="AC140" s="144"/>
      <c r="AD140" s="144"/>
      <c r="AE140" s="259"/>
      <c r="AF140" s="259"/>
      <c r="AG140" s="259"/>
      <c r="AH140" s="259"/>
      <c r="AI140" s="259"/>
      <c r="AJ140" s="259"/>
      <c r="AK140" s="259"/>
      <c r="AL140" s="259"/>
      <c r="AM140" s="259"/>
      <c r="AN140" s="259"/>
      <c r="AO140" s="307"/>
      <c r="AP140" s="308"/>
      <c r="AQ140" s="171"/>
      <c r="AS140" s="353"/>
      <c r="AT140" s="353"/>
      <c r="AU140" s="382"/>
    </row>
    <row r="141" spans="1:256" s="99" customFormat="1" ht="12.75">
      <c r="A141" s="171"/>
      <c r="B141" s="134"/>
      <c r="C141" s="124"/>
      <c r="E141" s="144"/>
      <c r="F141" s="144"/>
      <c r="G141" s="144"/>
      <c r="H141" s="144"/>
      <c r="I141" s="144"/>
      <c r="J141" s="144"/>
      <c r="K141" s="144"/>
      <c r="L141" s="171"/>
      <c r="M141" s="171"/>
      <c r="N141" s="171"/>
      <c r="O141" s="171"/>
      <c r="P141" s="171"/>
      <c r="Q141" s="171"/>
      <c r="R141" s="171"/>
      <c r="S141" s="171"/>
      <c r="T141" s="144"/>
      <c r="U141" s="144"/>
      <c r="V141" s="144"/>
      <c r="W141" s="144"/>
      <c r="X141" s="171"/>
      <c r="Y141" s="144"/>
      <c r="Z141" s="144"/>
      <c r="AA141" s="144"/>
      <c r="AB141" s="144"/>
      <c r="AC141" s="144"/>
      <c r="AD141" s="144"/>
      <c r="AE141" s="259"/>
      <c r="AF141" s="259"/>
      <c r="AG141" s="259"/>
      <c r="AH141" s="259"/>
      <c r="AI141" s="259"/>
      <c r="AJ141" s="259"/>
      <c r="AK141" s="259"/>
      <c r="AL141" s="259"/>
      <c r="AM141" s="259"/>
      <c r="AN141" s="259"/>
      <c r="AO141" s="307"/>
      <c r="AP141" s="308"/>
      <c r="AQ141" s="171"/>
      <c r="AS141" s="353"/>
      <c r="AT141" s="353"/>
      <c r="AU141" s="382"/>
    </row>
    <row r="142" spans="1:256" s="99" customFormat="1" ht="12.75">
      <c r="A142" s="171"/>
      <c r="B142" s="134"/>
      <c r="C142" s="124"/>
      <c r="E142" s="144"/>
      <c r="F142" s="144"/>
      <c r="G142" s="144"/>
      <c r="H142" s="144"/>
      <c r="I142" s="144"/>
      <c r="J142" s="144"/>
      <c r="K142" s="144"/>
      <c r="L142" s="171"/>
      <c r="M142" s="171"/>
      <c r="N142" s="171"/>
      <c r="O142" s="171"/>
      <c r="P142" s="171"/>
      <c r="Q142" s="171"/>
      <c r="R142" s="171"/>
      <c r="S142" s="171"/>
      <c r="T142" s="144"/>
      <c r="U142" s="144"/>
      <c r="V142" s="144"/>
      <c r="W142" s="144"/>
      <c r="X142" s="171"/>
      <c r="Y142" s="144"/>
      <c r="Z142" s="144"/>
      <c r="AA142" s="144"/>
      <c r="AB142" s="144"/>
      <c r="AC142" s="144"/>
      <c r="AD142" s="144"/>
      <c r="AE142" s="259"/>
      <c r="AF142" s="259"/>
      <c r="AG142" s="259"/>
      <c r="AH142" s="259"/>
      <c r="AI142" s="259"/>
      <c r="AJ142" s="259"/>
      <c r="AK142" s="259"/>
      <c r="AL142" s="259"/>
      <c r="AM142" s="259"/>
      <c r="AN142" s="259"/>
      <c r="AO142" s="307"/>
      <c r="AP142" s="308"/>
      <c r="AQ142" s="171"/>
      <c r="AS142" s="353"/>
      <c r="AT142" s="353"/>
      <c r="AU142" s="382"/>
    </row>
    <row r="143" spans="1:256" s="99" customFormat="1" ht="12.75">
      <c r="A143" s="171"/>
      <c r="B143" s="134"/>
      <c r="C143" s="124"/>
      <c r="E143" s="144"/>
      <c r="F143" s="144"/>
      <c r="G143" s="144"/>
      <c r="H143" s="144"/>
      <c r="I143" s="144"/>
      <c r="J143" s="144"/>
      <c r="K143" s="144"/>
      <c r="L143" s="171"/>
      <c r="M143" s="171"/>
      <c r="N143" s="171"/>
      <c r="O143" s="171"/>
      <c r="P143" s="171"/>
      <c r="Q143" s="171"/>
      <c r="R143" s="171"/>
      <c r="S143" s="171"/>
      <c r="T143" s="144"/>
      <c r="U143" s="144"/>
      <c r="V143" s="144"/>
      <c r="W143" s="144"/>
      <c r="X143" s="171"/>
      <c r="Y143" s="144"/>
      <c r="Z143" s="144"/>
      <c r="AA143" s="144"/>
      <c r="AB143" s="144"/>
      <c r="AC143" s="144"/>
      <c r="AD143" s="144"/>
      <c r="AE143" s="259"/>
      <c r="AF143" s="259"/>
      <c r="AG143" s="259"/>
      <c r="AH143" s="259"/>
      <c r="AI143" s="259"/>
      <c r="AJ143" s="259"/>
      <c r="AK143" s="259"/>
      <c r="AL143" s="259"/>
      <c r="AM143" s="259"/>
      <c r="AN143" s="259"/>
      <c r="AO143" s="307"/>
      <c r="AP143" s="308"/>
      <c r="AQ143" s="171"/>
      <c r="AS143" s="353"/>
      <c r="AT143" s="353"/>
      <c r="AU143" s="382"/>
    </row>
    <row r="144" spans="1:256" s="99" customFormat="1" ht="12.75">
      <c r="A144" s="171"/>
      <c r="B144" s="134"/>
      <c r="C144" s="124"/>
      <c r="E144" s="144"/>
      <c r="F144" s="144"/>
      <c r="G144" s="144"/>
      <c r="H144" s="144"/>
      <c r="I144" s="144"/>
      <c r="J144" s="144"/>
      <c r="K144" s="144"/>
      <c r="L144" s="171"/>
      <c r="M144" s="171"/>
      <c r="N144" s="171"/>
      <c r="O144" s="171"/>
      <c r="P144" s="171"/>
      <c r="Q144" s="171"/>
      <c r="R144" s="171"/>
      <c r="S144" s="171"/>
      <c r="T144" s="144"/>
      <c r="U144" s="144"/>
      <c r="V144" s="144"/>
      <c r="W144" s="144"/>
      <c r="X144" s="171"/>
      <c r="Y144" s="144"/>
      <c r="Z144" s="144"/>
      <c r="AA144" s="144"/>
      <c r="AB144" s="144"/>
      <c r="AC144" s="144"/>
      <c r="AD144" s="144"/>
      <c r="AE144" s="259"/>
      <c r="AF144" s="259"/>
      <c r="AG144" s="259"/>
      <c r="AH144" s="259"/>
      <c r="AI144" s="259"/>
      <c r="AJ144" s="259"/>
      <c r="AK144" s="259"/>
      <c r="AL144" s="259"/>
      <c r="AM144" s="259"/>
      <c r="AN144" s="259"/>
      <c r="AO144" s="307"/>
      <c r="AP144" s="308"/>
      <c r="AQ144" s="171"/>
      <c r="AS144" s="353"/>
      <c r="AT144" s="353"/>
      <c r="AU144" s="382"/>
    </row>
    <row r="145" spans="1:47" s="99" customFormat="1" ht="12.75">
      <c r="A145" s="171"/>
      <c r="B145" s="134"/>
      <c r="C145" s="124"/>
      <c r="E145" s="144"/>
      <c r="F145" s="144"/>
      <c r="G145" s="144"/>
      <c r="H145" s="144"/>
      <c r="I145" s="144"/>
      <c r="J145" s="144"/>
      <c r="K145" s="144"/>
      <c r="L145" s="171"/>
      <c r="M145" s="171"/>
      <c r="N145" s="171"/>
      <c r="O145" s="171"/>
      <c r="P145" s="171"/>
      <c r="Q145" s="171"/>
      <c r="R145" s="171"/>
      <c r="S145" s="171"/>
      <c r="T145" s="144"/>
      <c r="U145" s="144"/>
      <c r="V145" s="144"/>
      <c r="W145" s="144"/>
      <c r="X145" s="171"/>
      <c r="Y145" s="144"/>
      <c r="Z145" s="144"/>
      <c r="AA145" s="144"/>
      <c r="AB145" s="144"/>
      <c r="AC145" s="144"/>
      <c r="AD145" s="144"/>
      <c r="AE145" s="259"/>
      <c r="AF145" s="259"/>
      <c r="AG145" s="259"/>
      <c r="AH145" s="259"/>
      <c r="AI145" s="259"/>
      <c r="AJ145" s="259"/>
      <c r="AK145" s="259"/>
      <c r="AL145" s="259"/>
      <c r="AM145" s="259"/>
      <c r="AN145" s="259"/>
      <c r="AO145" s="307"/>
      <c r="AP145" s="308"/>
      <c r="AQ145" s="171"/>
      <c r="AS145" s="353"/>
      <c r="AT145" s="353"/>
      <c r="AU145" s="382"/>
    </row>
    <row r="146" spans="1:47" s="99" customFormat="1" ht="12.75">
      <c r="A146" s="171"/>
      <c r="B146" s="134"/>
      <c r="C146" s="124"/>
      <c r="E146" s="144"/>
      <c r="F146" s="144"/>
      <c r="G146" s="144"/>
      <c r="H146" s="144"/>
      <c r="I146" s="144"/>
      <c r="J146" s="144"/>
      <c r="K146" s="144"/>
      <c r="L146" s="171"/>
      <c r="M146" s="171"/>
      <c r="N146" s="171"/>
      <c r="O146" s="171"/>
      <c r="P146" s="171"/>
      <c r="Q146" s="171"/>
      <c r="R146" s="171"/>
      <c r="S146" s="171"/>
      <c r="T146" s="144"/>
      <c r="U146" s="144"/>
      <c r="V146" s="144"/>
      <c r="W146" s="144"/>
      <c r="X146" s="171"/>
      <c r="Y146" s="144"/>
      <c r="Z146" s="144"/>
      <c r="AA146" s="144"/>
      <c r="AB146" s="144"/>
      <c r="AC146" s="144"/>
      <c r="AD146" s="144"/>
      <c r="AE146" s="259"/>
      <c r="AF146" s="259"/>
      <c r="AG146" s="259"/>
      <c r="AH146" s="259"/>
      <c r="AI146" s="259"/>
      <c r="AJ146" s="259"/>
      <c r="AK146" s="259"/>
      <c r="AL146" s="259"/>
      <c r="AM146" s="259"/>
      <c r="AN146" s="259"/>
      <c r="AO146" s="307"/>
      <c r="AP146" s="308"/>
      <c r="AQ146" s="171"/>
      <c r="AS146" s="353"/>
      <c r="AT146" s="353"/>
      <c r="AU146" s="382"/>
    </row>
    <row r="147" spans="1:47" s="99" customFormat="1" ht="12.75">
      <c r="A147" s="171"/>
      <c r="B147" s="134"/>
      <c r="C147" s="124"/>
      <c r="E147" s="144"/>
      <c r="F147" s="144"/>
      <c r="G147" s="144"/>
      <c r="H147" s="144"/>
      <c r="I147" s="144"/>
      <c r="J147" s="144"/>
      <c r="K147" s="144"/>
      <c r="L147" s="171"/>
      <c r="M147" s="171"/>
      <c r="N147" s="171"/>
      <c r="O147" s="171"/>
      <c r="P147" s="171"/>
      <c r="Q147" s="171"/>
      <c r="R147" s="171"/>
      <c r="S147" s="171"/>
      <c r="T147" s="144"/>
      <c r="U147" s="144"/>
      <c r="V147" s="144"/>
      <c r="W147" s="144"/>
      <c r="X147" s="171"/>
      <c r="Y147" s="144"/>
      <c r="Z147" s="144"/>
      <c r="AA147" s="144"/>
      <c r="AB147" s="144"/>
      <c r="AC147" s="144"/>
      <c r="AD147" s="144"/>
      <c r="AE147" s="259"/>
      <c r="AF147" s="259"/>
      <c r="AG147" s="259"/>
      <c r="AH147" s="259"/>
      <c r="AI147" s="259"/>
      <c r="AJ147" s="259"/>
      <c r="AK147" s="259"/>
      <c r="AL147" s="259"/>
      <c r="AM147" s="259"/>
      <c r="AN147" s="259"/>
      <c r="AO147" s="307"/>
      <c r="AP147" s="308"/>
      <c r="AQ147" s="171"/>
      <c r="AS147" s="353"/>
      <c r="AT147" s="353"/>
      <c r="AU147" s="382"/>
    </row>
    <row r="148" spans="1:47" s="99" customFormat="1" ht="12.75">
      <c r="A148" s="171"/>
      <c r="B148" s="134"/>
      <c r="C148" s="124"/>
      <c r="E148" s="144"/>
      <c r="F148" s="144"/>
      <c r="G148" s="144"/>
      <c r="H148" s="144"/>
      <c r="I148" s="144"/>
      <c r="J148" s="144"/>
      <c r="K148" s="144"/>
      <c r="L148" s="171"/>
      <c r="M148" s="171"/>
      <c r="N148" s="171"/>
      <c r="O148" s="171"/>
      <c r="P148" s="171"/>
      <c r="Q148" s="171"/>
      <c r="R148" s="171"/>
      <c r="S148" s="171"/>
      <c r="T148" s="144"/>
      <c r="U148" s="144"/>
      <c r="V148" s="144"/>
      <c r="W148" s="144"/>
      <c r="X148" s="171"/>
      <c r="Y148" s="144"/>
      <c r="Z148" s="144"/>
      <c r="AA148" s="144"/>
      <c r="AB148" s="144"/>
      <c r="AC148" s="144"/>
      <c r="AD148" s="144"/>
      <c r="AE148" s="259"/>
      <c r="AF148" s="259"/>
      <c r="AG148" s="259"/>
      <c r="AH148" s="259"/>
      <c r="AI148" s="259"/>
      <c r="AJ148" s="259"/>
      <c r="AK148" s="259"/>
      <c r="AL148" s="259"/>
      <c r="AM148" s="259"/>
      <c r="AN148" s="259"/>
      <c r="AO148" s="307"/>
      <c r="AP148" s="308"/>
      <c r="AQ148" s="171"/>
      <c r="AS148" s="353"/>
      <c r="AT148" s="353"/>
      <c r="AU148" s="382"/>
    </row>
    <row r="149" spans="1:47" s="99" customFormat="1" ht="12.75">
      <c r="A149" s="171"/>
      <c r="B149" s="134"/>
      <c r="C149" s="124"/>
      <c r="E149" s="144"/>
      <c r="F149" s="144"/>
      <c r="G149" s="144"/>
      <c r="H149" s="144"/>
      <c r="I149" s="144"/>
      <c r="J149" s="144"/>
      <c r="K149" s="144"/>
      <c r="L149" s="171"/>
      <c r="M149" s="171"/>
      <c r="N149" s="171"/>
      <c r="O149" s="171"/>
      <c r="P149" s="171"/>
      <c r="Q149" s="171"/>
      <c r="R149" s="171"/>
      <c r="S149" s="171"/>
      <c r="T149" s="144"/>
      <c r="U149" s="144"/>
      <c r="V149" s="144"/>
      <c r="W149" s="144"/>
      <c r="X149" s="171"/>
      <c r="Y149" s="144"/>
      <c r="Z149" s="144"/>
      <c r="AA149" s="144"/>
      <c r="AB149" s="144"/>
      <c r="AC149" s="144"/>
      <c r="AD149" s="144"/>
      <c r="AE149" s="259"/>
      <c r="AF149" s="259"/>
      <c r="AG149" s="259"/>
      <c r="AH149" s="259"/>
      <c r="AI149" s="259"/>
      <c r="AJ149" s="259"/>
      <c r="AK149" s="259"/>
      <c r="AL149" s="259"/>
      <c r="AM149" s="259"/>
      <c r="AN149" s="259"/>
      <c r="AO149" s="307"/>
      <c r="AP149" s="308"/>
      <c r="AQ149" s="171"/>
      <c r="AS149" s="353"/>
      <c r="AT149" s="353"/>
      <c r="AU149" s="382"/>
    </row>
    <row r="150" spans="1:47" s="99" customFormat="1" ht="12.75">
      <c r="A150" s="171"/>
      <c r="B150" s="134"/>
      <c r="C150" s="124"/>
      <c r="E150" s="144"/>
      <c r="F150" s="144"/>
      <c r="G150" s="144"/>
      <c r="H150" s="144"/>
      <c r="I150" s="144"/>
      <c r="J150" s="144"/>
      <c r="K150" s="144"/>
      <c r="L150" s="171"/>
      <c r="M150" s="171"/>
      <c r="N150" s="171"/>
      <c r="O150" s="171"/>
      <c r="P150" s="171"/>
      <c r="Q150" s="171"/>
      <c r="R150" s="171"/>
      <c r="S150" s="171"/>
      <c r="T150" s="144"/>
      <c r="U150" s="144"/>
      <c r="V150" s="144"/>
      <c r="W150" s="144"/>
      <c r="X150" s="171"/>
      <c r="Y150" s="144"/>
      <c r="Z150" s="144"/>
      <c r="AA150" s="144"/>
      <c r="AB150" s="144"/>
      <c r="AC150" s="144"/>
      <c r="AD150" s="144"/>
      <c r="AE150" s="259"/>
      <c r="AF150" s="259"/>
      <c r="AG150" s="259"/>
      <c r="AH150" s="259"/>
      <c r="AI150" s="259"/>
      <c r="AJ150" s="259"/>
      <c r="AK150" s="259"/>
      <c r="AL150" s="259"/>
      <c r="AM150" s="259"/>
      <c r="AN150" s="259"/>
      <c r="AO150" s="307"/>
      <c r="AP150" s="308"/>
      <c r="AQ150" s="171"/>
      <c r="AS150" s="353"/>
      <c r="AT150" s="353"/>
      <c r="AU150" s="382"/>
    </row>
    <row r="151" spans="1:47" s="99" customFormat="1" ht="12.75">
      <c r="A151" s="171"/>
      <c r="B151" s="134"/>
      <c r="C151" s="124"/>
      <c r="E151" s="144"/>
      <c r="F151" s="144"/>
      <c r="G151" s="144"/>
      <c r="H151" s="144"/>
      <c r="I151" s="144"/>
      <c r="J151" s="144"/>
      <c r="K151" s="144"/>
      <c r="L151" s="171"/>
      <c r="M151" s="171"/>
      <c r="N151" s="171"/>
      <c r="O151" s="171"/>
      <c r="P151" s="171"/>
      <c r="Q151" s="171"/>
      <c r="R151" s="171"/>
      <c r="S151" s="171"/>
      <c r="T151" s="144"/>
      <c r="U151" s="144"/>
      <c r="V151" s="144"/>
      <c r="W151" s="144"/>
      <c r="X151" s="171"/>
      <c r="Y151" s="144"/>
      <c r="Z151" s="144"/>
      <c r="AA151" s="144"/>
      <c r="AB151" s="144"/>
      <c r="AC151" s="144"/>
      <c r="AD151" s="144"/>
      <c r="AE151" s="259"/>
      <c r="AF151" s="259"/>
      <c r="AG151" s="259"/>
      <c r="AH151" s="259"/>
      <c r="AI151" s="259"/>
      <c r="AJ151" s="259"/>
      <c r="AK151" s="259"/>
      <c r="AL151" s="259"/>
      <c r="AM151" s="259"/>
      <c r="AN151" s="259"/>
      <c r="AO151" s="307"/>
      <c r="AP151" s="308"/>
      <c r="AQ151" s="171"/>
      <c r="AS151" s="353"/>
      <c r="AT151" s="353"/>
      <c r="AU151" s="382"/>
    </row>
    <row r="152" spans="1:47" s="99" customFormat="1" ht="12.75">
      <c r="A152" s="171"/>
      <c r="B152" s="134"/>
      <c r="C152" s="124"/>
      <c r="E152" s="144"/>
      <c r="F152" s="144"/>
      <c r="G152" s="144"/>
      <c r="H152" s="144"/>
      <c r="I152" s="144"/>
      <c r="J152" s="144"/>
      <c r="K152" s="144"/>
      <c r="L152" s="171"/>
      <c r="M152" s="171"/>
      <c r="N152" s="171"/>
      <c r="O152" s="171"/>
      <c r="P152" s="171"/>
      <c r="Q152" s="171"/>
      <c r="R152" s="171"/>
      <c r="S152" s="171"/>
      <c r="T152" s="144"/>
      <c r="U152" s="144"/>
      <c r="V152" s="144"/>
      <c r="W152" s="144"/>
      <c r="X152" s="171"/>
      <c r="Y152" s="144"/>
      <c r="Z152" s="144"/>
      <c r="AA152" s="144"/>
      <c r="AB152" s="144"/>
      <c r="AC152" s="144"/>
      <c r="AD152" s="144"/>
      <c r="AE152" s="259"/>
      <c r="AF152" s="259"/>
      <c r="AG152" s="259"/>
      <c r="AH152" s="259"/>
      <c r="AI152" s="259"/>
      <c r="AJ152" s="259"/>
      <c r="AK152" s="259"/>
      <c r="AL152" s="259"/>
      <c r="AM152" s="259"/>
      <c r="AN152" s="259"/>
      <c r="AO152" s="307"/>
      <c r="AP152" s="308"/>
      <c r="AQ152" s="171"/>
      <c r="AS152" s="353"/>
      <c r="AT152" s="353"/>
      <c r="AU152" s="382"/>
    </row>
    <row r="153" spans="1:47" s="99" customFormat="1" ht="12.75">
      <c r="A153" s="171"/>
      <c r="B153" s="134"/>
      <c r="C153" s="124"/>
      <c r="E153" s="144"/>
      <c r="F153" s="144"/>
      <c r="G153" s="144"/>
      <c r="H153" s="144"/>
      <c r="I153" s="144"/>
      <c r="J153" s="144"/>
      <c r="K153" s="144"/>
      <c r="L153" s="171"/>
      <c r="M153" s="171"/>
      <c r="N153" s="171"/>
      <c r="O153" s="171"/>
      <c r="P153" s="171"/>
      <c r="Q153" s="171"/>
      <c r="R153" s="171"/>
      <c r="S153" s="171"/>
      <c r="T153" s="144"/>
      <c r="U153" s="144"/>
      <c r="V153" s="144"/>
      <c r="W153" s="144"/>
      <c r="X153" s="171"/>
      <c r="Y153" s="144"/>
      <c r="Z153" s="144"/>
      <c r="AA153" s="144"/>
      <c r="AB153" s="144"/>
      <c r="AC153" s="144"/>
      <c r="AD153" s="144"/>
      <c r="AE153" s="259"/>
      <c r="AF153" s="259"/>
      <c r="AG153" s="259"/>
      <c r="AH153" s="259"/>
      <c r="AI153" s="259"/>
      <c r="AJ153" s="259"/>
      <c r="AK153" s="259"/>
      <c r="AL153" s="259"/>
      <c r="AM153" s="259"/>
      <c r="AN153" s="259"/>
      <c r="AO153" s="307"/>
      <c r="AP153" s="308"/>
      <c r="AQ153" s="171"/>
      <c r="AS153" s="353"/>
      <c r="AT153" s="353"/>
      <c r="AU153" s="382"/>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2025-10-05T23:19:53Z</dcterms:created>
  <dcterms:modified xsi:type="dcterms:W3CDTF">2025-10-06T02:46:09Z</dcterms:modified>
</cp:coreProperties>
</file>