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660" windowWidth="28035" windowHeight="11265"/>
  </bookViews>
  <sheets>
    <sheet name="2022" sheetId="1" r:id="rId1"/>
  </sheets>
  <externalReferences>
    <externalReference r:id="rId2"/>
  </externalReferences>
  <definedNames>
    <definedName name="_xlnm._FilterDatabase" localSheetId="0" hidden="1">'2022'!$V$1:$V$323</definedName>
  </definedNames>
  <calcPr calcId="125725"/>
</workbook>
</file>

<file path=xl/calcChain.xml><?xml version="1.0" encoding="utf-8"?>
<calcChain xmlns="http://schemas.openxmlformats.org/spreadsheetml/2006/main">
  <c r="AO309" i="1"/>
  <c r="AJ309"/>
  <c r="AC309"/>
  <c r="AA309"/>
  <c r="AN308"/>
  <c r="AL308"/>
  <c r="AG308"/>
  <c r="AO308" s="1"/>
  <c r="Y308"/>
  <c r="AA308" s="1"/>
  <c r="T308"/>
  <c r="AO307"/>
  <c r="AL307"/>
  <c r="AH307"/>
  <c r="AG307"/>
  <c r="AD307"/>
  <c r="Y307"/>
  <c r="AA307" s="1"/>
  <c r="T307"/>
  <c r="AL305"/>
  <c r="AI305"/>
  <c r="AM305" s="1"/>
  <c r="AD305"/>
  <c r="AB305"/>
  <c r="AL304"/>
  <c r="AH304"/>
  <c r="AO304" s="1"/>
  <c r="AF304"/>
  <c r="AF303"/>
  <c r="AL302"/>
  <c r="AJ302"/>
  <c r="AM302" s="1"/>
  <c r="AO301"/>
  <c r="AL301"/>
  <c r="AG301"/>
  <c r="AM301" s="1"/>
  <c r="Y301"/>
  <c r="AA301" s="1"/>
  <c r="AN300"/>
  <c r="AL300"/>
  <c r="AG300"/>
  <c r="AO300" s="1"/>
  <c r="AE300"/>
  <c r="Y300"/>
  <c r="AC300" s="1"/>
  <c r="AO299"/>
  <c r="AM299"/>
  <c r="AL299"/>
  <c r="AG299"/>
  <c r="AC298"/>
  <c r="AA298"/>
  <c r="AL297"/>
  <c r="AI297"/>
  <c r="AM297" s="1"/>
  <c r="AD297"/>
  <c r="AB297"/>
  <c r="AO296"/>
  <c r="AL296"/>
  <c r="AM296" s="1"/>
  <c r="AD296"/>
  <c r="AB296"/>
  <c r="AO295"/>
  <c r="AM295"/>
  <c r="AL295"/>
  <c r="AI295"/>
  <c r="Z295"/>
  <c r="AB295" s="1"/>
  <c r="AH294"/>
  <c r="AO294" s="1"/>
  <c r="AF294"/>
  <c r="AM294" s="1"/>
  <c r="AN293"/>
  <c r="AL293"/>
  <c r="AH293"/>
  <c r="AG293"/>
  <c r="AO293" s="1"/>
  <c r="AC293"/>
  <c r="AA293"/>
  <c r="AL292"/>
  <c r="AH292"/>
  <c r="AG292"/>
  <c r="AC292"/>
  <c r="AA292"/>
  <c r="T292"/>
  <c r="AN291"/>
  <c r="AI291"/>
  <c r="AM291" s="1"/>
  <c r="Z291"/>
  <c r="AB291" s="1"/>
  <c r="AL290"/>
  <c r="AI290"/>
  <c r="AM290" s="1"/>
  <c r="AB290"/>
  <c r="Z290"/>
  <c r="AD290" s="1"/>
  <c r="AI289"/>
  <c r="AO289" s="1"/>
  <c r="AE289"/>
  <c r="AM289" s="1"/>
  <c r="AD289"/>
  <c r="AB289"/>
  <c r="Y289"/>
  <c r="AA289" s="1"/>
  <c r="V289"/>
  <c r="AL288"/>
  <c r="AH288"/>
  <c r="AM288" s="1"/>
  <c r="Y288"/>
  <c r="AA288" s="1"/>
  <c r="T288"/>
  <c r="AO287"/>
  <c r="AL287"/>
  <c r="AI287"/>
  <c r="AM287" s="1"/>
  <c r="AD287"/>
  <c r="AB287"/>
  <c r="AL286"/>
  <c r="AM286" s="1"/>
  <c r="AN285"/>
  <c r="AM285"/>
  <c r="AL285"/>
  <c r="AI285"/>
  <c r="AO285" s="1"/>
  <c r="Z285"/>
  <c r="AB285" s="1"/>
  <c r="AL284"/>
  <c r="AI284"/>
  <c r="AM284" s="1"/>
  <c r="AD284"/>
  <c r="AB284"/>
  <c r="AL283"/>
  <c r="AG283"/>
  <c r="AM283" s="1"/>
  <c r="Y283"/>
  <c r="AA283" s="1"/>
  <c r="AO282"/>
  <c r="AN282"/>
  <c r="AL282"/>
  <c r="AM282" s="1"/>
  <c r="Y282"/>
  <c r="AA282" s="1"/>
  <c r="AO281"/>
  <c r="AL281"/>
  <c r="AM281" s="1"/>
  <c r="AD281"/>
  <c r="AB281"/>
  <c r="AG280"/>
  <c r="AM280" s="1"/>
  <c r="AC280"/>
  <c r="AA280"/>
  <c r="AL279"/>
  <c r="AG279"/>
  <c r="AM279" s="1"/>
  <c r="AC279"/>
  <c r="AA279"/>
  <c r="AL278"/>
  <c r="AI278"/>
  <c r="AM278" s="1"/>
  <c r="Z278"/>
  <c r="AB278" s="1"/>
  <c r="AO277"/>
  <c r="AC277"/>
  <c r="AA277"/>
  <c r="T277"/>
  <c r="AN276"/>
  <c r="AL276"/>
  <c r="AI276"/>
  <c r="AM276" s="1"/>
  <c r="Z276"/>
  <c r="AB276" s="1"/>
  <c r="AO275"/>
  <c r="AN275"/>
  <c r="AL275"/>
  <c r="AI275"/>
  <c r="AE275"/>
  <c r="AM275" s="1"/>
  <c r="AC275"/>
  <c r="AA275"/>
  <c r="Z275"/>
  <c r="AB275" s="1"/>
  <c r="AN274"/>
  <c r="AH274"/>
  <c r="AG274" s="1"/>
  <c r="AC274"/>
  <c r="AA274"/>
  <c r="AL273"/>
  <c r="AI273"/>
  <c r="AM273" s="1"/>
  <c r="AB273"/>
  <c r="Z273"/>
  <c r="AD273" s="1"/>
  <c r="AO272"/>
  <c r="AL272"/>
  <c r="AM272" s="1"/>
  <c r="AD272"/>
  <c r="AB272"/>
  <c r="AL271"/>
  <c r="AI271"/>
  <c r="AM271" s="1"/>
  <c r="AD271"/>
  <c r="AB271"/>
  <c r="AI270"/>
  <c r="AN269"/>
  <c r="AI269"/>
  <c r="AO269" s="1"/>
  <c r="AE269"/>
  <c r="AG268"/>
  <c r="AO268" s="1"/>
  <c r="AE268"/>
  <c r="AM268" s="1"/>
  <c r="AB268"/>
  <c r="Z268"/>
  <c r="AD268" s="1"/>
  <c r="Y268"/>
  <c r="AA268" s="1"/>
  <c r="AO267"/>
  <c r="AM267"/>
  <c r="AL267"/>
  <c r="AI267"/>
  <c r="AD267"/>
  <c r="AB267"/>
  <c r="AM266"/>
  <c r="AL266"/>
  <c r="AI266"/>
  <c r="AO266" s="1"/>
  <c r="AD266"/>
  <c r="AB266"/>
  <c r="AO265"/>
  <c r="AM265"/>
  <c r="AG265"/>
  <c r="AL264"/>
  <c r="AI264"/>
  <c r="AO264" s="1"/>
  <c r="AG264"/>
  <c r="AE264"/>
  <c r="AM264" s="1"/>
  <c r="AD264"/>
  <c r="AC264"/>
  <c r="AB264"/>
  <c r="AA264"/>
  <c r="AL263"/>
  <c r="AG263"/>
  <c r="AM263" s="1"/>
  <c r="AC263"/>
  <c r="AA263"/>
  <c r="AO262"/>
  <c r="AL262"/>
  <c r="AE262"/>
  <c r="AG262" s="1"/>
  <c r="AD262"/>
  <c r="AB262"/>
  <c r="Z262"/>
  <c r="AL261"/>
  <c r="AI261"/>
  <c r="AO261" s="1"/>
  <c r="AE261"/>
  <c r="AM261" s="1"/>
  <c r="AO260"/>
  <c r="AN260"/>
  <c r="AE260"/>
  <c r="AM260" s="1"/>
  <c r="Y260"/>
  <c r="AA260" s="1"/>
  <c r="AN259"/>
  <c r="AL259"/>
  <c r="AI259"/>
  <c r="AO259" s="1"/>
  <c r="AE259"/>
  <c r="AM259" s="1"/>
  <c r="AD259"/>
  <c r="AC259"/>
  <c r="AB259"/>
  <c r="AA259"/>
  <c r="Z259"/>
  <c r="AO258"/>
  <c r="AN258"/>
  <c r="AM258"/>
  <c r="AL258"/>
  <c r="U258"/>
  <c r="AL256"/>
  <c r="AE256"/>
  <c r="AM256" s="1"/>
  <c r="AO255"/>
  <c r="AM255"/>
  <c r="AL255"/>
  <c r="AG255"/>
  <c r="AC255"/>
  <c r="AA255"/>
  <c r="AO254"/>
  <c r="AN254"/>
  <c r="AL254"/>
  <c r="AM254" s="1"/>
  <c r="AD254"/>
  <c r="AB254"/>
  <c r="AO253"/>
  <c r="AM253"/>
  <c r="AL253"/>
  <c r="AO252"/>
  <c r="AL252"/>
  <c r="AH252"/>
  <c r="AM252" s="1"/>
  <c r="AG252"/>
  <c r="Y252"/>
  <c r="AA252" s="1"/>
  <c r="T252"/>
  <c r="AN251"/>
  <c r="AL251"/>
  <c r="AG251"/>
  <c r="AM251" s="1"/>
  <c r="AC251"/>
  <c r="AA251"/>
  <c r="AL250"/>
  <c r="AI250"/>
  <c r="AM250" s="1"/>
  <c r="Z250"/>
  <c r="AB250" s="1"/>
  <c r="AH249"/>
  <c r="AM249" s="1"/>
  <c r="AN248"/>
  <c r="AL248"/>
  <c r="AI248"/>
  <c r="AM248" s="1"/>
  <c r="AD248"/>
  <c r="AB248"/>
  <c r="AO247"/>
  <c r="AM247"/>
  <c r="AL247"/>
  <c r="AM246"/>
  <c r="AG246"/>
  <c r="AL245"/>
  <c r="AI245"/>
  <c r="AM245" s="1"/>
  <c r="AD245"/>
  <c r="AB245"/>
  <c r="AL244"/>
  <c r="AI244"/>
  <c r="AM244" s="1"/>
  <c r="AD244"/>
  <c r="AB244"/>
  <c r="AO242"/>
  <c r="AN242"/>
  <c r="AL242"/>
  <c r="AM242" s="1"/>
  <c r="AL241"/>
  <c r="AG241"/>
  <c r="AM241" s="1"/>
  <c r="AC241"/>
  <c r="AA241"/>
  <c r="AL240"/>
  <c r="AG240"/>
  <c r="AO240" s="1"/>
  <c r="AE240"/>
  <c r="AM240" s="1"/>
  <c r="Y240"/>
  <c r="AA240" s="1"/>
  <c r="AL239"/>
  <c r="AJ239"/>
  <c r="AI239" s="1"/>
  <c r="AD239"/>
  <c r="AB239"/>
  <c r="U239"/>
  <c r="AN238"/>
  <c r="AL238"/>
  <c r="AG238"/>
  <c r="AM238" s="1"/>
  <c r="AC238"/>
  <c r="AA238"/>
  <c r="AO237"/>
  <c r="AN237"/>
  <c r="AM237"/>
  <c r="AL237"/>
  <c r="AG237"/>
  <c r="AC237"/>
  <c r="AA237"/>
  <c r="AL236"/>
  <c r="AI236"/>
  <c r="AM236" s="1"/>
  <c r="AD236"/>
  <c r="AB236"/>
  <c r="AO235"/>
  <c r="AN235"/>
  <c r="AL235"/>
  <c r="AG235"/>
  <c r="AM235" s="1"/>
  <c r="Y235"/>
  <c r="AA235" s="1"/>
  <c r="T235"/>
  <c r="AL234"/>
  <c r="AH234"/>
  <c r="AM234" s="1"/>
  <c r="AN233"/>
  <c r="AL233"/>
  <c r="AE233"/>
  <c r="AG233" s="1"/>
  <c r="AO233" s="1"/>
  <c r="Y233"/>
  <c r="AA233" s="1"/>
  <c r="AL232"/>
  <c r="AH232"/>
  <c r="Y232"/>
  <c r="AA232" s="1"/>
  <c r="T232"/>
  <c r="AL231"/>
  <c r="AE231"/>
  <c r="AM231" s="1"/>
  <c r="AL230"/>
  <c r="AE230"/>
  <c r="AM230" s="1"/>
  <c r="AI229"/>
  <c r="AL229" s="1"/>
  <c r="AN228"/>
  <c r="AL228"/>
  <c r="AG228"/>
  <c r="AM228" s="1"/>
  <c r="AC228"/>
  <c r="AA228"/>
  <c r="AL227"/>
  <c r="AI227"/>
  <c r="AM227" s="1"/>
  <c r="AD227"/>
  <c r="AB227"/>
  <c r="AL226"/>
  <c r="AJ226"/>
  <c r="AM226" s="1"/>
  <c r="AL223"/>
  <c r="AI223"/>
  <c r="AM223" s="1"/>
  <c r="Z223"/>
  <c r="AB223" s="1"/>
  <c r="AO222"/>
  <c r="AL222"/>
  <c r="AE222"/>
  <c r="AM222" s="1"/>
  <c r="AD222"/>
  <c r="AC222"/>
  <c r="AB222"/>
  <c r="AA222"/>
  <c r="AL221"/>
  <c r="AI221"/>
  <c r="AM221" s="1"/>
  <c r="AD221"/>
  <c r="AB221"/>
  <c r="AO220"/>
  <c r="AM220"/>
  <c r="AL220"/>
  <c r="AD220"/>
  <c r="AB220"/>
  <c r="AL219"/>
  <c r="AH219"/>
  <c r="AM219" s="1"/>
  <c r="AO218"/>
  <c r="AL217"/>
  <c r="AI217"/>
  <c r="AE217"/>
  <c r="AM216"/>
  <c r="AL216"/>
  <c r="AG216"/>
  <c r="AC216"/>
  <c r="AA216"/>
  <c r="Z215"/>
  <c r="AN214"/>
  <c r="AL214"/>
  <c r="AI214"/>
  <c r="AM214" s="1"/>
  <c r="AD214"/>
  <c r="AB214"/>
  <c r="AN213"/>
  <c r="AL213"/>
  <c r="AI213"/>
  <c r="AM213" s="1"/>
  <c r="AD213"/>
  <c r="AB213"/>
  <c r="AN212"/>
  <c r="AL212"/>
  <c r="AI212"/>
  <c r="AM212" s="1"/>
  <c r="AD212"/>
  <c r="AB212"/>
  <c r="AO211"/>
  <c r="AN211"/>
  <c r="AL211"/>
  <c r="AI211"/>
  <c r="AM211" s="1"/>
  <c r="AD211"/>
  <c r="AB211"/>
  <c r="AL210"/>
  <c r="AG210"/>
  <c r="AM210" s="1"/>
  <c r="Y210"/>
  <c r="AA210" s="1"/>
  <c r="AL209"/>
  <c r="AI209"/>
  <c r="AM209" s="1"/>
  <c r="AL208"/>
  <c r="AH208"/>
  <c r="AG208" s="1"/>
  <c r="AM208" s="1"/>
  <c r="AC208"/>
  <c r="AA208"/>
  <c r="AN207"/>
  <c r="AL207"/>
  <c r="AG207"/>
  <c r="AM207" s="1"/>
  <c r="AC207"/>
  <c r="AA207"/>
  <c r="AO206"/>
  <c r="AM206"/>
  <c r="AL206"/>
  <c r="AD206"/>
  <c r="AB206"/>
  <c r="AL205"/>
  <c r="AJ205"/>
  <c r="AM205" s="1"/>
  <c r="AL204"/>
  <c r="AE204"/>
  <c r="AM204" s="1"/>
  <c r="AL203"/>
  <c r="AJ203"/>
  <c r="AO203" s="1"/>
  <c r="AF203"/>
  <c r="AL202"/>
  <c r="AI202"/>
  <c r="AM202" s="1"/>
  <c r="Z202"/>
  <c r="AB202" s="1"/>
  <c r="AH201"/>
  <c r="AF201"/>
  <c r="AM201" s="1"/>
  <c r="Y201"/>
  <c r="AA201" s="1"/>
  <c r="T201"/>
  <c r="AO200"/>
  <c r="AM200"/>
  <c r="AL200"/>
  <c r="AH200"/>
  <c r="AC200"/>
  <c r="T200"/>
  <c r="AL199"/>
  <c r="AI199"/>
  <c r="AM199" s="1"/>
  <c r="AD199"/>
  <c r="AB199"/>
  <c r="AL197"/>
  <c r="AI197"/>
  <c r="AM197" s="1"/>
  <c r="AG196"/>
  <c r="AO195"/>
  <c r="AE195"/>
  <c r="AM195" s="1"/>
  <c r="AL192"/>
  <c r="AG192"/>
  <c r="AM192" s="1"/>
  <c r="AC192"/>
  <c r="AA192"/>
  <c r="AL191"/>
  <c r="AI191"/>
  <c r="AM191" s="1"/>
  <c r="AD191"/>
  <c r="AB191"/>
  <c r="AL190"/>
  <c r="AI190"/>
  <c r="AM190" s="1"/>
  <c r="AD190"/>
  <c r="AB190"/>
  <c r="AL189"/>
  <c r="AI189"/>
  <c r="AM189" s="1"/>
  <c r="AD189"/>
  <c r="AB189"/>
  <c r="AO188"/>
  <c r="AN188"/>
  <c r="AM188"/>
  <c r="AL188"/>
  <c r="AD188"/>
  <c r="AB188"/>
  <c r="AL187"/>
  <c r="AH187"/>
  <c r="AM187" s="1"/>
  <c r="AN186"/>
  <c r="AL186"/>
  <c r="AI186"/>
  <c r="AM186" s="1"/>
  <c r="AD186"/>
  <c r="AB186"/>
  <c r="AO185"/>
  <c r="AN185"/>
  <c r="AM185"/>
  <c r="AL185"/>
  <c r="AD185"/>
  <c r="AB185"/>
  <c r="AL184"/>
  <c r="AG184"/>
  <c r="AM184" s="1"/>
  <c r="Y184"/>
  <c r="AA184" s="1"/>
  <c r="AL182"/>
  <c r="AG182"/>
  <c r="AM182" s="1"/>
  <c r="AC182"/>
  <c r="AA182"/>
  <c r="AL181"/>
  <c r="AI181"/>
  <c r="AM181" s="1"/>
  <c r="AD181"/>
  <c r="AB181"/>
  <c r="AL180"/>
  <c r="AG180"/>
  <c r="AE180"/>
  <c r="AM180" s="1"/>
  <c r="Y180"/>
  <c r="AA180" s="1"/>
  <c r="T180"/>
  <c r="AL179"/>
  <c r="AG179"/>
  <c r="AM179" s="1"/>
  <c r="AC179"/>
  <c r="AA179"/>
  <c r="AO177"/>
  <c r="AL177"/>
  <c r="AI177"/>
  <c r="AE177"/>
  <c r="AM177" s="1"/>
  <c r="AD177"/>
  <c r="AA177"/>
  <c r="AG176"/>
  <c r="AE176"/>
  <c r="AN174"/>
  <c r="AL174"/>
  <c r="AI174"/>
  <c r="AO174" s="1"/>
  <c r="AD174"/>
  <c r="AB174"/>
  <c r="AL173"/>
  <c r="AG173"/>
  <c r="AM173" s="1"/>
  <c r="Y173"/>
  <c r="AA173" s="1"/>
  <c r="T173"/>
  <c r="AM172"/>
  <c r="AL172"/>
  <c r="AI172"/>
  <c r="Z172"/>
  <c r="AB172" s="1"/>
  <c r="AO171"/>
  <c r="AL171"/>
  <c r="AG171"/>
  <c r="AE171"/>
  <c r="Y171"/>
  <c r="AA171" s="1"/>
  <c r="T171"/>
  <c r="AO170"/>
  <c r="AL170"/>
  <c r="AM170" s="1"/>
  <c r="AD170"/>
  <c r="AB170"/>
  <c r="AL169"/>
  <c r="AG169"/>
  <c r="AO169" s="1"/>
  <c r="AE169"/>
  <c r="AM169" s="1"/>
  <c r="Y169"/>
  <c r="AA169" s="1"/>
  <c r="T169"/>
  <c r="AL168"/>
  <c r="AG168"/>
  <c r="AM168" s="1"/>
  <c r="AC168"/>
  <c r="AA168"/>
  <c r="AM167"/>
  <c r="AL167"/>
  <c r="AH167"/>
  <c r="AL166"/>
  <c r="AG166"/>
  <c r="AM166" s="1"/>
  <c r="AD166"/>
  <c r="Y166"/>
  <c r="AA166" s="1"/>
  <c r="AH165"/>
  <c r="AO165" s="1"/>
  <c r="AO164"/>
  <c r="AO163"/>
  <c r="AM163"/>
  <c r="AL163"/>
  <c r="AA163"/>
  <c r="Y163"/>
  <c r="AC163" s="1"/>
  <c r="AL162"/>
  <c r="AH162"/>
  <c r="AM162" s="1"/>
  <c r="AL161"/>
  <c r="AG161"/>
  <c r="AM161" s="1"/>
  <c r="AC161"/>
  <c r="AA161"/>
  <c r="AO160"/>
  <c r="AL160"/>
  <c r="AE160"/>
  <c r="AM160" s="1"/>
  <c r="AA160"/>
  <c r="Y160"/>
  <c r="AC160" s="1"/>
  <c r="T160"/>
  <c r="AL159"/>
  <c r="AG159"/>
  <c r="AE159"/>
  <c r="AM159" s="1"/>
  <c r="T159"/>
  <c r="AL158"/>
  <c r="AI158"/>
  <c r="AM158" s="1"/>
  <c r="AD158"/>
  <c r="AB158"/>
  <c r="AO157"/>
  <c r="AL157"/>
  <c r="AM157" s="1"/>
  <c r="AL156"/>
  <c r="AH156"/>
  <c r="AG156"/>
  <c r="AO156" s="1"/>
  <c r="Y156"/>
  <c r="AA156" s="1"/>
  <c r="AL155"/>
  <c r="AG155"/>
  <c r="AM155" s="1"/>
  <c r="Y155"/>
  <c r="AA155" s="1"/>
  <c r="AL154"/>
  <c r="AI154"/>
  <c r="AM154" s="1"/>
  <c r="AD154"/>
  <c r="AB154"/>
  <c r="AO153"/>
  <c r="AL153"/>
  <c r="AM153" s="1"/>
  <c r="AL152"/>
  <c r="AI152"/>
  <c r="AM152" s="1"/>
  <c r="AD152"/>
  <c r="AB152"/>
  <c r="AO151"/>
  <c r="AL151"/>
  <c r="AE151"/>
  <c r="AM151" s="1"/>
  <c r="Y151"/>
  <c r="AC151" s="1"/>
  <c r="AM150"/>
  <c r="AL150"/>
  <c r="AL149"/>
  <c r="AH149"/>
  <c r="AG149"/>
  <c r="AM149" s="1"/>
  <c r="AN148"/>
  <c r="AL148"/>
  <c r="AG148"/>
  <c r="AM148" s="1"/>
  <c r="Y148"/>
  <c r="AA148" s="1"/>
  <c r="AO147"/>
  <c r="AL147"/>
  <c r="AI147"/>
  <c r="AE147"/>
  <c r="AM147" s="1"/>
  <c r="Y147"/>
  <c r="AA147" s="1"/>
  <c r="T147"/>
  <c r="AO146"/>
  <c r="AL146"/>
  <c r="AI146"/>
  <c r="AM146" s="1"/>
  <c r="AD146"/>
  <c r="AB146"/>
  <c r="AN145"/>
  <c r="AG145"/>
  <c r="AM145" s="1"/>
  <c r="AO144"/>
  <c r="AN144"/>
  <c r="AM144"/>
  <c r="AL144"/>
  <c r="AE144"/>
  <c r="AD144"/>
  <c r="AB144"/>
  <c r="AL143"/>
  <c r="AG143"/>
  <c r="AM143" s="1"/>
  <c r="AC143"/>
  <c r="AA143"/>
  <c r="AL142"/>
  <c r="AG142"/>
  <c r="AM142" s="1"/>
  <c r="AL141"/>
  <c r="AG141"/>
  <c r="AM141" s="1"/>
  <c r="Y141"/>
  <c r="AA141" s="1"/>
  <c r="T141"/>
  <c r="AO140"/>
  <c r="AM140"/>
  <c r="AL140"/>
  <c r="AG140"/>
  <c r="Y140"/>
  <c r="AC140" s="1"/>
  <c r="AO139"/>
  <c r="AM139"/>
  <c r="AL139"/>
  <c r="AH138"/>
  <c r="AM138" s="1"/>
  <c r="AH137"/>
  <c r="AF137"/>
  <c r="AM137" s="1"/>
  <c r="AM136"/>
  <c r="AL136"/>
  <c r="AN135"/>
  <c r="AL135"/>
  <c r="AI135"/>
  <c r="AM135" s="1"/>
  <c r="Z135"/>
  <c r="AB135" s="1"/>
  <c r="AO134"/>
  <c r="AM134"/>
  <c r="AC134"/>
  <c r="AA134"/>
  <c r="AO133"/>
  <c r="AL133"/>
  <c r="AE133"/>
  <c r="AM133" s="1"/>
  <c r="AC133"/>
  <c r="AA133"/>
  <c r="AO132"/>
  <c r="AL132"/>
  <c r="AH132"/>
  <c r="AM132" s="1"/>
  <c r="AO131"/>
  <c r="AN131"/>
  <c r="AM131"/>
  <c r="AL131"/>
  <c r="AD131"/>
  <c r="AB131"/>
  <c r="AL130"/>
  <c r="AI130"/>
  <c r="AM130" s="1"/>
  <c r="AD130"/>
  <c r="AB130"/>
  <c r="AN129"/>
  <c r="AL129"/>
  <c r="AI129"/>
  <c r="AO129" s="1"/>
  <c r="AE129"/>
  <c r="AJ128"/>
  <c r="AO128" s="1"/>
  <c r="AI127"/>
  <c r="AO127" s="1"/>
  <c r="AD127"/>
  <c r="AB127"/>
  <c r="AL126"/>
  <c r="AG126"/>
  <c r="AM126" s="1"/>
  <c r="AC126"/>
  <c r="AA126"/>
  <c r="AO125"/>
  <c r="AG125"/>
  <c r="AE125"/>
  <c r="AC125"/>
  <c r="AA125"/>
  <c r="AM124"/>
  <c r="AL124"/>
  <c r="AG124"/>
  <c r="AO124" s="1"/>
  <c r="AC124"/>
  <c r="AA124"/>
  <c r="AN123"/>
  <c r="AL123"/>
  <c r="AI123"/>
  <c r="AM123" s="1"/>
  <c r="AD123"/>
  <c r="AB123"/>
  <c r="AP122"/>
  <c r="AO122"/>
  <c r="AN122"/>
  <c r="AK122"/>
  <c r="AL122" s="1"/>
  <c r="AC122"/>
  <c r="AL121"/>
  <c r="AI121"/>
  <c r="AM121" s="1"/>
  <c r="AD121"/>
  <c r="AB121"/>
  <c r="AO120"/>
  <c r="AN120"/>
  <c r="AM120"/>
  <c r="AL120"/>
  <c r="AG120"/>
  <c r="AE120"/>
  <c r="AA120"/>
  <c r="Y120"/>
  <c r="AC120" s="1"/>
  <c r="T120"/>
  <c r="AL119"/>
  <c r="AI119"/>
  <c r="AM119" s="1"/>
  <c r="AD119"/>
  <c r="AB119"/>
  <c r="AH118"/>
  <c r="AE118"/>
  <c r="AL117"/>
  <c r="AI117"/>
  <c r="AE117"/>
  <c r="Z117"/>
  <c r="AB117" s="1"/>
  <c r="Y117"/>
  <c r="AA117" s="1"/>
  <c r="U117"/>
  <c r="AL116"/>
  <c r="AG116"/>
  <c r="AM116" s="1"/>
  <c r="AC116"/>
  <c r="AA116"/>
  <c r="Y116"/>
  <c r="AL115"/>
  <c r="AG115"/>
  <c r="AM115" s="1"/>
  <c r="Y115"/>
  <c r="AA115" s="1"/>
  <c r="T115"/>
  <c r="AO114"/>
  <c r="AM114"/>
  <c r="AL114"/>
  <c r="AD114"/>
  <c r="AB114"/>
  <c r="AL113"/>
  <c r="AG113"/>
  <c r="AM113" s="1"/>
  <c r="Y113"/>
  <c r="AA113" s="1"/>
  <c r="AJ112"/>
  <c r="AO112" s="1"/>
  <c r="AO111"/>
  <c r="AL111"/>
  <c r="AG111"/>
  <c r="AM111" s="1"/>
  <c r="AL110"/>
  <c r="AI110"/>
  <c r="AM110" s="1"/>
  <c r="AD110"/>
  <c r="AC110"/>
  <c r="AB110"/>
  <c r="AA110"/>
  <c r="AL109"/>
  <c r="AJ109"/>
  <c r="AM109" s="1"/>
  <c r="AO108"/>
  <c r="AK108"/>
  <c r="AL108" s="1"/>
  <c r="AL107"/>
  <c r="AI107"/>
  <c r="AM107" s="1"/>
  <c r="AB107"/>
  <c r="Z107"/>
  <c r="AD107" s="1"/>
  <c r="AO106"/>
  <c r="AN106"/>
  <c r="AL106"/>
  <c r="AM106" s="1"/>
  <c r="AL105"/>
  <c r="AI105"/>
  <c r="AM105" s="1"/>
  <c r="Z105"/>
  <c r="AB105" s="1"/>
  <c r="AN103"/>
  <c r="AI103"/>
  <c r="AM103" s="1"/>
  <c r="Z103"/>
  <c r="AB103" s="1"/>
  <c r="AG102"/>
  <c r="AC102"/>
  <c r="Y102"/>
  <c r="AA102" s="1"/>
  <c r="AO101"/>
  <c r="AJ101"/>
  <c r="AM101" s="1"/>
  <c r="AF101"/>
  <c r="AL100"/>
  <c r="AG100"/>
  <c r="AM100" s="1"/>
  <c r="Y100"/>
  <c r="AA100" s="1"/>
  <c r="AO99"/>
  <c r="AM99"/>
  <c r="AL99"/>
  <c r="AI99"/>
  <c r="AD99"/>
  <c r="AB99"/>
  <c r="AO98"/>
  <c r="AL98"/>
  <c r="AG98"/>
  <c r="AE98"/>
  <c r="AM98" s="1"/>
  <c r="AA98"/>
  <c r="Y98"/>
  <c r="AC98" s="1"/>
  <c r="AO96"/>
  <c r="AM96"/>
  <c r="AL96"/>
  <c r="AI96"/>
  <c r="AD96"/>
  <c r="AB96"/>
  <c r="AL95"/>
  <c r="AG95"/>
  <c r="AM95" s="1"/>
  <c r="AC95"/>
  <c r="AA95"/>
  <c r="AN94"/>
  <c r="AG94"/>
  <c r="AM94" s="1"/>
  <c r="AN93"/>
  <c r="AI93"/>
  <c r="AL93" s="1"/>
  <c r="AD93"/>
  <c r="AB93"/>
  <c r="AO92"/>
  <c r="AL92"/>
  <c r="AG92"/>
  <c r="AM92" s="1"/>
  <c r="AC92"/>
  <c r="AA92"/>
  <c r="AJ91"/>
  <c r="AH91"/>
  <c r="AF91"/>
  <c r="AO90"/>
  <c r="AL90"/>
  <c r="AI90"/>
  <c r="AM90" s="1"/>
  <c r="AD90"/>
  <c r="AB90"/>
  <c r="AL89"/>
  <c r="AH89"/>
  <c r="AM89" s="1"/>
  <c r="AO88"/>
  <c r="AL88"/>
  <c r="AG88"/>
  <c r="AE88"/>
  <c r="AM88" s="1"/>
  <c r="AD88"/>
  <c r="AC88"/>
  <c r="AB88"/>
  <c r="AA88"/>
  <c r="AL87"/>
  <c r="AG87"/>
  <c r="AM87" s="1"/>
  <c r="AC87"/>
  <c r="AA87"/>
  <c r="AH86"/>
  <c r="AG86"/>
  <c r="AM86" s="1"/>
  <c r="AC86"/>
  <c r="AA86"/>
  <c r="AL85"/>
  <c r="AI85"/>
  <c r="AM85" s="1"/>
  <c r="AD85"/>
  <c r="AB85"/>
  <c r="AL84"/>
  <c r="AI84"/>
  <c r="AM84" s="1"/>
  <c r="AD84"/>
  <c r="AB84"/>
  <c r="AL83"/>
  <c r="AE83"/>
  <c r="AG83" s="1"/>
  <c r="AM83" s="1"/>
  <c r="AL82"/>
  <c r="AE82"/>
  <c r="AG82" s="1"/>
  <c r="AM82" s="1"/>
  <c r="AO80"/>
  <c r="AM80"/>
  <c r="AL80"/>
  <c r="AD80"/>
  <c r="AL79"/>
  <c r="AI79"/>
  <c r="AO79" s="1"/>
  <c r="AE79"/>
  <c r="AD79"/>
  <c r="AA79"/>
  <c r="AN78"/>
  <c r="AM78"/>
  <c r="AL78"/>
  <c r="AG78"/>
  <c r="AO78" s="1"/>
  <c r="AD78"/>
  <c r="AC78"/>
  <c r="AB78"/>
  <c r="AL77"/>
  <c r="AI77"/>
  <c r="AM77" s="1"/>
  <c r="AD77"/>
  <c r="AB77"/>
  <c r="AO76"/>
  <c r="AM76"/>
  <c r="AL76"/>
  <c r="AD76"/>
  <c r="AB76"/>
  <c r="AN75"/>
  <c r="AL75"/>
  <c r="AG75"/>
  <c r="AM75" s="1"/>
  <c r="AC75"/>
  <c r="AA75"/>
  <c r="AN74"/>
  <c r="AL74"/>
  <c r="AI74"/>
  <c r="AM74" s="1"/>
  <c r="AD74"/>
  <c r="AB74"/>
  <c r="AM73"/>
  <c r="AL73"/>
  <c r="AI73"/>
  <c r="AO72"/>
  <c r="AL72"/>
  <c r="Y72"/>
  <c r="AA72" s="1"/>
  <c r="AL71"/>
  <c r="AG71"/>
  <c r="AO71" s="1"/>
  <c r="AE71"/>
  <c r="AM71" s="1"/>
  <c r="AG70"/>
  <c r="AH70" s="1"/>
  <c r="AO70" s="1"/>
  <c r="Y70"/>
  <c r="AA70" s="1"/>
  <c r="T70"/>
  <c r="AL69"/>
  <c r="AI69"/>
  <c r="AM69" s="1"/>
  <c r="AD69"/>
  <c r="AB69"/>
  <c r="AL68"/>
  <c r="AE68"/>
  <c r="AG68" s="1"/>
  <c r="Y68"/>
  <c r="AA68" s="1"/>
  <c r="AL67"/>
  <c r="AI67"/>
  <c r="AM67" s="1"/>
  <c r="AD67"/>
  <c r="AB67"/>
  <c r="AL66"/>
  <c r="AI66"/>
  <c r="AM66" s="1"/>
  <c r="AD66"/>
  <c r="AB66"/>
  <c r="AL64"/>
  <c r="AI64"/>
  <c r="AM64" s="1"/>
  <c r="AD64"/>
  <c r="AB64"/>
  <c r="AL63"/>
  <c r="AG63"/>
  <c r="AM63" s="1"/>
  <c r="Y63"/>
  <c r="AA63" s="1"/>
  <c r="AH62"/>
  <c r="AO62" s="1"/>
  <c r="AF62"/>
  <c r="AL62" s="1"/>
  <c r="AM60"/>
  <c r="AL60"/>
  <c r="AH60"/>
  <c r="AL59"/>
  <c r="AG59"/>
  <c r="AM59" s="1"/>
  <c r="AC59"/>
  <c r="AA59"/>
  <c r="AL58"/>
  <c r="AG58"/>
  <c r="AM58" s="1"/>
  <c r="Y58"/>
  <c r="AA58" s="1"/>
  <c r="AG57"/>
  <c r="AM57" s="1"/>
  <c r="AC57"/>
  <c r="AA57"/>
  <c r="AO56"/>
  <c r="AM56"/>
  <c r="AL56"/>
  <c r="AD56"/>
  <c r="AB56"/>
  <c r="AL55"/>
  <c r="AH55"/>
  <c r="AO55" s="1"/>
  <c r="AE55"/>
  <c r="AM55" s="1"/>
  <c r="AC55"/>
  <c r="AA55"/>
  <c r="T55"/>
  <c r="AO54"/>
  <c r="AM54"/>
  <c r="AL54"/>
  <c r="AI54"/>
  <c r="AD54"/>
  <c r="AB54"/>
  <c r="AE53"/>
  <c r="AL53" s="1"/>
  <c r="AC53"/>
  <c r="AA53"/>
  <c r="AN52"/>
  <c r="AL52"/>
  <c r="AI52"/>
  <c r="AO52" s="1"/>
  <c r="AE52"/>
  <c r="AD52"/>
  <c r="AB52"/>
  <c r="Z52"/>
  <c r="AO51"/>
  <c r="AM51"/>
  <c r="AL51"/>
  <c r="AD51"/>
  <c r="AB51"/>
  <c r="AO50"/>
  <c r="AN50"/>
  <c r="AM50"/>
  <c r="AL50"/>
  <c r="AI50"/>
  <c r="AD50"/>
  <c r="AB50"/>
  <c r="AL49"/>
  <c r="AG49"/>
  <c r="AM49" s="1"/>
  <c r="AC49"/>
  <c r="AA49"/>
  <c r="AO48"/>
  <c r="AM48"/>
  <c r="AL48"/>
  <c r="AE48"/>
  <c r="AO47"/>
  <c r="AN47"/>
  <c r="AM47"/>
  <c r="AL47"/>
  <c r="AD47"/>
  <c r="AB47"/>
  <c r="AL46"/>
  <c r="AI46"/>
  <c r="AM46" s="1"/>
  <c r="AD46"/>
  <c r="AB46"/>
  <c r="AL45"/>
  <c r="AI45"/>
  <c r="AM45" s="1"/>
  <c r="AD45"/>
  <c r="AB45"/>
  <c r="AL44"/>
  <c r="AI44"/>
  <c r="AM44" s="1"/>
  <c r="Z44"/>
  <c r="AB44" s="1"/>
  <c r="AL43"/>
  <c r="AG43"/>
  <c r="AM43" s="1"/>
  <c r="Y43"/>
  <c r="AA43" s="1"/>
  <c r="AM42"/>
  <c r="AL42"/>
  <c r="AE42"/>
  <c r="AL41"/>
  <c r="AG41"/>
  <c r="AM41" s="1"/>
  <c r="Y41"/>
  <c r="AA41" s="1"/>
  <c r="AV40"/>
  <c r="AK40"/>
  <c r="AM40" s="1"/>
  <c r="AO39"/>
  <c r="AL39"/>
  <c r="AM39" s="1"/>
  <c r="Y39"/>
  <c r="AA39" s="1"/>
  <c r="AL38"/>
  <c r="AI38"/>
  <c r="AM38" s="1"/>
  <c r="AD38"/>
  <c r="AB38"/>
  <c r="AL37"/>
  <c r="AI37"/>
  <c r="AM37" s="1"/>
  <c r="AD37"/>
  <c r="AB37"/>
  <c r="AO35"/>
  <c r="AM35"/>
  <c r="AL35"/>
  <c r="AD35"/>
  <c r="AB35"/>
  <c r="U35"/>
  <c r="AM34"/>
  <c r="AL34"/>
  <c r="AG34"/>
  <c r="AO34" s="1"/>
  <c r="Y34"/>
  <c r="AA34" s="1"/>
  <c r="AO33"/>
  <c r="AL33"/>
  <c r="AF33"/>
  <c r="AM33" s="1"/>
  <c r="AO32"/>
  <c r="AM32"/>
  <c r="AL32"/>
  <c r="AG32"/>
  <c r="Y32"/>
  <c r="AA32" s="1"/>
  <c r="AL31"/>
  <c r="AE31"/>
  <c r="AM31" s="1"/>
  <c r="AO30"/>
  <c r="AM30"/>
  <c r="AL30"/>
  <c r="AG30"/>
  <c r="Y30"/>
  <c r="AA30" s="1"/>
  <c r="AL29"/>
  <c r="AI29"/>
  <c r="AM29" s="1"/>
  <c r="AD29"/>
  <c r="AB29"/>
  <c r="AL28"/>
  <c r="AM28" s="1"/>
  <c r="AC28"/>
  <c r="AA28"/>
  <c r="AM27"/>
  <c r="AL27"/>
  <c r="AG27"/>
  <c r="AC27"/>
  <c r="AA27"/>
  <c r="AO26"/>
  <c r="AL26"/>
  <c r="AM26" s="1"/>
  <c r="AL25"/>
  <c r="AG25"/>
  <c r="AM25" s="1"/>
  <c r="AN24"/>
  <c r="AL24"/>
  <c r="AG24"/>
  <c r="AM24" s="1"/>
  <c r="AC24"/>
  <c r="AA24"/>
  <c r="AN23"/>
  <c r="AL23"/>
  <c r="AI23"/>
  <c r="AM23" s="1"/>
  <c r="AD23"/>
  <c r="AB23"/>
  <c r="AN22"/>
  <c r="AM22"/>
  <c r="AL22"/>
  <c r="AG22"/>
  <c r="AO22" s="1"/>
  <c r="AD22"/>
  <c r="AC22"/>
  <c r="AB22"/>
  <c r="AA22"/>
  <c r="AM21"/>
  <c r="AL21"/>
  <c r="AJ21"/>
  <c r="AO21" s="1"/>
  <c r="AC21"/>
  <c r="AA21"/>
  <c r="AO20"/>
  <c r="AL20"/>
  <c r="AM20" s="1"/>
  <c r="AG20"/>
  <c r="AM19"/>
  <c r="AL19"/>
  <c r="AD19"/>
  <c r="AB19"/>
  <c r="AN18"/>
  <c r="AL18"/>
  <c r="AI18"/>
  <c r="AM18" s="1"/>
  <c r="AD18"/>
  <c r="AB18"/>
  <c r="AO17"/>
  <c r="AM17"/>
  <c r="AL17"/>
  <c r="AD17"/>
  <c r="AB17"/>
  <c r="AL15"/>
  <c r="AE15"/>
  <c r="AM15" s="1"/>
  <c r="Y15"/>
  <c r="AC15" s="1"/>
  <c r="T15"/>
  <c r="AO14"/>
  <c r="AM14"/>
  <c r="AL14"/>
  <c r="AD14"/>
  <c r="AB14"/>
  <c r="AG13"/>
  <c r="AM13" s="1"/>
  <c r="AA13"/>
  <c r="Y13"/>
  <c r="AC13" s="1"/>
  <c r="AO12"/>
  <c r="AL12"/>
  <c r="AH12"/>
  <c r="AM12" s="1"/>
  <c r="AN11"/>
  <c r="AL11"/>
  <c r="AI11"/>
  <c r="AM11" s="1"/>
  <c r="Z11"/>
  <c r="AB11" s="1"/>
  <c r="AL10"/>
  <c r="AJ10"/>
  <c r="AI10"/>
  <c r="AE10"/>
  <c r="AD10"/>
  <c r="AC10"/>
  <c r="AB10"/>
  <c r="AA10"/>
  <c r="AL9"/>
  <c r="AI9"/>
  <c r="AM9" s="1"/>
  <c r="AD9"/>
  <c r="AB9"/>
  <c r="AL8"/>
  <c r="AG8"/>
  <c r="AM8" s="1"/>
  <c r="AC8"/>
  <c r="AA8"/>
  <c r="AO7"/>
  <c r="AM7"/>
  <c r="AL7"/>
  <c r="AN6"/>
  <c r="AL6"/>
  <c r="AI6"/>
  <c r="AM6" s="1"/>
  <c r="AB6"/>
  <c r="AL5"/>
  <c r="AH5"/>
  <c r="AM5" s="1"/>
  <c r="AO4"/>
  <c r="AL4"/>
  <c r="AE4"/>
  <c r="AM4" s="1"/>
  <c r="AA4"/>
  <c r="Y4"/>
  <c r="AC4" s="1"/>
  <c r="T4"/>
  <c r="AN3"/>
  <c r="AL3"/>
  <c r="AE3"/>
  <c r="AM3" s="1"/>
  <c r="AM2"/>
  <c r="AL2"/>
  <c r="AH2"/>
  <c r="AF2"/>
  <c r="AM10" l="1"/>
  <c r="AO74"/>
  <c r="AO187"/>
  <c r="AO227"/>
  <c r="AO236"/>
  <c r="AC260"/>
  <c r="AO49"/>
  <c r="AO109"/>
  <c r="AO189"/>
  <c r="AA15"/>
  <c r="AO280"/>
  <c r="AO63"/>
  <c r="AD105"/>
  <c r="AM70"/>
  <c r="AM229"/>
  <c r="AC70"/>
  <c r="AM117"/>
  <c r="AO276"/>
  <c r="AO288"/>
  <c r="AM300"/>
  <c r="AM293"/>
  <c r="AM307"/>
  <c r="AO10"/>
  <c r="AM79"/>
  <c r="AA140"/>
  <c r="AM171"/>
  <c r="AM176"/>
  <c r="AM217"/>
  <c r="AL280"/>
  <c r="AC283"/>
  <c r="AD172"/>
  <c r="AM174"/>
  <c r="AD11"/>
  <c r="AO121"/>
  <c r="AC155"/>
  <c r="AD202"/>
  <c r="AD285"/>
  <c r="AO23"/>
  <c r="AO245"/>
  <c r="AM292"/>
  <c r="AO6"/>
  <c r="AO191"/>
  <c r="AO207"/>
  <c r="AO219"/>
  <c r="AO241"/>
  <c r="AO44"/>
  <c r="AO84"/>
  <c r="AO119"/>
  <c r="AC141"/>
  <c r="AO221"/>
  <c r="AO251"/>
  <c r="AO284"/>
  <c r="AM308"/>
  <c r="AO25"/>
  <c r="AC41"/>
  <c r="AC58"/>
  <c r="AO66"/>
  <c r="AM129"/>
  <c r="AO143"/>
  <c r="AO214"/>
  <c r="AA300"/>
  <c r="AO8"/>
  <c r="AO37"/>
  <c r="AO46"/>
  <c r="AO86"/>
  <c r="AO94"/>
  <c r="AD103"/>
  <c r="AC148"/>
  <c r="AC180"/>
  <c r="AD223"/>
  <c r="AO305"/>
  <c r="AM52"/>
  <c r="AC169"/>
  <c r="AC171"/>
  <c r="AO263"/>
  <c r="AO291"/>
  <c r="AC308"/>
  <c r="AC72"/>
  <c r="AM127"/>
  <c r="AA151"/>
  <c r="AM156"/>
  <c r="AM68"/>
  <c r="AO68"/>
  <c r="AM239"/>
  <c r="AO239"/>
  <c r="AM274"/>
  <c r="AO274"/>
  <c r="AG232"/>
  <c r="AM232" s="1"/>
  <c r="AO11"/>
  <c r="AC30"/>
  <c r="AD44"/>
  <c r="AD117"/>
  <c r="AO186"/>
  <c r="AC232"/>
  <c r="AO248"/>
  <c r="AO278"/>
  <c r="AD295"/>
  <c r="AO24"/>
  <c r="AO41"/>
  <c r="AO103"/>
  <c r="AC117"/>
  <c r="AO126"/>
  <c r="AO141"/>
  <c r="AO149"/>
  <c r="AO181"/>
  <c r="AO208"/>
  <c r="AO212"/>
  <c r="AO228"/>
  <c r="AO271"/>
  <c r="AO273"/>
  <c r="AD275"/>
  <c r="AO13"/>
  <c r="AO18"/>
  <c r="AC32"/>
  <c r="AC39"/>
  <c r="AO45"/>
  <c r="AM53"/>
  <c r="AO57"/>
  <c r="AC68"/>
  <c r="AO85"/>
  <c r="AO87"/>
  <c r="AO115"/>
  <c r="AO135"/>
  <c r="AO154"/>
  <c r="AO158"/>
  <c r="AO173"/>
  <c r="AO190"/>
  <c r="AO226"/>
  <c r="AO238"/>
  <c r="AO5"/>
  <c r="AO29"/>
  <c r="AC34"/>
  <c r="AO43"/>
  <c r="AC63"/>
  <c r="AO69"/>
  <c r="AO110"/>
  <c r="AO168"/>
  <c r="AO179"/>
  <c r="AO210"/>
  <c r="AC235"/>
  <c r="AC240"/>
  <c r="AO250"/>
  <c r="AC288"/>
  <c r="AD291"/>
  <c r="AO292"/>
  <c r="AO75"/>
  <c r="AO93"/>
  <c r="AM108"/>
  <c r="AM122"/>
  <c r="AC156"/>
  <c r="AC166"/>
  <c r="AC184"/>
  <c r="AC201"/>
  <c r="AC233"/>
  <c r="AC252"/>
  <c r="AD276"/>
  <c r="AD278"/>
  <c r="AC282"/>
  <c r="AC301"/>
  <c r="AO38"/>
  <c r="AO64"/>
  <c r="AO67"/>
  <c r="AO77"/>
  <c r="AO145"/>
  <c r="AC268"/>
  <c r="AO283"/>
  <c r="AO9"/>
  <c r="AM93"/>
  <c r="AO95"/>
  <c r="AO105"/>
  <c r="AC113"/>
  <c r="AC115"/>
  <c r="AO123"/>
  <c r="AO130"/>
  <c r="AO148"/>
  <c r="AC173"/>
  <c r="AO202"/>
  <c r="AO213"/>
  <c r="AO223"/>
  <c r="AO244"/>
  <c r="AM262"/>
  <c r="AO279"/>
  <c r="AC289"/>
  <c r="AO290"/>
  <c r="AC307"/>
  <c r="AO2"/>
  <c r="AC43"/>
  <c r="AO58"/>
  <c r="AM62"/>
  <c r="AC100"/>
  <c r="AO107"/>
  <c r="AO116"/>
  <c r="AD135"/>
  <c r="AC147"/>
  <c r="AO155"/>
  <c r="AO161"/>
  <c r="AO182"/>
  <c r="AO197"/>
  <c r="AC210"/>
  <c r="AO234"/>
  <c r="AD250"/>
  <c r="AO232" l="1"/>
</calcChain>
</file>

<file path=xl/sharedStrings.xml><?xml version="1.0" encoding="utf-8"?>
<sst xmlns="http://schemas.openxmlformats.org/spreadsheetml/2006/main" count="2834" uniqueCount="1406">
  <si>
    <t>LEGAJO</t>
  </si>
  <si>
    <t>EXPEDIENTE</t>
  </si>
  <si>
    <t>INGRESO</t>
  </si>
  <si>
    <t>Plano de Mensura</t>
  </si>
  <si>
    <t>Partida Provincial</t>
  </si>
  <si>
    <t>Partida Municipal</t>
  </si>
  <si>
    <t>Concesión</t>
  </si>
  <si>
    <t>Ex-Quinta</t>
  </si>
  <si>
    <t>Manzana</t>
  </si>
  <si>
    <t>Parcela</t>
  </si>
  <si>
    <t>Zonificación</t>
  </si>
  <si>
    <t>Ubicación</t>
  </si>
  <si>
    <t>Propietario</t>
  </si>
  <si>
    <t>Nombre del Establecimiento y/o empresa</t>
  </si>
  <si>
    <t>Proyecto</t>
  </si>
  <si>
    <t>Dirección de obra</t>
  </si>
  <si>
    <t>Estructura</t>
  </si>
  <si>
    <t>Constructor</t>
  </si>
  <si>
    <t>RELEVAMIENTO o existente</t>
  </si>
  <si>
    <t>A CONTRUIR / OBRA NUEVA</t>
  </si>
  <si>
    <t>AMPLIACION de obra existente</t>
  </si>
  <si>
    <t>PROYECTADO (no iniciado)</t>
  </si>
  <si>
    <t>Terreno</t>
  </si>
  <si>
    <t>F. O. S.</t>
  </si>
  <si>
    <t>F. O. T.</t>
  </si>
  <si>
    <t>CATEGORIA</t>
  </si>
  <si>
    <t>Monto de la Inversión (estimado y/o declarado)</t>
  </si>
  <si>
    <t>Derechos de edificación</t>
  </si>
  <si>
    <t>Observaciones</t>
  </si>
  <si>
    <t>AVANCE DE OBRA</t>
  </si>
  <si>
    <t>Local</t>
  </si>
  <si>
    <t>Centro</t>
  </si>
  <si>
    <t>Avda. Urquiza Nº 321</t>
  </si>
  <si>
    <t>MOHR Eugenio Eduardo</t>
  </si>
  <si>
    <t>ZARAGOZA Victor Andres</t>
  </si>
  <si>
    <t>Local Comercial</t>
  </si>
  <si>
    <t>ING. CIVIL</t>
  </si>
  <si>
    <t>relevamiento de modificaciones realizadas en local comercial, BAJO ORD 27/10, art 1, punto 2, kinc 2, Infraccion art 5, 27, 37, 179, 223, 232, 233 del CE</t>
  </si>
  <si>
    <t>Urbana 1</t>
  </si>
  <si>
    <t>Mitre N° 972</t>
  </si>
  <si>
    <t>CORONEL Hector Miguel</t>
  </si>
  <si>
    <t>MORARD Manuel A</t>
  </si>
  <si>
    <t xml:space="preserve">Quincho </t>
  </si>
  <si>
    <t>ING. CONSTR</t>
  </si>
  <si>
    <t>relevamiento de quincho ejecutado como ampliación de la vivienda existente con planos, Vivienda unifamiliar con dos dormitorios, baño, cocina comedor estar, lavadero semicubierto, cochera semicubierta, el quincho tiene un baño declarado, BAJO ORD 27/10, art 1, punto 2, inc 2, Infraccion art 5, 27, 37, 151, 179, 181, 182, 202, 214 del CE</t>
  </si>
  <si>
    <t>mail, 538477</t>
  </si>
  <si>
    <t>Urbana</t>
  </si>
  <si>
    <t>Avda. Paysandu Nº 1098 y Conte Grand N° 441</t>
  </si>
  <si>
    <t>GUIFFREY Sergio Danilo</t>
  </si>
  <si>
    <t>SOLIS Carlos Gustavo</t>
  </si>
  <si>
    <t>Vivienda unifamiliar + Galpon</t>
  </si>
  <si>
    <t>M.M.O.</t>
  </si>
  <si>
    <t>dos viviendas unifamiliar existentes, cada una con un dormitorio, baño, cocina comedor, una de ellas con semicubierto para cochera, galpòn depòsito a construir en la esquina, BAJO ORD 27/10, art 1, punto 2, in2, Infraccion art 5, 27, 37, 181, 182, 202, del CE, Infraccion Ord 53/07</t>
  </si>
  <si>
    <t>URBANA 2</t>
  </si>
  <si>
    <t>Frondizi N° 269</t>
  </si>
  <si>
    <t>IUBATTI Dario Gabriel</t>
  </si>
  <si>
    <t>MARIN Jorge Fabricio</t>
  </si>
  <si>
    <t>GALPON / DEPOSITO</t>
  </si>
  <si>
    <t>relevamiento de galpòn / depòsito, BAJO ORD 27/10, art 1, punto 2, inc 2, Infraccion Ord 56/07, art 3, inc II, sub inc 1, Infraccion art 5, 27, 37, 144, 151, 176, 178, 179, 181, 182, 200, 202, 223, 227, 232, 233, 262, 264 del CE</t>
  </si>
  <si>
    <t>inspecciòn 29/10/21</t>
  </si>
  <si>
    <t>Residencial Norte</t>
  </si>
  <si>
    <t>Alberdi N° 231</t>
  </si>
  <si>
    <t>BOGADO Rosana Beatríz</t>
  </si>
  <si>
    <t>PENON Luciano Daniel</t>
  </si>
  <si>
    <t>RAMOS Omar Ricardo</t>
  </si>
  <si>
    <t>Vivienda unifamiliar</t>
  </si>
  <si>
    <t>Vivienda unifamiliar a construir, un dormitorio en suite con baño compartimentado con jacuzzi y vestidor, lavadero cubierto, baño completo, quincho cubierto con parrilla, horno de pan, cocina desayunador comedor estar, escritorio con baño completo, cochera cubierta para dos vehiculos, SUM con baño completo en PA</t>
  </si>
  <si>
    <t>inspecciòn 22/12/21</t>
  </si>
  <si>
    <t>Sourigues Nº 38</t>
  </si>
  <si>
    <t>BLANCO Martin Edgardo</t>
  </si>
  <si>
    <t xml:space="preserve">CRETTON Manuel </t>
  </si>
  <si>
    <t>ARQ.</t>
  </si>
  <si>
    <t>relevamiento de local comericla, Farmacia Blanco, salòn de exposiciòn y venta, depòsito, baño, BAJO ORD 27/10, art 1, punto 2, inc 2 y 3, Infraccion Ord 62/13, art 19, Ord 29/10, art 1, Ord 37/03, art 1, Infraccion art 5, 27, 37, 179, 232 del CE</t>
  </si>
  <si>
    <t>inspecciòn 16/12/21</t>
  </si>
  <si>
    <t>Urbana 2</t>
  </si>
  <si>
    <t xml:space="preserve">M. M. Lima Nº </t>
  </si>
  <si>
    <t>FOLLONIER Rolando</t>
  </si>
  <si>
    <t>Vivienda multifamiliar</t>
  </si>
  <si>
    <t>vivienda unifamiliar, dos dormitorios, baño completo, cocina comedor estar, acceso semicubierto, cochera cubierta, lavadero y depósito cubiertos, BAJO ORD 27/10, art 1, punto 2, inc 2, Infraccion art 5, 27, 37, 144, 146, 151, 179, 247 del CE</t>
  </si>
  <si>
    <t>inspección 11/06/21</t>
  </si>
  <si>
    <t>Faustino Dominchin s/N°</t>
  </si>
  <si>
    <t>CHEVALLET Carlos Alberto</t>
  </si>
  <si>
    <t>n</t>
  </si>
  <si>
    <t>SORDI CONSTRUCCIONES</t>
  </si>
  <si>
    <t>Galpón depósito - Vivienda unifamiliar</t>
  </si>
  <si>
    <t>galpón depósito existente, vivienda unifamiliar a construir, cuatro dormitorios, una en PB, cocina comedor, estar, hall de acceso, baño, en PA, tres dormitorios, uno con vestidor, otro en suite con baño y vestidor, baño, terraza</t>
  </si>
  <si>
    <t>inspección 22/06/21, vivienda no comenzada</t>
  </si>
  <si>
    <t>mail, 539065</t>
  </si>
  <si>
    <t>Residencial Sur</t>
  </si>
  <si>
    <t>Esteva Berga Nº 526</t>
  </si>
  <si>
    <t>FERNANDEZ Patricia Haydee</t>
  </si>
  <si>
    <t>PALACIOS Silvina</t>
  </si>
  <si>
    <t>SCHAB Juan P.</t>
  </si>
  <si>
    <t>Vivienda unifamiliar + Consultorio</t>
  </si>
  <si>
    <t>vivienda unifamiliar existente construida la fondo del lote, dos dormitorios y un baño en PA, cocina comedor y toilete en PB, cochera semicubierta, a cosnruir al frente del lote, Consultorio en PB y vivienda de un dormitorio, baño y cocina comedor en PA, BAJO ORD 27/10, art 1, punto 1, inc 9, Infracciòn 5, 27, 37, 178, 179, 247 del CE, Infracciòn Ord 56/07, art 3, II, 1-</t>
  </si>
  <si>
    <t>13/01/22, En mamposterìa hasta altura de encadenado PB</t>
  </si>
  <si>
    <t>Ampliación Turística Norte</t>
  </si>
  <si>
    <t>Madres y Abuelas de Plaza de Mayo s/N°</t>
  </si>
  <si>
    <t>FRANCO Christian Andrés</t>
  </si>
  <si>
    <t>GUTIERREZ Fernando Marcelo</t>
  </si>
  <si>
    <t>no identificado</t>
  </si>
  <si>
    <t>cuatro unidades de vivienda de alquiler a construir y una vivienda unifamilair, más piscina y depósito pequeño con toilette, Vivienda: dos dormitorios, baño, estar comedor cocina, quincho semicubierto adosado, acceso semicubierto, bungalos, hay de dos dormitorios (3) y uno de un domrmitorio, baño, cocina comedor, acceso semicubierto, cocheras descubiertas, RESOLUCION E03/2018 y Disposicion 01/2019 del MIOPyV</t>
  </si>
  <si>
    <t>4/1/22, lote baldío</t>
  </si>
  <si>
    <t>Alberdi N° 779</t>
  </si>
  <si>
    <t>DE CESARE Hugo Ricardo (poseedor)</t>
  </si>
  <si>
    <t>Galpón / depósito</t>
  </si>
  <si>
    <t>relevamiento de galpón, depósito, BAJO ORD 27/10, art 1, punto 2, inc 2, Infracción art 5, 27, 37, 144, 151, 176, 179, 181, 182, 202, 232 del CE</t>
  </si>
  <si>
    <t>URBANA 1</t>
  </si>
  <si>
    <t>Araujo Penòn N° 220</t>
  </si>
  <si>
    <t>MAQUIAVELO Nicolas Emanuel</t>
  </si>
  <si>
    <t>relevamiento de tres unidades de vivienda, de dos dormitorios, baño, cocina comedor cada una, espacio semicubierto para dos vehiculos al frente, BAJO Ord 27/10, art 1, punto 2, inc 2 y 3, Infraccion art 5, 27, 37, 144, 151, 202, 223, 232, 233 del CE. Infracción Ord 62/13, art 24</t>
  </si>
  <si>
    <t>inspecciòn 22/10/21</t>
  </si>
  <si>
    <t>QUINTAS</t>
  </si>
  <si>
    <t>Callixta Benegas esq Avda Juan Antonio Fernandez</t>
  </si>
  <si>
    <t>MORELLI Giuliana Elizabeth Raquel</t>
  </si>
  <si>
    <t>PACCOT Javier Humberto y BLANC Maximiliano G</t>
  </si>
  <si>
    <t>vivienda unifamiliar a construir, un dormitorio, baño, cocina comedor estar, PRO.CRE.AR.</t>
  </si>
  <si>
    <t>mail, 539253</t>
  </si>
  <si>
    <t>J. G. Artigas N° 128</t>
  </si>
  <si>
    <t>BEBER María Florencia</t>
  </si>
  <si>
    <t>NOLASCO Joaquina</t>
  </si>
  <si>
    <t>relevamiento de tres unidades de vivienda más un local comercial (actualemten gimnasion de Yoga), Vivienda ppal de dos dormitorios, baño, cocina comedor estar, lavadero cubierto, acceso semicubierto sin cocheras identificadas, vivienda monoambiente dormitorio y baño separados al fondo, vivienda monoambiente en un lateral, con acceso semicubierto con parrilla, Local con sanitario, BAJO ORD 27/10, art 1, punto 2, inc 2, Infracción Ord 56/07, art 3, inc 1, Ord 53/07, CE Art 5, 27, 37, 178, 179</t>
  </si>
  <si>
    <t>inspección 21/1/22</t>
  </si>
  <si>
    <t>San Martín Esq Sourigues N° 64</t>
  </si>
  <si>
    <t>GIMENEZ María Ana</t>
  </si>
  <si>
    <t xml:space="preserve">NOLASCO Joaquina </t>
  </si>
  <si>
    <t>antigua construcción sin ochava, en la actualidad parcialmente demolida, se demolerá lo restante y se ejecutará muro sobre línea municipal para cerrar el terreno, nada más, BAJO ORD 27/10, art 1, punto 2, inc 2, Punto 1, inc 9, Infracción art 5, 27, 37 del CE</t>
  </si>
  <si>
    <t>iniciada, inspección 19/01/22</t>
  </si>
  <si>
    <t>mail, 539198</t>
  </si>
  <si>
    <t>Núcleo Urbano Ampliado</t>
  </si>
  <si>
    <t>Calle Pública s/Nº</t>
  </si>
  <si>
    <t>MOREL CHEVILLET Sebastian Alcides</t>
  </si>
  <si>
    <t>ACUÑA Raúl Enrique</t>
  </si>
  <si>
    <t>vivienda unifamiliar aconstruir, PRO.CRE.A.R., un dormitorio, cocina comedor estar, baño, espacio cochera descubierto, BAJO ORD 27/10, art 1, punto 1, inc 9, Infraccion art 5, 27, 37 del CE</t>
  </si>
  <si>
    <t>inspección 20/01/22, iniciada, altura de encadenado superior PB</t>
  </si>
  <si>
    <t>Noailles N° 1369</t>
  </si>
  <si>
    <t>FARIAS Monica Raquel, GALVALISI Federico Anibal y GALVALISI Debora Melisa</t>
  </si>
  <si>
    <t>SERRANO María Laura y VIOLLAZ Carolina M. E.</t>
  </si>
  <si>
    <t>LESCANO Carlos</t>
  </si>
  <si>
    <t>vivienda unifamiliar a construir, PRO.CRE.AR., al momento de la presentación se encuentra a la altura de encadenado superior, dos dormitorios, baño, cocina desayunador comedor estar, cochera descubierta, acceso semicubierto, lavadero exterior, existe construccion precaria semicubierta que se separa con un muro, el lote original lo divide en dos pero sólo con muro, no con "papeles", BAJO ORD 27/10, art 1, punto 1, inc 9, Punto 2, inc 2, INFRACCION Ord 27/10, art 1, punto 2, inc 2, Infracción art 5, 27, 37, 144, 151, 178, del CE</t>
  </si>
  <si>
    <t>19/1/22, en etapa de encadenados, construccion precaria existente</t>
  </si>
  <si>
    <t>Cabo Pereyra N° 324</t>
  </si>
  <si>
    <t>MALDONADO Pedro Eugenio</t>
  </si>
  <si>
    <t>BENITEZ Enrique</t>
  </si>
  <si>
    <t>vivienda unifamiliar en terminacion, un dormitorio, cocina comedor, baño, sin cochera, En terminación, BAJO ORD 27/10, art 1, punto 1 inc 9, art 1, punto 2, inc 2, Infraccion art 5, 27, 37, 178, 201, 202 del CE</t>
  </si>
  <si>
    <t>04/010/22, en revoques</t>
  </si>
  <si>
    <t>AMPLIACION</t>
  </si>
  <si>
    <t>Bvard Güemes N° 10</t>
  </si>
  <si>
    <t>MARTINEZ Daniel Alejandro</t>
  </si>
  <si>
    <t>PERNO Rubén Alberto</t>
  </si>
  <si>
    <t>LOPEZ Jorge</t>
  </si>
  <si>
    <t>Vivienda unifamiliar + Local comercial</t>
  </si>
  <si>
    <t>Local comercial a construir, depòsito en PA, pisa sobre ambos lotes, a demoler vivienda de 100,10 m2</t>
  </si>
  <si>
    <t>en viga de encadenado superior, mamposteria, Inspecciòn 03/01/22</t>
  </si>
  <si>
    <t>Mitre N° 542</t>
  </si>
  <si>
    <t>Vivienda unifamiliar existente declarada, tres dormitorios, baño, lavadero cubierto, terraza, estar comedor con balcon al frente, dormitorio en suite en ultimo piso, con baño compartimentado, en PB quincho y toilete, semicubierto con parrilla</t>
  </si>
  <si>
    <t>mail, 539234</t>
  </si>
  <si>
    <t xml:space="preserve">URBANA </t>
  </si>
  <si>
    <t>Padre Duce N° 84</t>
  </si>
  <si>
    <t>MIGUEL Ricardo</t>
  </si>
  <si>
    <t>SALDAÑA Guadalupe y DA SILVA Brian</t>
  </si>
  <si>
    <t>RUIZ DIAZ Marcelo Javier</t>
  </si>
  <si>
    <t>vivienda unifamiliar existente en PB, de tres dormitorios, baño, estar, cocina comedor, lavadero, semicubierto quincho con parrilla, pegada una vivienda a ampliar en pa, en PB baño, cocina comedor estar, en pa dos dormitorios, BAJO ORD 27/10, art 1, punto 2, inc 2 y 3, Infracción ORd 62/13, art 24, Infraccion Ord 56/07, art 3, inc 1, art 5, 27, 37, 144, 151, 176, 179, 202, 223, 232, 233 del CE</t>
  </si>
  <si>
    <t>inspección 25/01/22, ACTA 336</t>
  </si>
  <si>
    <t>Algarrobo s/N° entre Avda. Paysadnú y Los Ceibos</t>
  </si>
  <si>
    <t>ARGUET Mauro</t>
  </si>
  <si>
    <t>LEMA Carolina Isabel</t>
  </si>
  <si>
    <t>MALAGRIDA Gastón Ezequiel</t>
  </si>
  <si>
    <t>vivienda unifamiliar a construir, un dormitorio, cocina comedor estar, baño, cochera semicubierta con parrilla y galería semicubierta</t>
  </si>
  <si>
    <t>movimiento de suelos, inspección 09/12/21</t>
  </si>
  <si>
    <t>Timbo s/N°</t>
  </si>
  <si>
    <t>ERRAMUSPE Rosa Amelia</t>
  </si>
  <si>
    <t>Vivienda unifamiliar + Depósito</t>
  </si>
  <si>
    <t>relevamiento de vivienda unifamiliar y galpón, vivienda de tres dormitorios, baño completo, cocina comedor, estar, entrepiso sobre cocina, galería semicubierta con parrilla y espacio para un vehículo, baño, lavadero cubierto, BAJO ORD 27/10, art 1, punto 2, inc 2 y 3, Infraccion art 5, 27, 37, 144 151, 214 del CE</t>
  </si>
  <si>
    <t>inspección, 31/01/22</t>
  </si>
  <si>
    <t>Lavalle N° 318</t>
  </si>
  <si>
    <t>PITER Raúl Darío</t>
  </si>
  <si>
    <t>JACQUET Ariel N.</t>
  </si>
  <si>
    <t>ZABATTO I</t>
  </si>
  <si>
    <t>Vivienda unifamiliar + Galpón</t>
  </si>
  <si>
    <t>relevamiento de vivienda unifamiliar y galpón, vivienda de un dormitorio, cocina comedor, estar, galería semicubierta, baño, lavadero cubierto, BAJO ORD 27/10, art 1, punto 2, inc 2 y 3, Infraccion art 5, 27, 37, 146, 151, 178, 179, 202, 230 del CE, Infraccion Ord 56/07, art 2, sub inc 1, Infraccion Ord 62/13, art 12</t>
  </si>
  <si>
    <t>galpon en revoques y terminaciones, 09/12/21</t>
  </si>
  <si>
    <t>Calle Pública s/N° (prolongación Calle Alberdi)</t>
  </si>
  <si>
    <t>ZILIANI Silvia Marcela</t>
  </si>
  <si>
    <t>FERREYRA Sergio Enrique</t>
  </si>
  <si>
    <t>HUERTA Construcciones</t>
  </si>
  <si>
    <t>Local comercial</t>
  </si>
  <si>
    <t>local comercial a construir, con depósito, lugar de baño y estética y atención al publico, para mascotas, Bajo Ord 27/10, art 1, punto 2, inc 2, Infracción art 5, 27, 37, 179 del CE</t>
  </si>
  <si>
    <t>9/10/20, lote baldío</t>
  </si>
  <si>
    <t>M. Lima N° 851 esq Bvard Sanguinetti N°</t>
  </si>
  <si>
    <t>ROMERO Vanesa Alejandra</t>
  </si>
  <si>
    <t>ROSSIER Betiana Carolina</t>
  </si>
  <si>
    <t>Vivienda multifmiliar</t>
  </si>
  <si>
    <t>cuatro unidades de vivienda de alquiler , cada una con un dormitorios, baño, estar comedor cocina, cocheras descubiertas dos, BAJO ORD 27/10, art 1, punto 1, inc 9, Infraccion art 5, 27, 37, 176, 178, 179, 202, 227 del CE, Infraccion Ord 56/07, art 3, inc 1, Infraccion Ord 53/07 - BAJO ORD 58/21</t>
  </si>
  <si>
    <t>inspecciòn 5/11/21</t>
  </si>
  <si>
    <t>Bvard Sanguinetti N° 512</t>
  </si>
  <si>
    <t>vivienda unifamiliar relevada, un dormitorio, baño, cocina comedor estar, BAJO Ord 27/10, art 1, punto 2, inc 2, Infraccion art 5, 27, 37, 179, 202, 232, 247 del CE, BAJO ORD 58/21</t>
  </si>
  <si>
    <t>inspecciòn 10/11/21</t>
  </si>
  <si>
    <t>Ampliacion de Actividad Turística Sur</t>
  </si>
  <si>
    <t>Los Jacarandaes s/N° - Los Bretes</t>
  </si>
  <si>
    <t>CANTO Claudio Daniel y REYES Marta Noemí</t>
  </si>
  <si>
    <t>VALLARINO Guillermo Daniel</t>
  </si>
  <si>
    <t>vivirenda unifamiliar a construir, tres dormitorios, uno en suite con baño privado, baño completo, estar comedor, cocina desayunador, galería semicubierta con parrilla, lavadero y dep, cochera semicubierta para dos vehículos, pérgola al frente, piscina</t>
  </si>
  <si>
    <t>baldío</t>
  </si>
  <si>
    <t>mail, 539412</t>
  </si>
  <si>
    <t>Urbana 1 / Residencial Sur</t>
  </si>
  <si>
    <t>Leguizamón N° 254 Esq Tucumán</t>
  </si>
  <si>
    <t>MUGICA Falvia Martha</t>
  </si>
  <si>
    <t>relevamiento de vivienda multifamiliar, un depto con cocicna comedor y baño en PBy cochera cubierta, en PA dormitorio, vivienda antigua de cuatro dormitorios pequeños, cocina, estar, estudio, escritorio, baño con ducha, mbaño compartimentado, depósito, lavadero semicubierto en galeria con parrilla, BAJO ORD 27/10, art 1, punto 2, inc 2 y 3, Infraccion Ord 62/13, art 16, Infraccion art 5, 27, 37, 176,  227, 247 del CE</t>
  </si>
  <si>
    <t>inspección 2/2/22</t>
  </si>
  <si>
    <t>mail, 538773</t>
  </si>
  <si>
    <t>Prioridad Turística</t>
  </si>
  <si>
    <t>Alejo Peyret Nº 546 y Combatientes de Malvinas</t>
  </si>
  <si>
    <t>CASTAÑOL Claudio Raúl</t>
  </si>
  <si>
    <t>relevamiento de departamentos 6 unidades, de un dormitorio cada una menos una que tiene dos, un local comercial en PB con cocina y dos toiletes, BAJO ORD 27/10, art 1, punto 2, inc 1, 2 y 3, Infraccion Ord 62/13, art 15, Ord 56/07, art 3, inc II, sub inc 1, Ord 53/07, Ord 62/21 y dec 573/21, Infraccion art 5, 27, 37, 129, 130, 146, 149, 150, 151, 178, 179, 181, 182, 223, 226, 227, 230, 232, 233 del CE</t>
  </si>
  <si>
    <t>MAIL, 539466</t>
  </si>
  <si>
    <t>Bvard Gaillard esq F. Dominchin</t>
  </si>
  <si>
    <t>GUIDI Matías Nahuel y MARTINEZ Florencia Daniela</t>
  </si>
  <si>
    <t>PONCE Cecilia Leonor</t>
  </si>
  <si>
    <t>relevamiento de dos unidades de vivienda, una de tres dormitorios, baño, cocina comedor estar, cochera, otra de alquiler con un solo dormitorio, baño, cochera descubierta, BAJO ORD 27/10, art 1, punto 2, inc 2 y 3, Infraccion Ord 62/13, art 26, Ord 56/07, art 3, inc II, sub inc 1, Ord 53/07, Infracccion art 5, 27, 37, 179 de CE</t>
  </si>
  <si>
    <t>Avda. Pte. Perón N° 52 esq San Martín</t>
  </si>
  <si>
    <t>PINGET María Isabel</t>
  </si>
  <si>
    <t>GRANE Carolina</t>
  </si>
  <si>
    <t>reforma de local comercial existente, de tres pasa a ser un úinico local que se destinará a Farmacia, se construyen sanitario nuevo (toilete) y una zona de laboratorio y en PA se ejecuta un depósito con una oficina hacia la calle, BAJO ORD 27/10, art 1, punto 2, inc 2, Infraccion art 179, 223, 230, 232, 233 del CE</t>
  </si>
  <si>
    <t>22/12/21, no comenzada</t>
  </si>
  <si>
    <t>Hornero s/N°</t>
  </si>
  <si>
    <t>DOME Rosa Clara</t>
  </si>
  <si>
    <t>Malgor Juan José</t>
  </si>
  <si>
    <t>relevamiento de vivienda unifamiliar antigua de 3 dormitorios, baño completo con bachas separadas, baño completo, estar comedor, cocina, bodega cocina en subsuelo, otra vivienda de dos dormitorios, cocina, comedor estar, baño, acceso semicubierto, vivienda unifamiliar de dos dormitorios, baño, cocina comedor estar, galeria semicubierta con lavadero y parrilla, acceso semicubierto, otra vivienda unifamiliar de un dormitorio, baño, cocina comedor, galerìa semicubierta lateral, BAJO ORD 27/10, art 1, punto 2, inc 2, Infraccion art 5, 27, 37, 176, 178, 179 del CE</t>
  </si>
  <si>
    <t>inspecciòn 02/02/22</t>
  </si>
  <si>
    <t>MAIL, 539846</t>
  </si>
  <si>
    <t>Emilio Gouchón N° 513</t>
  </si>
  <si>
    <t>CHOQUE CONDORI, Susana</t>
  </si>
  <si>
    <t>RUSSO Adriana Ester</t>
  </si>
  <si>
    <t>PERNO RENZI María José</t>
  </si>
  <si>
    <t>BASTO CRUZ Edwin</t>
  </si>
  <si>
    <t>viviendas existentes a demoler en PB (2), local comercial a construir en PB y vivienda unifamiliar en PA de tres dormitorios, uno en suite con baño y vestirod, baño compartimentado, estar cocina comedor, lavadero semicubierto, terraza</t>
  </si>
  <si>
    <t>inspección 10/2/22, no comenzada</t>
  </si>
  <si>
    <t>mail</t>
  </si>
  <si>
    <t>RELEVAMIENTO</t>
  </si>
  <si>
    <t>Nucleo Urbano Ampliado</t>
  </si>
  <si>
    <t>Calle Pública s/N°</t>
  </si>
  <si>
    <t>ARANDA Ernesto Rubén y PICALLO Lidia Cristina</t>
  </si>
  <si>
    <t>BENITEZ Lorena Alejandra</t>
  </si>
  <si>
    <t>Rocamora s/N°</t>
  </si>
  <si>
    <t>FROSSARD Carmen Ana Matilde</t>
  </si>
  <si>
    <t>MALGOR Jose Miguel</t>
  </si>
  <si>
    <t xml:space="preserve">vivienda unifamiliar a construirdos dormitorios, baño, lavadero cubierto, cocina desayunador, comedor estar, acceso semicubierto, cochera semicubierta, </t>
  </si>
  <si>
    <t>baldio, 8/02/22</t>
  </si>
  <si>
    <t>Tucumàn Nº 1190</t>
  </si>
  <si>
    <t>NAUSCHUETZ Patricia Maria Luz</t>
  </si>
  <si>
    <t>FERRUA Patricio</t>
  </si>
  <si>
    <t>vienda unifamiliar a construir, dos dormitorios, un estudio, baño compartimentado, lavadero, cocina comedor estar, hall de acceso y cochera descubierta. CONFORME A OBRA</t>
  </si>
  <si>
    <t>inspección 8/02/22</t>
  </si>
  <si>
    <t>Salsipuedes N° 191</t>
  </si>
  <si>
    <t>REQUELME  Jorge Luís y BIANCUYO BENKENDORF Jesica Andreina</t>
  </si>
  <si>
    <t>relevamiento de dos unidades de vivenda, una de alquiler con un dormitorio, mestar comedor cocina, baño, sin cochera, otra de dos dormitorios, baño, cocina comedor, pequeño semicubierto de deposito, BAJO ORD 27/10, art 1, punto 2, inc 1, 2 y 3, Infraccion ORd 62/13, art 12, infraccion ORd 53/07, Ord 56/07, art 3, Infraccion art 5, 27, 37, 130, 144, 151, 176, 178, 179, 223, 233, 240, 247 del CE</t>
  </si>
  <si>
    <t>BAJA</t>
  </si>
  <si>
    <t xml:space="preserve">mail, </t>
  </si>
  <si>
    <t>Bernardino Horne s/Nº</t>
  </si>
  <si>
    <t>SCHANTON Emiliano Federico</t>
  </si>
  <si>
    <t>ODIARD Grecia</t>
  </si>
  <si>
    <t>AMERICAN BUILDING SA</t>
  </si>
  <si>
    <t>Depósito</t>
  </si>
  <si>
    <t>galpones depósitos a construir, BAJO ORD 27/10, art 1, punto 1, inc 9; punto 2, inc 2, Infraccion art 5, 27, 37 del CE, BAJO Resolucion 53/2020</t>
  </si>
  <si>
    <t>27/01/22, en construcción</t>
  </si>
  <si>
    <t>Combatientes de Malvinas N° 269</t>
  </si>
  <si>
    <t>SILVA Delia Susana</t>
  </si>
  <si>
    <t>conforme a obra, departamentos 8  unidades, cada una de un dormitorio, baño, cocina comedor, BAJO ORD 27/10, art 1, punto 2, inc 2 y 3, Infraccion ORD 56/07, art 4, Ord 53/07, Ord 62/13, art 12, Infraccion Art 5, 27, 146, 151, 178, 179, 191, 201 del CE</t>
  </si>
  <si>
    <t>Ampliación de Actividad Turística Sur</t>
  </si>
  <si>
    <t>Calle Privada s/Nº - Los Bretes</t>
  </si>
  <si>
    <t>ORDOÑEZ de RODRIGUEZ ACHAVAL, Nelida</t>
  </si>
  <si>
    <t>relevamiento de piscina en vivienda unifamiliar ya declarada, BAJO ORD 27/10, art 1, punto 2, inc 2, Infracción art 5, 27, 37 del CE</t>
  </si>
  <si>
    <t>mail, 539992</t>
  </si>
  <si>
    <t>Combatientes de Malvinas N° 983</t>
  </si>
  <si>
    <t>MUÑOZ Lorena Alicia</t>
  </si>
  <si>
    <t>relevamiento de dos unidades de vivenda, una tipo alpina, con baño cocina y comedor en PB con pequeño semicubierto y dormitorio en entrepiso, la otra con dos dormitorios, baño, cocina comedor estar y semicubierto al frente pequeño tipo pergola y lavadero semicubierto al fondo, BAJO ORD 27/10, art 1, punto 2, inc 2, Infraccion art 5, 27, 37, 129, 144, 151 y 178 del CE</t>
  </si>
  <si>
    <t>mail, 539993</t>
  </si>
  <si>
    <t>Ampliación turística sur</t>
  </si>
  <si>
    <t>Sauce s/N° - Loteo Urugua-I</t>
  </si>
  <si>
    <t>OTERO Damian Rubén</t>
  </si>
  <si>
    <t>dos vivienda a construir, cada una con tres dormitorios, baño, cocina comedor estar, balcón en PA, cochera semicubierta quincho, toilet y pequeño deposito en PB, construccion de H°A° y vidrio</t>
  </si>
  <si>
    <t>18/2/22, baldio</t>
  </si>
  <si>
    <t>Reibel s/N°</t>
  </si>
  <si>
    <t>PAEA Natalia Elizabeth</t>
  </si>
  <si>
    <t>MARTIN Melisa Paola</t>
  </si>
  <si>
    <t>vivienda unifamiliar a construir, un dormitorios, toilete, estar, comedor cocina  cochera semicubierta, PRO.CRE.AR.</t>
  </si>
  <si>
    <t>inspección 08/02/22</t>
  </si>
  <si>
    <t>Ampliacion turistica Sur</t>
  </si>
  <si>
    <t>PERRON Eugenia y FAUSD Juan</t>
  </si>
  <si>
    <t>BOUJON Yamil N</t>
  </si>
  <si>
    <t>vivienda unifamiliar a construir,tres dormitorios, uno en suite con vestidor y baño compartimentado, baño con bacha separada, toilete, estar comedor, cocina desayunador, lavadero, oficina, hall de acceso, cochera semicubierta para dos vehìculos, galerìa semicubierta con quincho parrilla y horno, depòsito baulera</t>
  </si>
  <si>
    <t>baldio, 9/02/22</t>
  </si>
  <si>
    <t>Qzona de Quintas</t>
  </si>
  <si>
    <t>Calle Juan Carlos Pozzi s/Nª</t>
  </si>
  <si>
    <t>MIEREZ Juan Facundo y BASUALDO Lorena Natalia</t>
  </si>
  <si>
    <t>ROSSIER Betiana</t>
  </si>
  <si>
    <t>vivienda unifamiliar a construir, dos dormitorios, baño, cocina comedor estar, acceso pergolado, cochera semicubierta con parrilla</t>
  </si>
  <si>
    <t>inspección 07/02/22, lote baldío</t>
  </si>
  <si>
    <t>mail, 540381</t>
  </si>
  <si>
    <t>Prioridad Turistica Norte</t>
  </si>
  <si>
    <t>Tratado del Pilar N° 122</t>
  </si>
  <si>
    <t>DELL IMMAGINE Juan José</t>
  </si>
  <si>
    <t>Apart Hotel</t>
  </si>
  <si>
    <t>plano conforme a obra, agregó quincho al fondo, utiliza terreno lindero para cocheras, BAJO ORD 27/10, art 1, punto 2, inc 2, Infracción art 5, 27, 37 del CE</t>
  </si>
  <si>
    <t>inspección 07/03/22</t>
  </si>
  <si>
    <t>MAIL, 540158</t>
  </si>
  <si>
    <t>Madre Isabel Fernandez N° esq. Noailles N°</t>
  </si>
  <si>
    <t>SANCHEZ Matías Nicolás</t>
  </si>
  <si>
    <t>COT David Enrique</t>
  </si>
  <si>
    <t>relevamiento de vivienda unifamiliar, dos dormitorios, baño, cocina comedor, lavadero cubierto, cochera descubierta no indicada en planos</t>
  </si>
  <si>
    <t>Bvard. González N° 584</t>
  </si>
  <si>
    <t>SCELZI Nelson Dario</t>
  </si>
  <si>
    <t>vivienda unifamiliar a construir, dos dormitorios, baño, cocina comedor estar, galeria cerrada al fondo, cochera semicubierta adelante - PRO.CRE.A.R.</t>
  </si>
  <si>
    <t>19/11/21, lote baldìo</t>
  </si>
  <si>
    <t>Karai Yamandú s/Nº</t>
  </si>
  <si>
    <t>FRANCO HERRERA Sofia Karen</t>
  </si>
  <si>
    <t>VALLARINO Guillermo Daniel y MARIN Jorge Fabricio</t>
  </si>
  <si>
    <t>VARGAS Cirilo Reynaldo</t>
  </si>
  <si>
    <t>vivienda unifamiliar a construir, PRO.CRE.A.R., dos dormitorios, baño, cocina comedor estar, espacio para vehículo no ubicado, sector parrilla y lavadero semicubierto, BAJO ORD 27/10, art 1, punto 1, inc 9, Infracción art 5, 27, 37 del CE</t>
  </si>
  <si>
    <t>baldìo en niveleación, 27/12/21 - en estructuras y mamposteria de PB 22/02/22</t>
  </si>
  <si>
    <t>9 de Mayo N° 328</t>
  </si>
  <si>
    <t>HARTMAN Omar Alejandro</t>
  </si>
  <si>
    <t>ING. En CONST.</t>
  </si>
  <si>
    <t>vivienda unifamiliar a construir al frente del lote, en PB un dormitorio, baño con bacha separada, cocina comedor estar, cochera semicubierta lateral para dos vehiculos, hall de acceso semicubierto, en PA tres dormitorios uno con vestidory balcon al frente, baño, lavadero, terraza al fondo, patio aire y luz, al fondo ya declarado galpon garage cubierto, SUM con parrilla y baño, en PA spobre SUM vivienda unifamiliar con tres dormitorios, baño, deposito, cocina comedor y balcón, BAJO ORD 27/10, art 1, punto 2, inc 2 y 3, Infraccion art</t>
  </si>
  <si>
    <t>inspección 07/03/22, en etapa de cimientos y contrapiso</t>
  </si>
  <si>
    <t>9 de Mayo N° 332</t>
  </si>
  <si>
    <t>viivenda unifamilar exixtente al frente de dos dormitorios, cocona comedor estar, baño, acceso semicubierto al frente y galería semicubierta al fondo, piscina, galpón semicubierto al fondo con entrepiso depósito</t>
  </si>
  <si>
    <t>Ampliación Turística Sur</t>
  </si>
  <si>
    <t>BONOMO Angel Cristian</t>
  </si>
  <si>
    <t>VALLARINO Guillermo Daniel - MARIN Jorge Fabricio</t>
  </si>
  <si>
    <t>vivienda unifamiliar a cosntruir, en PB dos dormitorios, baño, cocina desayunador comedor estar, acceso, acceso semicubierto, semicubierto lateral con parrilla cochera para dos vehículos, en PA dormitorio ppal en suite con vestidor y baño completo, estar intimo, balcón al fondo</t>
  </si>
  <si>
    <t>10/01/22, baldío</t>
  </si>
  <si>
    <t>Avda. Urquiza N°170, 172 y 174</t>
  </si>
  <si>
    <t>FURLANETTO Alan (VARNI Lucìa Ester)</t>
  </si>
  <si>
    <t>Local comercial + Vivienda unifamiliar</t>
  </si>
  <si>
    <t>relevamiento de ampliaciòn de local comercial en PB, en PA depto de un dormitorio, baño y cocina comedor, con lavadero exterior semicubierto y terraza al frente ya con planos, BAJO Ord 27/10, art 1, punto 2, inc 2 y 3, Infraccion art 5, 27, 37, 176, 178, 179, 181, 182, 202, 223, 232, 233 del CE</t>
  </si>
  <si>
    <t>Zona de Quintas</t>
  </si>
  <si>
    <t>DELALOYE Beatriz Selva Dariela</t>
  </si>
  <si>
    <t>vivienda unifamiliar a construir, dos dormitorios, baño, cocina comedor estar, PRO.CRE.AR</t>
  </si>
  <si>
    <t>baldío, 01/02/22</t>
  </si>
  <si>
    <t>Emilio Gouchón N° 1173</t>
  </si>
  <si>
    <t>COSTA Federico Manuel y CARROZZO Maria Gisele</t>
  </si>
  <si>
    <t>relevamiento de vivienda unifamiliar con tres dormitorios, baño, cocina comedor estar, cochera semicubierta, quincho cubierta al fondo, con baño y deposito, Bajo Ord 27/10, art 1, punto 2, inc 2, Infracción art 5, 27, 37 del CE</t>
  </si>
  <si>
    <t>inspección 08/2/22</t>
  </si>
  <si>
    <t>Alberdi N° 881</t>
  </si>
  <si>
    <t>RUIZ DIAZ Felix Daniel</t>
  </si>
  <si>
    <t>CHINELLATO Pablo A</t>
  </si>
  <si>
    <t>relevamiento de vivienda unifamiliar y departamenteo de alquiler, la vivienda tiene dos dormitorios, cocina, comedor estar, cochera cubierta, baño, paso lateral cubierto con parrilla, el depto al fondo tiene quincho con parrilla y por escalera caralo se accede al depto de PA de un dormitorio, baño cocina comedor, BAJO ORD 27/10, art 1, punto 2, inc 2 y 3, Infraccion Ord 62/13, art 21, Infraccion Ord 56/07, art 3, inc I y inc II sub inc 1, Infraccion art 5, 27, 37, 144, 151, 176, 178, 227, 247 del CE</t>
  </si>
  <si>
    <t>Bvard Ferrari N°</t>
  </si>
  <si>
    <t>BONNIN Guillermo Víctor y otra</t>
  </si>
  <si>
    <t>BONNIN HNOS. SA</t>
  </si>
  <si>
    <t>DANTAS Gabriel E</t>
  </si>
  <si>
    <t>Vivienda unfifamiliar</t>
  </si>
  <si>
    <t>relevamiento de vivienda unifamiliar, un dormitorio, baño, cocina comedor, cochera galeria semicubierta, BAJO ORD 27/10, art 5, 27, 37, 144, 151, 176, 179, 202, 230, 247 del CE</t>
  </si>
  <si>
    <t>BONNIN Guillermo Víctor</t>
  </si>
  <si>
    <t>Cancha Futbol 5</t>
  </si>
  <si>
    <t>quincho salón, baño de mujeres y de hombres, cancha de futbol 5, BAJO ORD 27/10, art 1, punto 2, inc 2, Infraccion art 5, 27, 37, 144, 151 ,178, 179, 202, … Infraccion Ord 67/2014</t>
  </si>
  <si>
    <t>Avda. Gral. Urquiza N° 1174 / 1180</t>
  </si>
  <si>
    <t>MARSO Luís y otros</t>
  </si>
  <si>
    <t>plano conforme a obra, agregó un entrepiso y amplió local en PB, BAJO ORD 27/10, art 1, punto 2, inc 2, Infracción art 10, 27, 37, y 179 del CE</t>
  </si>
  <si>
    <t>Madre Isabel Fernandez N° 251, 257</t>
  </si>
  <si>
    <t>VIOLLAZ Andrea Griselda</t>
  </si>
  <si>
    <t>ING. CONST.</t>
  </si>
  <si>
    <t>relevamiento de dos unidades de vivienda unif, cada una de dos dormitorios, baño, cocina comedor, una de ellas en la esquina, sin cochera, la otra con cochera semicubierta, BAJO ORD 27/10, art 1, punto 2, inc 2, Infraccion art 5, 27, 37, 144, 151, 178, 232, 236 del CE</t>
  </si>
  <si>
    <t>mail, 541008</t>
  </si>
  <si>
    <t>Gómez Miranda N° 148 esq Noailles</t>
  </si>
  <si>
    <t>SCHIESE Gustavo</t>
  </si>
  <si>
    <t>PERNO RENZI, María José</t>
  </si>
  <si>
    <t>vivienda unifamiliar a construir, dos dormitorios, cocina comedor estar, baño, cochera descubierta, PRO.CRE.AR.</t>
  </si>
  <si>
    <t>23/03/22, baldío</t>
  </si>
  <si>
    <t>Los Zorzales s/N°</t>
  </si>
  <si>
    <t>TOURNOUR, Rogelio Fernando</t>
  </si>
  <si>
    <t>AEROCLUB COLON</t>
  </si>
  <si>
    <t>Galpón - Hangar</t>
  </si>
  <si>
    <t>relevamiento de galpones en el AeroClub Colón y hangar a construir, con ampliacion de grupos sanitarios en el galpon existente y reformas</t>
  </si>
  <si>
    <t>Alberdi Nº 531</t>
  </si>
  <si>
    <t>BLANC Maximiliano Gaspar</t>
  </si>
  <si>
    <t>BOGADO BENITEZ Eric Wilfrido</t>
  </si>
  <si>
    <t>vivienda unifamiliar demolida, nueva a cosntruir, dos dormitorios, baño, cocina comedor estar, PRO.CRE.AR</t>
  </si>
  <si>
    <t>demoliciòn terminada, inspecciòn 11/03/22</t>
  </si>
  <si>
    <t>Calle Algarrobo s/Nº</t>
  </si>
  <si>
    <t>CAIRE Ricardo Tomas</t>
  </si>
  <si>
    <t>vivienda unifamiliar a contruir, avanzada al momento de contrataciòn del profesional quien toma la direcciòn de los trabajos restantes, vivienda dos dormitorios, uno en suite con vestidor y baño, baño, cocina comedor estar, garlerìa semicubierta con parrilla, BAJO ORD 27/10, art 1, punto 2, inc 2 y 3, Infracciòn art 5, 27, 37, 179, 0202 del CE, Infraccion ORd 62/13, art 28</t>
  </si>
  <si>
    <t>06/09/21, obra gruesa terminada, revoques</t>
  </si>
  <si>
    <t>Balcarce Nº 617</t>
  </si>
  <si>
    <t>TARAFAN Oscar Luís y ANGUIOZAR Silvia Graciela</t>
  </si>
  <si>
    <t>relevamiento de ampliación en deptos existentes, Bajo Ord 27/10, art 1, punto 2, inc 2, Infracion Ord n53/07, Infraccion ord 29/10, art 1, Infraccion art 5, 27, 37, 149, 150, 151 178, 179, 181, 182, 202, 214, 223, 226, 232, 233, 247 del CE</t>
  </si>
  <si>
    <t>Sourigues N° 512</t>
  </si>
  <si>
    <t>LOPEZ Cecilia Andrea y FRIAS Christian Jose</t>
  </si>
  <si>
    <t>vivienda unifamiliar a construir, dos dormitorios, uno en suite con baño compartimentado y vestidor, baño, hall de acceso cubierto, cocina desayunador comedor estar, cochera semicubirte con toilete y galería semicubierta posterior con parrilla y bacha</t>
  </si>
  <si>
    <t>20/10/21, baldio, acopio de materiales</t>
  </si>
  <si>
    <t>Lopez Jordan s/N°</t>
  </si>
  <si>
    <t>MILLAN de los SANTOS Adriana María</t>
  </si>
  <si>
    <t>NEGREIRA Gustavo Daniel</t>
  </si>
  <si>
    <t>Vivienda multifamiliar + Locales comerciales</t>
  </si>
  <si>
    <t>relevamiento de cuatro unidades de vivienda, una de tres dormitorios, cocina comedor, estar, baño, depósito, otra de dos dormitorios, baño, cocina comedor, las dos restantes una de un dormitorio baño cocina comedor y la ultima es una cabaña mínima con un solo ambinete, baño y cocina, tambien releva tres locales comerciales, uno es un taller mecánico con depósitos y baño, un local pequeño con baño, un local con baño y entrepiso, BAJO ORD 27/10, art 1, punto 2, inc 2 y 3, Infracción art 5, 27, 37, 178, 179, 202, 230, 264 del CE, Infraccion Ord 62/13, art 28</t>
  </si>
  <si>
    <t>Pasaje Maneno Sosan Nº 185</t>
  </si>
  <si>
    <t>BLANCHET Paola Gabriela</t>
  </si>
  <si>
    <t>BIDAL María Eugenia</t>
  </si>
  <si>
    <t>relevamiento de dos tres unidades de vivienda, una en planta baja con dos dormitorios, baño, cocina comedor estar, galería semicubierta posterior con parrilla, cocheras semicubiertas, en planta dos departamentos uno de un dormitorio, baño y cocina comedor, el otro con dos dormiorios, baño, cocina comedor estar, tarraza al fondo, escalera al fondo del lote que da a deptos ubicados en otro terreno, BAJO ORD 27/10, art 1, punto 2, inc 2 y 3, Infraccion Ord 62/13, art 24, Infraccion Ord 53/07, Ord 56/07, art 3, Infraccion art 5, 27, 37, 176, 178, 179, 181, 182, 202, 223, 226, 232, 233, 247 del CE</t>
  </si>
  <si>
    <t>mail, 541042</t>
  </si>
  <si>
    <t>Avda Paysandú N° 1110</t>
  </si>
  <si>
    <t>GUIFFREY Julio César</t>
  </si>
  <si>
    <t>Vivienda multifamiliar + Local comercial</t>
  </si>
  <si>
    <t xml:space="preserve"> </t>
  </si>
  <si>
    <t>dos deptos existentes al fondo del lote, de un dormitorio, cocina comedor, baño y cochera semicubierta, a construir al frente local comercial con un sanitario, BAJO ORD 27/10, art 1, punto 2, inc 2, Infracción art 5, 27, 37, 146, 151, 178, 202, 236 del CE</t>
  </si>
  <si>
    <t>Sarmiento s/N°</t>
  </si>
  <si>
    <t>BONNIN Fernando Ariel</t>
  </si>
  <si>
    <t>GOMEZ WICKY Diamela y LEONARDI Jerónimo</t>
  </si>
  <si>
    <t>GOMEZ WICKY Diamela</t>
  </si>
  <si>
    <t>MALGOR José Manuel</t>
  </si>
  <si>
    <t>edificio de deptos a construir, cinco unidades</t>
  </si>
  <si>
    <t>Colibrí N°</t>
  </si>
  <si>
    <t>SILVA María de los Ángeles</t>
  </si>
  <si>
    <t>vivienda unifamiliar a construir, dos dormitorios, baño, cocina, comedor estar, acceso semicubierto</t>
  </si>
  <si>
    <t>28/03/22, baldío</t>
  </si>
  <si>
    <t>Nùcleo Urbano Ampliado</t>
  </si>
  <si>
    <t>Echagûe s/Nº</t>
  </si>
  <si>
    <t>DELALOYE Romina Soledad</t>
  </si>
  <si>
    <t>relevamiento de vivienda unifamiliar, lote en esquina, dormitorio, baño, cocina comedor, galeria semicubierta cochera semicubierta, BAJO ORD 27/10, art 1, punto 2, inc 2, Infraccion art 5, 27, 37, 144, 151 181, 182, 202, y 236 del CE</t>
  </si>
  <si>
    <t>MAROTTI Francisco y LUCERO Melina</t>
  </si>
  <si>
    <t>vivienda unifamiliar a construir, PRO.CRE.A.R., dos dormitorios, baño, cocina comedor estar, espacio para vehículo no ubicado, sector parrilla descubierto</t>
  </si>
  <si>
    <t>baldío, inspección 27/12/21</t>
  </si>
  <si>
    <t>mail, 541150</t>
  </si>
  <si>
    <t>Salsipuedes s/N°</t>
  </si>
  <si>
    <t>OJEDA Gustavo Alejandro</t>
  </si>
  <si>
    <t>REYES Adolfo</t>
  </si>
  <si>
    <t>vivienda unifamiliar a construir, tres dormitorios, baño, depósito, lavadero, baño auxiliar, cochera semicubierta con parrilla, estar comedor cocina</t>
  </si>
  <si>
    <t>Dr. José Miguel Díaz Vélez N°</t>
  </si>
  <si>
    <t>SCELZI Nicolas Jose y RODRIGUEZ Ana Laura</t>
  </si>
  <si>
    <t>vivienda unifamiliar a construir, dos dormitorios, baño, cocina comedor, cochera smeicubierta lateral, vivienda a relevar, cocina comedor, baño, entrepiso usado como dormitorio, semicubierto cochera lateral, BAJO ORD 27/10, art 1, punto 2, inc 2, Infraccion art 5, 27, 37, 176, 223 del CE</t>
  </si>
  <si>
    <t>inspección 24/02/22</t>
  </si>
  <si>
    <t>Avda Quirós N° 128</t>
  </si>
  <si>
    <t>SILVA Carina Marianela</t>
  </si>
  <si>
    <t>vivienda unifamiliar existente con planos, a declarar modificaciones y a ampliar en planta alta, dos dormitorios existentes que se unifican y se convierte en estar, el estar se convierte en comedor y la cocina queda sólo como cocina, baño existente, tres dormitorios a construir en planta superior uno en suite con baño compartimentado, balcon al frente, otros dos atras, baño</t>
  </si>
  <si>
    <t>inspección 08/03/22, obra no comenzada</t>
  </si>
  <si>
    <t>MAIL, 541494</t>
  </si>
  <si>
    <t>Girard N° 136</t>
  </si>
  <si>
    <t>RAMAT Fernando Leonel</t>
  </si>
  <si>
    <t>RODRIGUEZ Lisandro</t>
  </si>
  <si>
    <t>Galpón / Depósito</t>
  </si>
  <si>
    <t>galpón depósito a construir con sanitario y mini office</t>
  </si>
  <si>
    <t>12/4/22, baldío</t>
  </si>
  <si>
    <t>Paso de Los Andes esq 9 de Julio</t>
  </si>
  <si>
    <t>GUERRERO Màxima Sofìa</t>
  </si>
  <si>
    <t>lote baldìo</t>
  </si>
  <si>
    <t>9 de Julio Nº</t>
  </si>
  <si>
    <t>SANDOVAL Nadia Alejandra</t>
  </si>
  <si>
    <t>Vivienda unifamiliar, plano conforme a obra, dos dormitorios, baño, cocina comedor estar, cochera semicubierta, acceso semicubierto galeria perimetral.</t>
  </si>
  <si>
    <t>obra terminada, 03/03/22</t>
  </si>
  <si>
    <t>Noailles N° 1118</t>
  </si>
  <si>
    <t>MILANESI Marìa Ines</t>
  </si>
  <si>
    <t>vivienda unifamiliar a construir, un dormitorio, baño, cocina comedor estar, semicubierto cochera con parrilla</t>
  </si>
  <si>
    <t>25/02/22, baldìo</t>
  </si>
  <si>
    <t>ALEGRE Juan Alberto</t>
  </si>
  <si>
    <t>BIDAL Arnoldo Francisco</t>
  </si>
  <si>
    <t>VIOLLAZ Josè Alberto</t>
  </si>
  <si>
    <t>ING. CONST</t>
  </si>
  <si>
    <t>doce monoambientes a  construir, una "u" con galerìa perimetral, unidades con baño y pequeño lugar de guardado</t>
  </si>
  <si>
    <t>Ruta Nac. Nº 14, km 145,5</t>
  </si>
  <si>
    <t>HOFFMANN Agustín José y JACOB José Manuel</t>
  </si>
  <si>
    <t>JACQUET Ariel N</t>
  </si>
  <si>
    <t>relevamiento de vivienda unifamiliar de dos dormitorios, baño, cocina comedor estar, galerìa en el frente y en el fondo, en planta alta SUM estar, galpón depósito de maquinaria agrícola, baño, BAJO ORD 27/10, art 1, punto 2, inc 2, Infraccion art 5, 27, 37, 176, y 178 del CE</t>
  </si>
  <si>
    <t>Cipriano Berín Nº</t>
  </si>
  <si>
    <t>PAULETE Dora Beatrìz</t>
  </si>
  <si>
    <t>relevamiento de vivienda unifamiliar, tres dormitorios, depòsito al fondo, lavadero, cocina, cocmedor estar, cochera lateral descubierta, BAJO ORD 27/10, art 1, punto 2, inc 2, Infracciòn art 5, 27, 37 del CE</t>
  </si>
  <si>
    <t>mail, 541508</t>
  </si>
  <si>
    <t>RELEVAMIENTO y AMPLIACION</t>
  </si>
  <si>
    <t>Alberdi N° 630</t>
  </si>
  <si>
    <t>GONZALEZ Roxana</t>
  </si>
  <si>
    <t>vivienda unifamiliar, un dormitorio en pb al frente, estar intimo, estar comedor, cocina, baño completo, estar al fondo con escritorio baño, dormitorio con escritorio en PA, quincho con baño y parrilla en el fondo, piscina, BAJO ORD 27/10, art 1, punto 2, inc 2, infraccion art 5, 27, 37, 178, 179, 232 y 247 del CE, Ord 56/07, art 3, inc 2, sub inc 1, Ord 62/13, art 24</t>
  </si>
  <si>
    <t>Alberdi Nº 883</t>
  </si>
  <si>
    <t>ETCHEVARNE Maximiliano, Juliana y Paula</t>
  </si>
  <si>
    <t>relevamiento de galpón / depósito, grupo sanitario, entrepiso, Bajo Ord 27/10, art 1, punto 2, inc 2, Infraccion art 5, 27, 37, 144, 151, 179, 200, 202 del CE, Infraccion Ord 56/07, art 3, inc II, sub inc 1</t>
  </si>
  <si>
    <t xml:space="preserve"> Nucleo Urbano Ampliado (Loteo San Juan)</t>
  </si>
  <si>
    <t>Juan A Fernandez esq C Benegas</t>
  </si>
  <si>
    <t>BARACAT Juan Carlos</t>
  </si>
  <si>
    <t>BESSON Valeria Soledad</t>
  </si>
  <si>
    <t>ARQ</t>
  </si>
  <si>
    <t>vivienda unifamiliar a construir, dos dormitorios, baño, cocina comedor estar, lavadero, cochera semicubierta, acceso semicubierto</t>
  </si>
  <si>
    <t>San Martín N° 193, esq Lavalle</t>
  </si>
  <si>
    <t>TROSSERO Daria J. (Presidente)</t>
  </si>
  <si>
    <t>CAJA NOTARIAL de Accion Socian de E.R.</t>
  </si>
  <si>
    <t>Centro del Ojo, Local comercial</t>
  </si>
  <si>
    <t>quiròfano a construir, relevamiento de ampliacion y modificacion ejecutada, Centro del Ojo, BAJO ORD 27/10, art 1, punto 2, inc 2, Infraccion art 5, 27, 37, 130, 149, 176, 179, 226, 227, 254 del CE</t>
  </si>
  <si>
    <t>Reibel esq. Hernández</t>
  </si>
  <si>
    <t>HASSAM Ramiro y BAZZURI Hilda Elena</t>
  </si>
  <si>
    <t>relevamiento de vivienda unifamiliar de dos dormitorios, baño, cocina comedor, estar, cochera descubierta, BAJO ORD 27/10, art 1, punto 2, inc 2 y 3, Infraccion art 5, 27, 37, del CE, Ord 62/13, art 16 (retiro=</t>
  </si>
  <si>
    <t>inspección 1/04/22</t>
  </si>
  <si>
    <t>Ampliaciòn Actividad Turìstica Norte</t>
  </si>
  <si>
    <t>Espinillo s/Nº</t>
  </si>
  <si>
    <t>MABRAGAÑA Marìa Victoria</t>
  </si>
  <si>
    <t>viivenda unifamiliar a construir, dos dormitorios, baño compartimentado, cocina comedor estar, lavadero, espacio de cochera sin techar - PRIMER TRAMITE DESISTIDO- NUEVO PROYECTO</t>
  </si>
  <si>
    <t>MAIL, 541779</t>
  </si>
  <si>
    <t>Ampliación de Actividad Turística Norte</t>
  </si>
  <si>
    <t>Tala s/Nº</t>
  </si>
  <si>
    <t>CASERTA Martin Adrián</t>
  </si>
  <si>
    <t>GOMEZ Iris Rocío</t>
  </si>
  <si>
    <t>relevamiento de ampliaciones realizadas en vivienda existente declarada, se relevan dos dormitorios en PA, existente: una vivienda en PB con cocina comedor estar, baño, dos dormitorios, lavadero, otra vivienda existente con cocina coedor estar, baño, y galeria semicubierta con parrilla en PB y en PA dos dormitorios y baño, BAJO ORD 27/10, art 1, punto 2, inc 2, Infracciòn art 5, 27, 37, 176 del CE</t>
  </si>
  <si>
    <t>Ampliación Actividad Turística Norte</t>
  </si>
  <si>
    <t>Calle Artalaz S/N°</t>
  </si>
  <si>
    <t>WALTER Luis Esteban</t>
  </si>
  <si>
    <t>relevamiento de vivienda unifamiliar, tres dormitorios, dos baños, cocina comedor estar, cochera cubierta, galeria al frente semicubierto con parrilla, piscina, BAJO ORD 27/10, art 1, punto 2, inc 2, Infraccion art 5, 27, 37, 144, 151, 178, 179, 181, 182, 223, 233, 247 del CE</t>
  </si>
  <si>
    <t>DELALOYE Fernando Sergio</t>
  </si>
  <si>
    <t>vivienda unifamiliar a construri, monoambiente, dormitorio separado por un mueble, baño, cocina comedor, galería semicubierta lateral con espacio de guardado, cochera descubierta</t>
  </si>
  <si>
    <t>mail, 541360</t>
  </si>
  <si>
    <t>HERRERA FERREIROS Sofia</t>
  </si>
  <si>
    <t>KEMERER Camila</t>
  </si>
  <si>
    <t>vivienda unifamiliar relevada, un dormitorio, vestidor, baño, cocina comedor estar, cochera semicubierta, galería semicubierta posterior, Vivienda a construir en PA, un dormitorio, cocina comedor estar, baño, BAJO Ord 27/10, art 1, punto 2, inc 2, art 1, inc 1, punto 9, Infraccion art 5, 27, 37, 179, 202, 232, 247 del CE, BAJO ORD 58/21</t>
  </si>
  <si>
    <t>Sarmiento Nº 144</t>
  </si>
  <si>
    <t>MOREL CHEVILLET Rolando</t>
  </si>
  <si>
    <t xml:space="preserve">LEMA Carolina </t>
  </si>
  <si>
    <t>relevamiento de vivienda unifamiliar, constrida en PA de dos dormitorios, baño, estar cocina comedor, en PB vivienda existente modificada, de dos dormitorios, estar comedor, cocina, lavadero, cochera cubierta, BAJO ORD 27/10, art 1, punto 2, inc 2 y 3, Infracción ORd 53/07, art 3, inc 1, ORd 62/13, art 12, Infraccion art 5, 27, 37, 176, 178, 179, 181, 182, 247 del CE</t>
  </si>
  <si>
    <t>Ampliaciòn Actividad Turìstica Sur</t>
  </si>
  <si>
    <t>ARCAGNI Marìa Emilia</t>
  </si>
  <si>
    <t>CHINELLATO Pablo Alberto</t>
  </si>
  <si>
    <t>vivienda unifamiliar a construir, en PB dormitorio ppal en suite, con vestidor y baño compartimentado, cochera cubierta, depòsito para cochera, toilette bajo escalera, cocina desayunador comedor , estar, acceso semicubierto, galerìa al fondo con parrilla, cocheras dobles semicubiertas, en PA dos dormitorios, baño completo, balcon y estar intimo balconeando sobre el estar y acceso de PB</t>
  </si>
  <si>
    <t>baldio, 04/04/22</t>
  </si>
  <si>
    <t>mail, 541905</t>
  </si>
  <si>
    <t>Chacras</t>
  </si>
  <si>
    <t>UDRIZARD Eugenio Julian</t>
  </si>
  <si>
    <t>GRAZIANI Jorge Agustin Alexis</t>
  </si>
  <si>
    <t>dos unidades de vivienda a relevar y en terminación, una con cocina comedor estar, semicubierto pequeño de acceso, en PA dormitorio y baño, la otra toda en PB un dormitorio, cocina comedor, baño, BAJO ORD 27/10, art 1, punto 2, inc 2, Infraccion art 5, 27, 37, del CE</t>
  </si>
  <si>
    <t>29/2/22</t>
  </si>
  <si>
    <t>Alberdi Nº 856</t>
  </si>
  <si>
    <t>DRAY Susana (Socio Gerente)</t>
  </si>
  <si>
    <t>REFRESKO SRL</t>
  </si>
  <si>
    <t>CAIRE Atilio Jose</t>
  </si>
  <si>
    <t>Locales comerciales</t>
  </si>
  <si>
    <t xml:space="preserve">relevamiento de modificaciones / ampliaicones </t>
  </si>
  <si>
    <t>mail, 542111</t>
  </si>
  <si>
    <t>E. Gouchón N° 648</t>
  </si>
  <si>
    <t>BUSSOLOTTI Sergio Luís y BAPTISTA MARTINEZ Claudia Jacqueline</t>
  </si>
  <si>
    <t>MALGOR José</t>
  </si>
  <si>
    <t>relevamiento de unidad funcional 01 en Barrio IAPV Libertad, en PB, originalmente vivienda unica, ahora dividida en dos depstos mínimos, BAJO ORD 27/10, art 1, punto 2, inc 2, Infraccion art 5, 27, 37, 176, 178, 179 del CE</t>
  </si>
  <si>
    <t>PIANETTI Oscar Damián</t>
  </si>
  <si>
    <t>GOMEZ Erika</t>
  </si>
  <si>
    <t>AGUARA CONSTRUCTORA SA</t>
  </si>
  <si>
    <t>vivienda unifamiliar a construir, en PB dormitorio, baño, estar comedor cocina, despensa, galería semicubierta con parrilla, lavadero al exterior, toilete, cocheras semicubiertas para dos vehiculos, deposiso a la cochera y baño de servicio, en PA dos dormitorios uno en suite con vestidor y baño compartimentado, dormitorio, baño completo, escritorio, balcón</t>
  </si>
  <si>
    <t>baldío, 20/01/22</t>
  </si>
  <si>
    <t>Calle Timbó s/N°</t>
  </si>
  <si>
    <t>LOPEZ Cecilia Andrea</t>
  </si>
  <si>
    <t>Vivienda multifamiliar + Galpón  / Depósito</t>
  </si>
  <si>
    <t xml:space="preserve">relevamiento de tres unidades de vivienda más un quincho y piscina tipo tanque australiano, una vivienda de tres dormitorios, uno con baño privado, baño, cocina comedor estar, entrepiso, comedor como ampliacion (galeria que se cerro y quedo con la parrilla adentro), galería semicubierta de acceso, otras dos unidades de vivienda de un dormitorio, baño, cocina comedor y cochera semicubierta, separado y al fondo quincho con baño, parrilla y barra, deposito al frente sobre LM con bañoy entrepiso, BAJO ORD 27/10, art 1, punto 2, inc 2 y 3, Infraccion art 5, 27, 37, 176, 178, 181, 182, 214, 223, 233 del CE, Infraccion ORd 53/07, art 3, inc 1, Ord 62/13, art 28 </t>
  </si>
  <si>
    <t>Ampliación actividad Turística Sur</t>
  </si>
  <si>
    <t>Calle Jacarandaes s/N° - Los Bretes</t>
  </si>
  <si>
    <t>BERNA Hernan Guillermo</t>
  </si>
  <si>
    <t>MEDAIL Sergio A</t>
  </si>
  <si>
    <t>Vviienda unifamiliar</t>
  </si>
  <si>
    <t>vivienda unifamiliar a construir, dos dormitorios, uno en suite con baño compartimentado y vestidor, baño, hall, cocina desayunador comedor estar, baño de servicio, cochera semicubirte para dos vehículos y galería semicubierta lateral con parrilla y bacha, terraza</t>
  </si>
  <si>
    <t>Ejido</t>
  </si>
  <si>
    <t>Ruta Nº 135, km ..</t>
  </si>
  <si>
    <t>FALCON Matías Serafín</t>
  </si>
  <si>
    <t>galpòn en construcción, no aclara destino, se ejecutaron fundaciones y estructura metaálica, el resto queda a construir, dentro tiene un sanitario, oficina y recepción y office, BAJO ord 27/10, art 1, punto 1, inc 9, punto 2, inc 2, Infraccion art 5, 27, 37, 179, 200, 202, 214, 226 y 232 del CE</t>
  </si>
  <si>
    <t>inspección 12/05/21</t>
  </si>
  <si>
    <t>FUNES German Elmir</t>
  </si>
  <si>
    <t>RODRIGUEZ Luís Miguel</t>
  </si>
  <si>
    <t>vivienda unifamiliar a construir, tres dormitorios, uno en PA en suite con baño compartimentado y vestidor, terraza, en PB otrs dos dormitorios, baño, cocina comedor estar, galería semicubiertya al fondo con parrilla, cochera semicubierta para dos vehículos, acceso semicubierto, piscina</t>
  </si>
  <si>
    <t>MAIL, 525176</t>
  </si>
  <si>
    <t xml:space="preserve">Ruta Nac N° 135, km </t>
  </si>
  <si>
    <t>BOUVET Neri José</t>
  </si>
  <si>
    <t>ROSSIER Betiana Carolina - ARGUET Daniela Alejandra</t>
  </si>
  <si>
    <t>DEGENEVE Rubèn D.</t>
  </si>
  <si>
    <t>Local Comercial - Depósito</t>
  </si>
  <si>
    <t>depòsito de mercaderìa alimenticia, con oficinas y dependencias par el personal, grupos sanitarios y vestuarios, depòsitos en PA, entrepiso de matera, estructura de techo reticulado metàlco (FALTA MEMORIA DE CALCULO),  BAJO ord 27/10, art 1, punto 1, inc 9, punto 2, inc 2, Infraccion art 5, 27, 37 del CE</t>
  </si>
  <si>
    <t>CalleIsabel Fernandez esq Mitre N° 1404</t>
  </si>
  <si>
    <t>CASTRO Marisa Raquel y otro</t>
  </si>
  <si>
    <t>CERGNEUX Jorge Ricardo</t>
  </si>
  <si>
    <t xml:space="preserve">SOTELO Victor </t>
  </si>
  <si>
    <t>vivienda unifamiliar a reformar y ampliar, BAJO ORD 27/10, art 1, punto 2, inc 2 y 3, infraccion ord 62/13, art 26, Infraccion art 5, 27, 37, 144, 151, 179, 181, 182, 202 del CE</t>
  </si>
  <si>
    <t>Benteveo N°</t>
  </si>
  <si>
    <t>NASCIMENTO Raúl Faustino</t>
  </si>
  <si>
    <t>ESBERT Jonathan Javier</t>
  </si>
  <si>
    <t>relevamiento de vivienda unifamiliar, un dormitorio, baño, cocina comedor estar, semicubierto cochera, deck solarium, parrilla, piscina, BAJO Ord 27/10, art 1, punto 2, inc 2, Infraccion art 5, 27, 37, 232, 254 del CE</t>
  </si>
  <si>
    <t>inspección 01/12/21</t>
  </si>
  <si>
    <t>Canton de Valais Nº 162</t>
  </si>
  <si>
    <t>PERAGALLO Raùl Alejandro</t>
  </si>
  <si>
    <t>Cochera semicubierta</t>
  </si>
  <si>
    <t>cochera semicubierta a construir</t>
  </si>
  <si>
    <t>19/5/22, baldío con escombros</t>
  </si>
  <si>
    <t>Rebord Nº 171</t>
  </si>
  <si>
    <t>FARACE Laura Andrea</t>
  </si>
  <si>
    <t>relevamiento de dos unidades de vivienda, cada una de dos dormitorios, baño, cocina comedor, una con cochera cubierta y quinco semicubierto al fondo, lavadero baño al exterior y acceso galeria semicubierta, BAJO ORD 27/10, art 1, punto 2, inc 2, Infraccion art 5, 27, 37, 144, 151, 178, 179, 181, 182, 201, 202, 223, 233, 247 del CE, infraccion Ord 53/07</t>
  </si>
  <si>
    <t>Calle Sauce s/Nº</t>
  </si>
  <si>
    <t>IRIGOYEN Nadia Soledad</t>
  </si>
  <si>
    <t>vivienda unifamiliar a construir, PRO.CRE.AR., un dormitorio, cocina comedor estar, baño</t>
  </si>
  <si>
    <t>16-05-2022, baldío</t>
  </si>
  <si>
    <t>Sourigues N° 355, esq Bvard Gaillard N° 447</t>
  </si>
  <si>
    <t>BRUM Raúl Rogelio</t>
  </si>
  <si>
    <t>ZARAGOZA Víctor Andrés</t>
  </si>
  <si>
    <t>relevamiento, Bajo Ord 277/10, art 1, punto 2, inc 2 y 3, Infraccion Ord 62/13, art 12, Ord 53/07, Infraccion art 5, 27, 37, 144, 151, 178, 181, 182, 223, 226, 233 del CE</t>
  </si>
  <si>
    <t>25 de Mayo N° 187</t>
  </si>
  <si>
    <t>AGUILAR Marcelo Alejandro</t>
  </si>
  <si>
    <t>relevamiento de ampliaciones realizadas en vivienda multifamiliar, bajo Ord 27/10, art 1, punto 2, inc 2 y 3, Infraccion art 5, 27, 37, 144, 151, 176, 178, 179, 202, 223, 227, 233 del CE, Infraccion ord 62/13, art 16</t>
  </si>
  <si>
    <t>Vergniaud N° 3, 37, 41</t>
  </si>
  <si>
    <t>LENNER Norma Susana</t>
  </si>
  <si>
    <t>MARSO Agustín</t>
  </si>
  <si>
    <t>DELALOYE Luís Alfredo</t>
  </si>
  <si>
    <t>Vivienda multifamiliar + Local Comercial</t>
  </si>
  <si>
    <t>dos unidades de vvienda con antecedentes, de dos dormitorios, baño cocina comedor y cochera semicubierta cada una, a construir, en PB dos locales comerciales, e PA dos unidades de viviendauna de un dormitorio, baño cocina comedor y otra de dos dormitorios, baño cocina comedor estar</t>
  </si>
  <si>
    <t>Ruta Nac Nº 135, km 6,5</t>
  </si>
  <si>
    <t>TOURNOUR Adrian L</t>
  </si>
  <si>
    <t>FADEL S.A.</t>
  </si>
  <si>
    <t>Plana Industrial</t>
  </si>
  <si>
    <t>ING.</t>
  </si>
  <si>
    <t>relevamiento de mejoras y ampliaicones realizadas en la planta de alimentos balanceados FADEL SA, BAJO ORD 27/10, art 1, unto 2, inc 2 y 3, Infraccion art 5, 27, 37 del Cod de Ediicacion, Infraccion Ord 62/13, (retiro)</t>
  </si>
  <si>
    <t>inspecciòn 10/03/22</t>
  </si>
  <si>
    <t>Calle Pública s/Nº - Loteo Ayres 1842</t>
  </si>
  <si>
    <t>BIDAL Federico Luís y María Eugenia</t>
  </si>
  <si>
    <t>BOGADO BENITEZ Ery Wilfrido</t>
  </si>
  <si>
    <t>Vivienda unifamilair</t>
  </si>
  <si>
    <t>vivienda unifamiliar a construir, dos dormitorios, baño, cocina comedor estar, cochera semicubierta con parrilla</t>
  </si>
  <si>
    <t>Castelli N.º 318</t>
  </si>
  <si>
    <t>BLANC, Gladis Mabel</t>
  </si>
  <si>
    <t>Bouvier, Augusto Federico</t>
  </si>
  <si>
    <t>relevamiento de vivienda multifamiliar, vivienda unifamiliar existente, monoambiente y dos depto en PA sobre vivienda existente, cuatro deptos al fondo del lote, Bajo Ord 27/10, art 1, punto 2, inc 2 y 3, Infraccion art 5, 27, 37, 144, 151, 176, 178, 179, 181, 182, 201, 202, 214, 223, 226, 232 233, 247, del CE, Infraccion Ord 53/07, Ord 62/13, art 16</t>
  </si>
  <si>
    <t>Rocamora Nº 1235</t>
  </si>
  <si>
    <t>VERA Luís Enrique y MATTIOLI Marina Alicia</t>
  </si>
  <si>
    <t>relevamiento y a terminar viivenda unifamiliar, BAJO ORD 27/10, art1 , punto 2, inc 2, Infraccion art 5, 27, 37, 176, 181, 182, 201, 202, 227, 236 del CE</t>
  </si>
  <si>
    <t xml:space="preserve">27-04-2022, falta dormitorio sobre cochera, temrinar </t>
  </si>
  <si>
    <t>Ampliación turística norte</t>
  </si>
  <si>
    <t>Luís Federico Leloir N.º e/J. M. de Rosas y Artalaz (Loteo Heis de Bogado)</t>
  </si>
  <si>
    <t>MAULELLA DOTI Juan Jose, MAULELLA DURE Juan Martín, ROSSANO LOPEZ de HARO Lucía</t>
  </si>
  <si>
    <t>relevamiento de dos unidades de vivienda de alquiler adosadas, en PB, con cochera semicubierta, un dormitorio, baño, cocina comedor. En el semicubierto de la cochera tiene una parrilla. Bajo Ord 27/10, art 1, punto 2, inc 2 y 3, Infracción  5, 27, 37, 178, 179, 214, 223, 236, 238, 247 del C.E.; infraccion ORd 53/07 (cocheras), Infracción ORd.62/13, art 30 (retiro). Durante la inspección se constató avance en la ejecuci{on de un nuevo grupo de dos viviendas (aparentemente) sobre una platea existente detrás del grupo existente</t>
  </si>
  <si>
    <t>inspección 20/02/20</t>
  </si>
  <si>
    <t>Pozzi y Benegas s/Nº</t>
  </si>
  <si>
    <t>MIEREZ Juan Facundo</t>
  </si>
  <si>
    <t>vivienda unifamiliar a construir, tres dormitorios, uno con vestidor, baño compartimentado comartido, estar cocina comedor, hall de acceso, cochera quincho con parrilla semicubierta</t>
  </si>
  <si>
    <t>26/04/22, movimiento de suelos</t>
  </si>
  <si>
    <t>Ampliacion Actividad Turística Sur</t>
  </si>
  <si>
    <t>Ibirá Pitá s/Nº - Los Bretes</t>
  </si>
  <si>
    <t>GONZALEZ Gabriela Norma</t>
  </si>
  <si>
    <t>relevamiento de vivienda unifamiliar y piscina, cuatro dormitorios, uno en suite con baño, baño compartimentado, galerìa preimetral semicubierta, deposito cubierto, baño completo al exterior, quincho cubierto con parrilla, piscina con solarium, BAJO ORD 27/10, art 1, punto 2,inc 2, Infraccion art 5, 27, 37, 176, 179, 181, 182, 223, 233 del CE</t>
  </si>
  <si>
    <t>Avda. Quirós esq Pasaje Velazco</t>
  </si>
  <si>
    <t>ADUCO Pablo y Nicolás</t>
  </si>
  <si>
    <t>plano conforme a obra, encontrado sin visar desde 2014, deptos a los que agrega la pileta y el quincho deposito, BAJO ORD 27/10, art 10, 27, 37, 178 del CE, Ord 53/07</t>
  </si>
  <si>
    <t>Ampliaciòn de Actividad Tuística Norte</t>
  </si>
  <si>
    <t>Ñandubay s/Nº</t>
  </si>
  <si>
    <t>CABRERA Hugo Armando, FLORES Norma Alicia</t>
  </si>
  <si>
    <t>MAHER Luciana A.</t>
  </si>
  <si>
    <t>relevamiento de vivienda unifamiliar, dos dormitorios, baño, cocina comedor estar, piscina, BAJO ORD 27/10, art 1, punto 2, inc 2 - BAJO ORD 58/21</t>
  </si>
  <si>
    <t xml:space="preserve">Paso de los Andes N° </t>
  </si>
  <si>
    <t>PELLINI Mariana Evangelina</t>
  </si>
  <si>
    <t>vivienda unifamiliar a construir, dos dormitorios, cocina comedor, baño, lavadero, cochera descubierta</t>
  </si>
  <si>
    <t>baldío, 11/05/22</t>
  </si>
  <si>
    <t>Avda. Pte. Peròn N° 156</t>
  </si>
  <si>
    <t>ALMADA Juan Carlos</t>
  </si>
  <si>
    <t>BIDAL Arnoldo</t>
  </si>
  <si>
    <t>PLANO VIEJO SIN VISAR, local comercial a ampliar y reformar, BAJO ORD 27/10, art 1, punto 1, inc9, Infraccion art 5, 27, 37 del CE</t>
  </si>
  <si>
    <t>540011, mail</t>
  </si>
  <si>
    <t>Bvard Gaillard Nº 781</t>
  </si>
  <si>
    <t>CATELOTTI Sonia Mariela</t>
  </si>
  <si>
    <t>PEREYRA Sergio Daniel</t>
  </si>
  <si>
    <t>vivienda unifamiliar a construir, un dormitorio, baño, cocina comedor estar, cochera descubierta, vivienda unifamiliar existente declarada al frente, un dormitorio, baño, cocina comedor estar, lavadero</t>
  </si>
  <si>
    <t>ESCHER Alfredo Fernando y LOCHER Marta Isabel</t>
  </si>
  <si>
    <t>vivienda unifamiliar a construir, dos dormitorios, uno en suite con baño, baño, cocina comedor estar, cochera semicubierta, acceso semicubierto, galería semicubierta posterior con parrilla</t>
  </si>
  <si>
    <t>baldío, 08/04/22</t>
  </si>
  <si>
    <t>Salsipuedes s/Nº</t>
  </si>
  <si>
    <t>CAIRE Samir Exequiel</t>
  </si>
  <si>
    <t>KRENZ Juan Javier</t>
  </si>
  <si>
    <t xml:space="preserve">local comercial en PB a cosntruir, depto en PA de dos dormitorios, cocina comedor, baño, cochera descubierta, </t>
  </si>
  <si>
    <t>baldío, 2/04/22</t>
  </si>
  <si>
    <t>GARCIA MARZZIOTTI Nadia Anabella y Annelise Melina</t>
  </si>
  <si>
    <t>relevamiento de galpòn depòsito / local comercial, Bajo Ord 27/10, art 1, punto 2, inc 2 y 3, Infraccion art 5, 27, 37, 130, 181, 182, 202, 232 del CE</t>
  </si>
  <si>
    <t>Bvard Ferrari N° esq. Herández</t>
  </si>
  <si>
    <t>DOLAZ Miguel Angel</t>
  </si>
  <si>
    <t>vivienda unifamiliar con antecedente, local comercial a relevar (lavadero de autos WASHME 2), BAJO ORD 27/10, art 1, punto 2, inc 2 y 3, Infraccion Ord 62/13, art 12, Infraccion art 5, 27, 37, 130, 141, 178, 1479, 202, 223, 233 del CE</t>
  </si>
  <si>
    <t>Calle Tala s/Nº</t>
  </si>
  <si>
    <t>FERREYRA Sergio Enrique y OTERO Alejandra E</t>
  </si>
  <si>
    <t>Vivieida unifamiliar</t>
  </si>
  <si>
    <t>relevamiento de vivienda unifamiliar, dos dormitorios, baño, cocina, comedor, depòsito, living y hall de acceso, y quincho tipo monoambiente con baño, depòsito, BAJO ORD 27/10, art 1, punto 2, inc 2 - BAJO ORD 58/21</t>
  </si>
  <si>
    <t>BERON Eduardo Horacio</t>
  </si>
  <si>
    <t>dos unidades de vivienda a construir, dos dormitorios, baño, cocina comedor estar, lavadero semicubierto, cochera descubierta, BAJO ORD 27/10, art 1, punto 1, inc 9, Infracciòn art 5, 27, 37 del CE</t>
  </si>
  <si>
    <t>inspecciòn 26/04/22, fundaciones</t>
  </si>
  <si>
    <t>3 de Febrero N° 469</t>
  </si>
  <si>
    <t>VILLANOVA Orlando E. R.</t>
  </si>
  <si>
    <t>MORARD Manuel E</t>
  </si>
  <si>
    <t>C 757</t>
  </si>
  <si>
    <t>local comercial a construir, salon y baño con office</t>
  </si>
  <si>
    <t>6/6/22, baldío</t>
  </si>
  <si>
    <t>MAIL, 540856</t>
  </si>
  <si>
    <t>Superior Gobierna de la Provincia de Entre Ríos</t>
  </si>
  <si>
    <t>FLECHABUS S.A.</t>
  </si>
  <si>
    <t>Galpones - EMC</t>
  </si>
  <si>
    <t>relevamiento de ampliaciones realizadas, tiene plano antecedente visado, 2012, INFRACCION ART 5, 27, 37, 179, 200, 202, 226, 227, 232, 246, 26, 261, 262 DEL CE</t>
  </si>
  <si>
    <t>DERUDDER Hnos. S.A.</t>
  </si>
  <si>
    <t>Dominchin s/Nº</t>
  </si>
  <si>
    <t>LOKER Cesar Adrián y BOUVET Mauricio Agustín</t>
  </si>
  <si>
    <t>relevamiento galpòn, Local comercial, con baño y pequeño deposito anexo, BAJO ORD 27/10, art 1, punto 2, inc 2, Infraccion art 5, 27, 37, 144, 151, 179, 200, 202, 214, 232, 260, 262, del CE</t>
  </si>
  <si>
    <t>mail, 540539</t>
  </si>
  <si>
    <t>Río Iguazú N°</t>
  </si>
  <si>
    <t>GUIFFREY Carina Maria</t>
  </si>
  <si>
    <t>BOURLOT Silvana</t>
  </si>
  <si>
    <t>SOTO Lorena Paola</t>
  </si>
  <si>
    <t>relevamiento de dos unidades de vivienda, cada una de un dormitorio, baño, cocina comedor, cocheras semicubiertas, BAJO ORD 27/10, art 1, punto 2, inc 2 y 3, infraccion art 5, 27, 37, 144, 151, 178, 201, 202, 232 del CE, Infraccion Ord 62/13, art 28, Ord 05/11</t>
  </si>
  <si>
    <t>mail, 543086</t>
  </si>
  <si>
    <t>Balcarce N° 413</t>
  </si>
  <si>
    <t>GOMEZ de BARBERIS Ramona H.</t>
  </si>
  <si>
    <t>SALDAÑA Guadalupe</t>
  </si>
  <si>
    <t>relevamiento de tres monoambientes al frente con cocina compartida (hostal) y una vivienda unifamiliar al fondo de  cuatro dormitorios, baño, cocina comedor, dos depositos, patio elevado descubierto cementicio, cocheras o galería semicubierta al frente de la casa, BAJO ORD 27/10, art 1, punto 2, inc 2 y 3, Infraccion ORd 62/13, art 12, infraccion Ord 53/07, Infraccion art 5, 27, 37, 144, 176, 178, 179, 201, 202, 214, 247 del CE</t>
  </si>
  <si>
    <t>mail, 543126</t>
  </si>
  <si>
    <t>Rocamora N° 1077</t>
  </si>
  <si>
    <t>MASCO María Ines</t>
  </si>
  <si>
    <t>relevamiento de cocheras semicubiertas, BAJO ORD 27/10, art 1, punto 2, inc 2, Infraccion art 5, 27, 37, 144, 151, 202 del CE</t>
  </si>
  <si>
    <t>mail, 543169</t>
  </si>
  <si>
    <t>Noailles Nº 469</t>
  </si>
  <si>
    <t>BEBER Celia Beatriz</t>
  </si>
  <si>
    <t>ACUÑA Raùl Enrique</t>
  </si>
  <si>
    <t>relevamiento de vivienda unifamiliar, un dormitorio, baño completo compartimentado, oficina al frente, cocina comedor desayunador, estar, galeria semicubierta aol fondo, en PA un dormitorio, al fondo semicubierto cochera y deposito cubierto, BAJO ORD 27/10, art 1, punto 2, inc 2, Infraccion art 5, 27, 37, 151, 176, 179, 202 del CE</t>
  </si>
  <si>
    <t>Las Piedras s/Nº</t>
  </si>
  <si>
    <t>ALCOBA, Marcelo</t>
  </si>
  <si>
    <t>vivienda unifamiliar a ampliar por PRO.CRE.AR, agrega tres dormitorios y baño compartimentado en PA, en PB ya tiene declarado dos dormitorios uno en suite con baño completo, baño, toilete, cocina desayunador, comedor estar, cochera semicubierta lateral con parrilla y sector de lavadero, semicubierto al frente, BAJO ORD 27/10,art 1, punto 2, inc 2, Infraccion art 5, 27, 37, 202, del CE</t>
  </si>
  <si>
    <t>inspección 24/2/22, mamposteria en PA</t>
  </si>
  <si>
    <t>MAIL, 543079</t>
  </si>
  <si>
    <t>J.M. de Rosas s/N° y L. F. Leloir S/N°</t>
  </si>
  <si>
    <t>CHALE Luís Angel y KARPOFF María Victoria</t>
  </si>
  <si>
    <t>relevamiento de cinco unidades de vivienda, una de dos dormitorios, cocina, comedor estar, baño, depósito, toilete, galeria perimetral con parilla y deposito y cochera, en PA un estudio, dormitorio, baño, terraza y balcon, otra de un dormitorio, baño, cocina comedor, cochera semicubierta, las tres restantes son monoambientes, piscina, cocheras semicubiertas y depositos sueltos, BAJO ORD 58/21, Bajo Ord 27/10, art 1, inc 2m sub inc 2, Infraccion art 5, 27, 37, 178, del CE</t>
  </si>
  <si>
    <t>Los Lapachos s/Nº - Los Bretes</t>
  </si>
  <si>
    <t>CARABETTA Leonardo Anselmo</t>
  </si>
  <si>
    <t>vivienda unifamiliar a construir, tres dormitorios, uno en suite con baño compartimentado y vestidor, estar comedor cocina desayunador, despensa, lavadero, baño de servicio, piscina, cocheras semicubierta al frente</t>
  </si>
  <si>
    <t>L. N. Alem N° 93</t>
  </si>
  <si>
    <t>SAFFORES Julio y Lidia</t>
  </si>
  <si>
    <t>modificaciones y ampliaciones en vivienda antigua existente (1935), de una vivienda se saca un local comercial en la esquina - A COMISION de PATRIMONIO HCD, BAJO ORD 27/10, art 1, punto 2, inc 2, Infraccion art 5, 27, 37, 130, 179 del CE</t>
  </si>
  <si>
    <t>inspección 15/10/21, no iniciada</t>
  </si>
  <si>
    <t>MAIL, 543270</t>
  </si>
  <si>
    <t>Chacabuco Nº 1173</t>
  </si>
  <si>
    <t>ARAUJO Raquel Edith</t>
  </si>
  <si>
    <t>relevamiento de vivienda unifamiliar y depósito y departamento, vivienda dos dormitorios, baño, cocina comedor estar, deposito grande cubierto con baño, departamento en PB cocina comedor y baño, en PA dormitorio, BAJO ORD 58/21, Bajo ord 27/10, art 1, punto 2, inc 2, Infraccion Ord 56/07, art 3, II, 1, Ord 53/07, Infraccion art 5, 27, 37, 179, 223, 233 del CE</t>
  </si>
  <si>
    <t>mail, 543218</t>
  </si>
  <si>
    <t>Reibel N° 883</t>
  </si>
  <si>
    <t>CASTAÑARES Victor Jorge</t>
  </si>
  <si>
    <t>ELIZALDE Agustina</t>
  </si>
  <si>
    <t>relevamiento de galpón, depósito, con dos baños en PB y Vivienda, en PB acceso cocina y baño, en PA dormitorios, BAJO ORD 27/10, art 1, punto 2, inc 2 y 3, Infraccion 5, 27, 37, 144, 151, 176, 179, 181, 182, 201, 202, 226, 232 del CE, Infraccion Ord 56/07, art 3, II, 1; Ord 62/13, art 24</t>
  </si>
  <si>
    <t>Moreno Nº 780</t>
  </si>
  <si>
    <t>GABIOUD Vilma Elizabeth y otro</t>
  </si>
  <si>
    <t>GODOY Raúl</t>
  </si>
  <si>
    <t>Estacionamiento</t>
  </si>
  <si>
    <t>estacionamientos a construir, para uso particular no alquiler</t>
  </si>
  <si>
    <t>Gral. Artigas N° 121</t>
  </si>
  <si>
    <t>BRUN Valeria Jorgelina</t>
  </si>
  <si>
    <t>GUIFFRE Ana Delia</t>
  </si>
  <si>
    <t>relevamiento de viviendas unifamiliares, dos unidades de dos dormitorios cada una, baño, cocina comedor, local al frente con sanitario denominado en plano como deposito, BAJO ORD 27/10, art 1, punto 2, inc 2, Infraccion art 5, 27, 37, 144, 151, 176, 179, 202, y 232 del CE</t>
  </si>
  <si>
    <t>MAIL, 543500</t>
  </si>
  <si>
    <t>ESPIGA VILLAUD Joaquin Jesús Giovanni</t>
  </si>
  <si>
    <t>MARCHAND Uriel</t>
  </si>
  <si>
    <t>Vivienda unifamiliar a construir, tres dormitorios, uno en duite con baño y vestidor, los otros dos con el baño compartido, compartimentado, hall de acceso, estar, cocina comedor desayunador, galeria con parrilla, cochera doble descubierta</t>
  </si>
  <si>
    <t>30/6/22, baldío</t>
  </si>
  <si>
    <t>mail, 543475</t>
  </si>
  <si>
    <t xml:space="preserve">Alberdi s/N° </t>
  </si>
  <si>
    <t>LEONEL TORRES Matias</t>
  </si>
  <si>
    <t>local comercial a construir</t>
  </si>
  <si>
    <t>30/6/2022, no comenzada</t>
  </si>
  <si>
    <t>VERON Vanina Daiana y BAIGORRIA Alberto Agustin</t>
  </si>
  <si>
    <t>vivienda unifamiliar a construir, tres dormitorios, uno en suite con baño compartimentado, baño, toilete, cocina comedor estar, acceso semicubierto, galeria posterior semicubierta con parrilla y mesada, cochera semicubierta para dos vehiculos, piscina</t>
  </si>
  <si>
    <t>3/6/22, baldío</t>
  </si>
  <si>
    <t>mail, 543474</t>
  </si>
  <si>
    <t>BOUVET Ricardo Felipe</t>
  </si>
  <si>
    <t>relevamiento de dos unidades de vivienda apareadas, cada una con dos dormitorios, baño, cocina comedor, cochera semicubierta, BAJO ORD 27/10, art 1, punto 2, inc 2 y 3, Infraccion art 5, 27, 37, 176, 179 de CE, Ord 53/07, Ord 62/03, art 30</t>
  </si>
  <si>
    <t>Bvard Gaillard N° 732, 734</t>
  </si>
  <si>
    <t>ARRUA Marcelo Alejandro</t>
  </si>
  <si>
    <t>relevamiento de tres unidades de vivienda, cada una con un dormitorio, baño, cocina comedor, local comercial con baño y office al frente, BAJO ORD 27/10, art 1, punto 2, inc 2 y 3, Infraccion Ord 56/07, art 3, inc II, sub inc 1; Ord 53/07, Ord 62/13, art 24, Ord 29/10, art 1, CE art 5, 27, 37, 144, 151, 176, 178, 179, 181, 182, 201, 202, 223, 226, 232, 233, 247 del CE</t>
  </si>
  <si>
    <t>Pte. Perón esq- Combatientes de Malvinas</t>
  </si>
  <si>
    <t>FORISSI María Julieta e Hijos (RAMOND Eduarso, Bárbara, Bruno, Emiliano e Iván)</t>
  </si>
  <si>
    <t>MEDAIL Sergio A. - cambio a MARIN Jorge Fabricio</t>
  </si>
  <si>
    <t>Oficina</t>
  </si>
  <si>
    <t>relevamiento de pequeño local destinado a oficina, con baño, BAJO ORD 27/10, art 1, punto 2, inc 2, Infraccion art 5, 27, 37, 144, 151, 202, 214, 223, 230, 233, 236 del CE</t>
  </si>
  <si>
    <t>LOPEZ Pablo y Santiago</t>
  </si>
  <si>
    <t>vivienda a construir al frente, de dos dormitorios, baño, cocina comedor, cochera descubierta, vivienda existente al fondo a relevar, un dormitorio, baño, cocicna comedor estatr amplios tipo quincho, BAJO ORD 27/10, art 1, punto 2, inc 2, Infraccion art 5, 27, 37, del CE</t>
  </si>
  <si>
    <t>27/5/22, baldío</t>
  </si>
  <si>
    <t>Sourigues N° 389, 395, 397 esq. Rocamora</t>
  </si>
  <si>
    <t>DEL VIGO Jennifer Alejandra y Brisa</t>
  </si>
  <si>
    <t>relevamiento local comercial y vivienda, vivienda unifamiliar existente, piscina, BAJO ORD 27/10, art 1, punto 2, y 3, Infraccion art 5, 27, 37, 130, 151, 179 del CE, Infraccion Ord 62/13, art 12</t>
  </si>
  <si>
    <t>Presbitero Cot N° 410</t>
  </si>
  <si>
    <t>SAFFORES Adriana Mabel</t>
  </si>
  <si>
    <t>BIDAL Francisco Arnoldo</t>
  </si>
  <si>
    <t>ING. en Const</t>
  </si>
  <si>
    <t>relevamieto de ampliación en vivienda unifamiliar que puede ser utilizado como depto independiente ne PA con un dormitorio, baño, cocina comedor, en PB vivienda existente de tres dormitorios, baño, comedor, estar, se releva cocina y lavadero cubierto con sanitario, BAJO ORD 27/10, art 1, punto 2, y 3, Infraccion art 5, 27, 37, 144, 151, 176, 178, 181, 182, 201, 202, 214, 226, 232 del CE</t>
  </si>
  <si>
    <t>Bvard Gonzalez N° 220</t>
  </si>
  <si>
    <t>VELAZCO Jorge Raúl y BESSON María Elena</t>
  </si>
  <si>
    <t>relevamiento de vivienda unifamiliar, dos dormitorios, baño, cocina comedor, estar hall de acceso, deposito familiar, galería posterior semicubierta con toilete, cochera semicubierta al frente, BAJO ORD 58/21, ORD 27/10, art 1, punto 2, inc 2, Infraccion art 5, 27, 37, 176, 179, 223, 233 del CE, Infraccion Ord 56/07, art 4</t>
  </si>
  <si>
    <t>Avda Urquiza N° 156</t>
  </si>
  <si>
    <t>ZUNINO, Hugo Walter</t>
  </si>
  <si>
    <t>relevamiento de modificaciones en local comercial destinado a restaurante parrilla, Bajo Ord 27/10, art 1, punto 2, inc 2, Infraccion art 5, 27, 37, 130, 176, 179, 202, 223, 227, 230, 232, 233, 236 del CE, Ord 56/07, art 3, inc 1</t>
  </si>
  <si>
    <t>TERCEIRO Oscar</t>
  </si>
  <si>
    <t>viviendas a construir, cuatro unidades, dos dormitorios, baño, cocina comedor, parrilla, cocheras descubiertas al frente del lote</t>
  </si>
  <si>
    <t>15/06/22, baldío</t>
  </si>
  <si>
    <t>Creppy N° 89 esq San Martín</t>
  </si>
  <si>
    <t>BECKER Lorena Alejandra</t>
  </si>
  <si>
    <t>MARVIN´S S.R.L.</t>
  </si>
  <si>
    <t>relevamiento de galpón / depósito, dos grupos sanitarios, oficinas y salón, BAJO ORD 27/10, art 1, punto 2, inc 2, Infraccion art 5, 27, 37, 179, 181, 182, 202, 223, del CE, Ord 62/13, art 24</t>
  </si>
  <si>
    <t xml:space="preserve">      </t>
  </si>
  <si>
    <t>mail, 543832</t>
  </si>
  <si>
    <t>Ampliación Actividad Turística Sur</t>
  </si>
  <si>
    <t>FORCLAZ Juan Cristian</t>
  </si>
  <si>
    <t>LEONARDI Jerónimo y GOMEZ WICKY Diamela</t>
  </si>
  <si>
    <t>conforme a obra, vivienda unifamiliar</t>
  </si>
  <si>
    <t>12 de Abril N° 300</t>
  </si>
  <si>
    <t>UCHA Juan Manuel</t>
  </si>
  <si>
    <t>IRIBARREN Norberto Germán</t>
  </si>
  <si>
    <t>Farmacia</t>
  </si>
  <si>
    <t>relevamiento de modificaciones realizadas en la Farmacia Pintos, BAJO ORD 27/10, art 1, punto 2, inc 2 , Infraccion Ord 56/07, art 3, inc 1, CE art 5, 27, 37, 176, 179, 223, 227, 233</t>
  </si>
  <si>
    <t>Presbitero Berin N° 229</t>
  </si>
  <si>
    <t>NEIFF Silvia Marcela y MARSICO Juan Antonio</t>
  </si>
  <si>
    <t>JACQUET Ariel Norberto</t>
  </si>
  <si>
    <t>relevamiento de vivienda unifamiliar con dos dormitorios, baño, cocina comedor, quincho cubierto, lavadero y baño de servicio, parrilla semicubierta, espacio de cochera al frente semicubierta, BAJO ORD 27/10, art 1, punto 2, inc 2 y 3, Infraccion Ord 62/13, art 24, CE art 5, 27, 37, 151, 176, 179, 202, 223, 232, 233, 247.</t>
  </si>
  <si>
    <t>mail, 543836</t>
  </si>
  <si>
    <t>Mitre Nº 775</t>
  </si>
  <si>
    <t>GUERRERO Carlos Anibal</t>
  </si>
  <si>
    <t>relevamiento de una vivienda al fondo del lote, con dos dormitorios, baño, cocina comedor, existente al frente dos depsto en PB, uno con dos dormitorios, baño cocina comedor, y cochera semicubierta al frente, otro con un dormitorio baño y cocina comedor, otro en PA de un dormitorio, baño y cocina comedor</t>
  </si>
  <si>
    <t>Calle Pùblica s/Nº</t>
  </si>
  <si>
    <t>AMARILLO Martìn Alberto y CALLERO Patricia Cecilia</t>
  </si>
  <si>
    <t>C - 895</t>
  </si>
  <si>
    <t xml:space="preserve">vivienda unifamiliar na construir, dos dormitorios, cocina comedor estar, baño, BAJO ORD 27/10, art 1, punto 1, inc 9, Infraccion CE art 5, 27, 37, 144, 151, 194 - SE OTORGO PERMISO PROVISORIO; Inicio obra sin permiso, parrilla, piscina, </t>
  </si>
  <si>
    <t>Piamonte N° 227, 229</t>
  </si>
  <si>
    <t>MOREL Ronaldo Alberto y otra</t>
  </si>
  <si>
    <t>relevamieto de departamentos, dos de un dormitorio, baño y cocina comedor uno de ellos ademas con estar, el otro en PA cocina comedor, dos dormitorios, baño y balcon, BAJO ORD 27/10, art 1, punto 2, inc 2 y 3, Infraccion Ord 62/13, art 28, Ord 53/07, CE art 5, 27, 37, 144, 151, 179, 181 ,182, 202, 223, 226, 232, 233 del CE</t>
  </si>
  <si>
    <t>mail, 543873</t>
  </si>
  <si>
    <t>J. Artalaz s/N°</t>
  </si>
  <si>
    <t>CRESPO Cecilia</t>
  </si>
  <si>
    <t>VOMMARO Alexis Gabriel</t>
  </si>
  <si>
    <t>Vviienda multifamiliar</t>
  </si>
  <si>
    <t>dos unidades de vivienda a construir, cada una con dos dormitorios, baño, cocina comedor, cocheras descubiertas</t>
  </si>
  <si>
    <t>19/7/2022, baldío</t>
  </si>
  <si>
    <t>Norte</t>
  </si>
  <si>
    <t>Batalla de Cepeda N° 319</t>
  </si>
  <si>
    <t>BARRIOS Fabiana Marina</t>
  </si>
  <si>
    <t>DE LA FUENTE Natalia</t>
  </si>
  <si>
    <t>relevamiento de dos unidades de vivienda, una de tres dormitorios, uno en suite con baño privado, estudio, baño, cocina comedor estar, cochera doble semicubierta al frente, otra al fondo en 1°p cocina comedor y baño, en entrepiso dormitorio, en PB un semicubierto, BAJO ORD 27/10, art 1, punto 2, inc 2 y 3, Infraccion Ord 62/13, art 12, Ord 53/07, art 3, Ord 56/07, art 3, Inc 1, sub inc a, Inc 2, sub inc 1, Infraccion art 5, 27, 37, 144, 176, 178, 179, 181, 182, 202, 210, 226 del CE</t>
  </si>
  <si>
    <t>Piamonte N° esq Tratado del Pilar</t>
  </si>
  <si>
    <t>VERON Mario César (suc)</t>
  </si>
  <si>
    <t>VERON María Paula</t>
  </si>
  <si>
    <t>vivienda unifamiliar a construir, dos dormitorios, baño, cocina coedor estar, quincho cochera con baño y depósito, sistema de construcción placas de yeso</t>
  </si>
  <si>
    <t>23/5/22, baldío</t>
  </si>
  <si>
    <t>Primera Junta y Bolívar</t>
  </si>
  <si>
    <t>PREMAT Gloria Isabel</t>
  </si>
  <si>
    <t>demolición de vivienda unifamiliar (ex asilo) para la ejecución de la segunda etapa de edificio de deptos</t>
  </si>
  <si>
    <t>Combatientes de Malvinas N° 181</t>
  </si>
  <si>
    <t>ERRAMUSPE Nora Beatríz y CASAS Walter Alberto</t>
  </si>
  <si>
    <t>relevamiento de ampliaciones en viviendas multifamiliares, BAJO ORD 27/10, art 1, punto 2, inc 2 y 3, Infraccion Ord 62/13, art 12, Ord 53/07, art 3, Infraccion art 5, 27, 37, 176, 178, 179, 182, 202, 226, 232 del CE</t>
  </si>
  <si>
    <t>ORELLANA Hugo</t>
  </si>
  <si>
    <t>vivienda unifamiliar existente con planos, a declarar modificaciones y a ampliar en planta alta, dos dormitorios existentes que se unifican y se convierte en estar, el estar se convierte en comedor y la cocina queda sólo como cocina, baño existente, tres dormitorios a construir en planta superior uno en suite con baño compartimentado, balcon al frente, otros dos atras, baño, BAJO ORD 27/10, art 1, punto 2, inc 2, Infraccion art 5, 27, 37, del CE</t>
  </si>
  <si>
    <t xml:space="preserve">A. Peyret N° </t>
  </si>
  <si>
    <t>GIOVANELLI Eduardo A y MAZZIOTTI Maria Rosa</t>
  </si>
  <si>
    <t>relevamiento de amplaiciones y reformas en local comercial (restaurante "La Cantina") y viviendas, BAJO ORD 27/10, art 1, punto 2, inc 1, 2 y 3, Infraccion art 5, 27, 37, 176, 178, 179, 182, 202, 223, 230, 232, 233 del CE, Infraccion Ord 53/07, art 3, ORd 62/13, art 19</t>
  </si>
  <si>
    <t>Craviotto N°</t>
  </si>
  <si>
    <t>BLANK GACITUA Ester del Carmen</t>
  </si>
  <si>
    <t>vivienda unifamiliar en construcción, dos dormitorios, estar cocina comedor, baño, cochera semicubierta, BAJO ORD 27/10, art 1, punto 2, inc 2, Infraccion art 5, 27, 37 del CE, se adjunta trámite previo Desistido</t>
  </si>
  <si>
    <t>mampostería altura de encadenado superior</t>
  </si>
  <si>
    <t>E. Gouchón N° 777</t>
  </si>
  <si>
    <t>BONATO Juan Jose</t>
  </si>
  <si>
    <t>vivienda unifamiliar existente al frente del lote - Vivienda unifamiliar a relevar al fondo del lote, en PB dormitorio ppal, baño, cocina comedor estar, en PA, baño, dormitorio y balcon terraza al frente - PLANO CONFORME- BJAO ORD 27/10, art 1, punto 2, inc 2, infraccion 5, 27, 37, 144, 151, 179, 202, 232, del CE, Infraccion ORd 56/08, art 4, Ord 53/07, art 3, inc 2, sub inc 1</t>
  </si>
  <si>
    <t>mail, 544046</t>
  </si>
  <si>
    <t>Angel Elias esq Calle Pública s/N°</t>
  </si>
  <si>
    <t>VICENTI Yesica Paola</t>
  </si>
  <si>
    <t>RUIZ DIAZ Javier Marcelo</t>
  </si>
  <si>
    <t>vivienda unifamiliar a construir, tres dormitorios, baño completo, cocina comedor estar, galeria semicubierta lateral cochera, BAJO ORD 27/10, art 1, punto 2, inc 9, Infraccion art 5, 27, 37 del CE</t>
  </si>
  <si>
    <t>29/07/22, en pintura</t>
  </si>
  <si>
    <t>mail, 544021</t>
  </si>
  <si>
    <t>RAMIREZ Gerónimo</t>
  </si>
  <si>
    <t>TRABICHET Romina</t>
  </si>
  <si>
    <t>relevamiento de una vivienda unifamiliar, tipo cabaña, un dormitorio, cocina comedor estar, baño, acceso semicubierto, BAJO ORD 27/10, art 1, punto 2, inc 2, Infraccion art 5, 27, 37, 144, 151, 176, 178, 179, 181, 182, 202, 214, 223, 233 del CE</t>
  </si>
  <si>
    <t>5554 y 5555</t>
  </si>
  <si>
    <t>Avda. Pte. Perón N° 77</t>
  </si>
  <si>
    <t>Nemesia S. de MAquiavelo</t>
  </si>
  <si>
    <t>CENTRO EMPLEADOS de COMERCIO</t>
  </si>
  <si>
    <t>CARTEL</t>
  </si>
  <si>
    <t>cartel publicitario a construir</t>
  </si>
  <si>
    <t>Sarmiento N° 688</t>
  </si>
  <si>
    <t>MARZIANO Maria Belén y Juan Crruz</t>
  </si>
  <si>
    <t>relevamiento de tres departamentos, cada uno con un dormitorio, baño cocina comedor, cochera semicubierta al frente sobre retiro y parte en la vereda, BAJO ORD 27/10, art 1, punto 2, inc 1, 2 y 3, Infraccion art 5, 27, 37, …</t>
  </si>
  <si>
    <t>Combatientes de Malvinas N° 612</t>
  </si>
  <si>
    <t>DUARTE Cesar Ignacio</t>
  </si>
  <si>
    <t>ARRISCAL José Luís</t>
  </si>
  <si>
    <t>vivienda unifamiliar a construir, dos dormitorios, baño, cocina comedor, cochera descubierta lateral, BAJO ORD 27/10, art 1, punto 1, inc 9, Infracción art 5, 27, 37 del CE</t>
  </si>
  <si>
    <t>Ampliación Actividad Turístiica Norte</t>
  </si>
  <si>
    <t>Calle Azurduy N°</t>
  </si>
  <si>
    <t>ZARATE Pablo F y PORTILLO Nancy C</t>
  </si>
  <si>
    <t>vivienda a construir, dos dormitorios a construir, baño, cocina comedor estar, deposito, cochera semicubierta con parrilla</t>
  </si>
  <si>
    <t>5/8/2022, baldío</t>
  </si>
  <si>
    <t>mail, 544277</t>
  </si>
  <si>
    <t>Rocamora N° 1050</t>
  </si>
  <si>
    <t>BONATO Matías Joel</t>
  </si>
  <si>
    <t>DA SILVA Brian</t>
  </si>
  <si>
    <t>relevamiento de dos locales comerciales a terminar, presenta algiunas diferencias (pareciera que en un local van a armar una cochera) BAJO ORD 27/10, art 1, punto 2, inc 2 y 3, Infraccion Ord 62/13, art 26, Infraccion art 5, 27, 37, 166, 226 del CE</t>
  </si>
  <si>
    <t>CHISSONE Jose Luciano y CASSE María</t>
  </si>
  <si>
    <t>SACK Gustavo J</t>
  </si>
  <si>
    <t>Vivienda unifamilar</t>
  </si>
  <si>
    <t>vivienda unifamiliar a construir, tres dormitorios uno con vestidor, baño, lavadero, patio interno, cocina comedor estar, cochera semicubierta con parrilla y toilete</t>
  </si>
  <si>
    <t>6/7/22, movimiento de suelos</t>
  </si>
  <si>
    <t>DEL RIO Claudio Javier y FARIAS Rosana V</t>
  </si>
  <si>
    <t>CRETTON Manuela E</t>
  </si>
  <si>
    <t>BURGOS Alfredo</t>
  </si>
  <si>
    <t>vivienda uinifamiliar a consrtuir, en PA tres dormitorios, uno en suite con vestidor y baño compartimentado, baño compartimentado con bachas separadas, espacio paso ancho tipo estar intimo, doblre altura s/estar, PB hall de acceso cubierto, atelier, baño toilete, lavadero despensa, cocina cdesayunador comedor estat, galeria semicubierta con parrilla y mesada con bacha tipo isla, cpochera doble semicubierta</t>
  </si>
  <si>
    <t>Lugones N° 226</t>
  </si>
  <si>
    <t>MARENZI Germán Esteban</t>
  </si>
  <si>
    <t>ACUÑA Ra{ul Enrique</t>
  </si>
  <si>
    <t>VIOLLAZ Jose Alberto</t>
  </si>
  <si>
    <t xml:space="preserve">vivienda unifamiliar a construir, PB cota +8,35m, sólo cochera, en PA vivienda cuatro dormitorios, uno en suite con baño, baño compartimentado, patio interno, lavadero con patio interno, cocina comedor estar, balcon de acceso  </t>
  </si>
  <si>
    <t>21/7/22, baldío</t>
  </si>
  <si>
    <t>mail, 544388</t>
  </si>
  <si>
    <t>Núcleo Urbano Amplado</t>
  </si>
  <si>
    <t>Calle pública s/N°</t>
  </si>
  <si>
    <t>BENITEZ Marcos Pablo Jesús y otra</t>
  </si>
  <si>
    <t>VIOLLAZ José Alberto</t>
  </si>
  <si>
    <t>vivienda unifamiliar a construir, PRO.CRE.AR., dos dormitorios, cocina comedor, baño, deposito, cochera sdecubierta, Bajo Ord 27/10, art 1, punto 1, inc 9, Infraccion art 5, 27, 37 delCE</t>
  </si>
  <si>
    <t>11/8/22, mampostería a media altura</t>
  </si>
  <si>
    <t>CACOSSO Andrea Verónica</t>
  </si>
  <si>
    <t>relevamiento vivienda unifamiliar, un dormitorio y baño en PA, cocina comedor y galerìa smeicubierta lateral en PB, BAJO ORD 27/10, art 1, punto 2, inc 2, Infraccion art 5, 27, 37, 144, 151, 178, 201, 202, 236 del CE</t>
  </si>
  <si>
    <t>inspección 13/04/22</t>
  </si>
  <si>
    <t>16 - UF 01</t>
  </si>
  <si>
    <t>12 de Abril N° 268, 270</t>
  </si>
  <si>
    <t>VILLALBA Teresita Ramona</t>
  </si>
  <si>
    <t>132+116+27,3+120+32,8+1,03/2</t>
  </si>
  <si>
    <t>remodelación de local comercial y vivienda existente, pasa tod a ser local comercial, inclusive las plantas superiores, BAJO ORD 27/10, art 1, punto 2, inc 2; punto 1, inc 9, Infraccion Ord 62/13, art 26, Infraccion art 5, 27, 37, 176, 179, 181, 182, 202 del CE</t>
  </si>
  <si>
    <t>16 - UF 02</t>
  </si>
  <si>
    <t>ESCHER Alfredo Fernando</t>
  </si>
  <si>
    <t>mail, 544483</t>
  </si>
  <si>
    <t>LOPEZ Marcelo Fabian</t>
  </si>
  <si>
    <t>relevamiento de ampliación realizada en vivienda unifamiliar con antecedentes, BAJO ORD 27/10, art 1, punto 2, inc 2, Infracción art 5, 27, 37 del CE</t>
  </si>
  <si>
    <t>San Martìn Nº 1210</t>
  </si>
  <si>
    <t>LESCANO Carlos Marìa</t>
  </si>
  <si>
    <t>BESSON Valeria</t>
  </si>
  <si>
    <t>galpon deposito y vivienda unifamiliar a cosnrtuir, 3 dormitorios, cocina comedor, baño, estar, quincho con parrilla, cochera semicubierta, dos locales a construir eb PB y ampliacion en PA con unn monoambiente, BAJO ORD 27/10, art 1, punto 1, inc 9, puntoi 2, inc 2, Infraccion art 5, 27, 37 ,</t>
  </si>
  <si>
    <t>8/9/22, Encadenado superior</t>
  </si>
  <si>
    <t>SUTO KATO Veronica Andrea y SERVIDIO Leandro Nicolas</t>
  </si>
  <si>
    <t>MASBEL S.R.L.</t>
  </si>
  <si>
    <t>vivienda unifamiliar a construir, cuatro dormitorios, uno con escritorio, baño compartimentado, todos los demas con baño privado y vestidor, escritorio con baño privado, terrazas, acceso hall cubierto con escalera ppal, comedor estar ppal cocina desayunador, baño de servicio, estar separado para TV, cochera cubierta para al menos dos autos, lavadero cubierto, dormitorio de servicio con baño privado, quincho cubierto con parrilla cocina y barra tipo desayunador, semicubierto fondo, piscina con solarium</t>
  </si>
  <si>
    <t>baldío, 04/05/22</t>
  </si>
  <si>
    <t>BOGADO Maria Elena</t>
  </si>
  <si>
    <t>vivienda unifamiliar a cosntruir, ciatro doermitorios, uno en suite con vestidor baño compartimentado, cocina desayunador, comedor estar, baño comparrtimentado, lavadero, toilete, cochera doble semicubierta al frente, galeria con parrilla al fondo</t>
  </si>
  <si>
    <t>Ruta Nac N° 135, km 11</t>
  </si>
  <si>
    <t>BOUVET Luís Roque</t>
  </si>
  <si>
    <t>GONDELL Pilar María</t>
  </si>
  <si>
    <t>Local Comercial + Vivienda unifamiliar</t>
  </si>
  <si>
    <t>relevamiento de vivienda unifamiliar adosada a local comercial y depósito, la vivienda tiene 3 dormitorios, cocina comedor , baño y cochera semicubierta, el local tiene depósito en PB y en PA sobre la vivienda, BAJO ORD 27/10, art 1, punto 2, inc 1, 2 y 3, Infraccion art 5, 27, 37, 176, 179, 181, 182, 202, 223, 230, 233 del CE, Infraccion Ord 53/07, Ord 62/13, art 30</t>
  </si>
  <si>
    <t>mail, 544444</t>
  </si>
  <si>
    <t>Avda Urquiza N° 199</t>
  </si>
  <si>
    <t>DOPAZO de RETAMAR Ana Lía Antonia</t>
  </si>
  <si>
    <t>relevamiento de local comercial en la esquina, tres viviendas de un dormitorio, baño y cocina comedor, otro depto de un solo dormitorio, baño y cocina comedor en PA sobre local, BAJO ORD 27/10, art 1, punto 2, inc 2 y 3, Infraccion art 5, 27, 37, del CE</t>
  </si>
  <si>
    <t>Dr. Raúl Alfonsín Nº</t>
  </si>
  <si>
    <t>BORDINO Luís</t>
  </si>
  <si>
    <t>cinco unidades de viviendas apareadas a cosntruir, PB cocina comedor estar, toilete, cochera semicubierta al frente, semicubierta lavadero parrilla al fondo tipo pergola, en PA dos dormitorios, baño y pequeño balcòn al frente</t>
  </si>
  <si>
    <t>13/5/22, baldío</t>
  </si>
  <si>
    <t xml:space="preserve">Avda. Urquiza N° </t>
  </si>
  <si>
    <t>MUDRY Ivan Celestino</t>
  </si>
  <si>
    <t>local comercial en PB existente, cuatro deptos a construir en 2 plantas superiores, cada uno un dormitorio, cocina comedor, lavadero, baño, balcon, cocheras descubiertas en PB 3 y una en el lote lindero</t>
  </si>
  <si>
    <t>Salta N° 391</t>
  </si>
  <si>
    <t>ESCALANTE Alvaro Ociel</t>
  </si>
  <si>
    <t>LIVIO Rodrigo</t>
  </si>
  <si>
    <t>relevamiento vivienda ,Bajo Ord 27/10, art 1, punto 2, inc 2, Infraccion art 5, 27, 37, 178, 179, 181, 182, 201, 202, 223, 226, 232, 233, 247 del C. de E., Infraccion Ord 53/07</t>
  </si>
  <si>
    <t>Pte Perón N°</t>
  </si>
  <si>
    <t>OGGIER Ruben Dario</t>
  </si>
  <si>
    <t>BERTOLDI Fabian Anibal</t>
  </si>
  <si>
    <t>LOPEZ Jorge Daniel</t>
  </si>
  <si>
    <t>vivienda unifamiliar existente a demoler, local comercial a construir, con la posibilidad de trasformarse en tres locales al subdividirse interiormente (ya prevee las instalaciones para 3)</t>
  </si>
  <si>
    <t>23/8/22, no comenzada</t>
  </si>
  <si>
    <t>mail, 544757</t>
  </si>
  <si>
    <t>Los Cardos esq Calle Pública</t>
  </si>
  <si>
    <t>CORSICHI Nelson Alejandro Natalio y TOLEDO Maria Graciela</t>
  </si>
  <si>
    <t>RODRIGUEZ José</t>
  </si>
  <si>
    <t>ING. Const</t>
  </si>
  <si>
    <t>vivienda unifamiliar a construir, dos dormitorios, baño, cocina comedor estar, cocheras descubierta, PRO.CRE.AR.</t>
  </si>
  <si>
    <t>24/8/22, baldio</t>
  </si>
  <si>
    <t>mail, 544862</t>
  </si>
  <si>
    <t>San Martín N° 286</t>
  </si>
  <si>
    <t>DEL REAL Estela Margarita</t>
  </si>
  <si>
    <t>LEONARDI Jerónimo</t>
  </si>
  <si>
    <t>relevamiento de vivienda unifamiliar de dos dormitorios, escritorio, cocina comedor. Estar, hall. Galeria semicubierta, dormitorio en PA sobre local comercial, quincho al fondo con deposito y parrilla, local comercial (tipo cochera) con toilete, BAJO ORD 27/10, art 1, punto 2, inc 2, Infraccion art 5, 27, 37, 179, , del CE, Infraccio Ord 29/10 , art 1</t>
  </si>
  <si>
    <t>mail, 544740</t>
  </si>
  <si>
    <t>San Martín N° 373</t>
  </si>
  <si>
    <t>MARTIN María Alfonsina</t>
  </si>
  <si>
    <t>relevamiento de vivienda unifamiliar de dos dormitorios, cocina comedor. Estar, hall. Galeria semicubierta, local comercial (tipo cochera), BAJO ORD 27/10, art 1, punto 2, inc 2, Infraccion art 5, 27, 37, 179, 223, 230, 233, del CE</t>
  </si>
  <si>
    <t>mail, 541083</t>
  </si>
  <si>
    <t>Lavalle N° 122</t>
  </si>
  <si>
    <t>edificio de deptos a construir, …........ unidades</t>
  </si>
  <si>
    <t>H. Vieytes N° 504</t>
  </si>
  <si>
    <t>ALARCON Ruben Alfredo</t>
  </si>
  <si>
    <t>relevamiento de vivienda unifamilair en PB de dos dormitorios, baño, cocina comedor, cochera, tres monoambientes en PA, BAJO ORD 27/10, art 1, punto 2, inc 2, Infraccion art 5, 27, 37, 130, 144, 151, 178, 179, 182, 202, 226, 232, 236 del CE, Ord 53/07, art 3, Ord 62/13, art 16</t>
  </si>
  <si>
    <t>A CONSTRUIR</t>
  </si>
  <si>
    <t>CASA 1</t>
  </si>
  <si>
    <t>MUNICIPALIDAD DE COLON</t>
  </si>
  <si>
    <t>CHINELLATO Damián Gabriel</t>
  </si>
  <si>
    <t>ING.CIVIL</t>
  </si>
  <si>
    <t>vivienda social, plan, dos dormitorios, baño, cocina comedor</t>
  </si>
  <si>
    <t>4/8/22, BALDIO</t>
  </si>
  <si>
    <t>CASA 4</t>
  </si>
  <si>
    <t>CASA 3</t>
  </si>
  <si>
    <t>CASA 2</t>
  </si>
  <si>
    <t>mail, 548511</t>
  </si>
  <si>
    <t>Hernández s/N°</t>
  </si>
  <si>
    <t>FERNANDEZ Marisa Isabel</t>
  </si>
  <si>
    <t>mail, 547461</t>
  </si>
  <si>
    <t>Reybel N° 248</t>
  </si>
  <si>
    <t>LIMA Gonzalo</t>
  </si>
  <si>
    <t>VOEFFRAY Nora</t>
  </si>
  <si>
    <t>relevamiento de vivienda unifamiliar, dos dormitorios, uno puesto como "guardarropas", baño, cocina, comedor, cochera separada cubierta, BAOJ ORD 27/10, art 1, punto 2, inc 2, Infraccoin art 5, 27, 37, ….. Del CE</t>
  </si>
  <si>
    <t>mail, 544791</t>
  </si>
  <si>
    <t>Alberdi N° ..</t>
  </si>
  <si>
    <t>ARELLANO Magali de Lourdes</t>
  </si>
  <si>
    <t>GUERRERO Paul</t>
  </si>
  <si>
    <t>relevamiento de garage y quincho, BAJO ORD 27/10, art 1, punto 2, inc 2, Infraccion art 5, 27, 37, 179, 247 del CE</t>
  </si>
  <si>
    <t>Lugones N° 13 esq 12 de Abril</t>
  </si>
  <si>
    <t>BLANCO Martín Edgardo</t>
  </si>
  <si>
    <t>MARQUEZ Omar Fabian</t>
  </si>
  <si>
    <t>reforma y ampliación de vivienda en PH, Bajo Ord 27/10, art 1, punto 2, inc 2, Infraccion art 5, 27, 37, 178, 179 del CE, Ord 37/03, art 1, Ord 29/10, art 1</t>
  </si>
  <si>
    <t>Rocamora N° 1121, 1125</t>
  </si>
  <si>
    <t>BIDAL Juan Martin</t>
  </si>
  <si>
    <t>relevamiento de galpón, depósito, Bajo Ord 27/10, art 1, punto 2, inc 2 y 3, Infraccion Ord 62/13, 26, Infraccion Art 5, 27, 37, 260, 264 del CE</t>
  </si>
  <si>
    <t>mail, 545089</t>
  </si>
  <si>
    <t xml:space="preserve">Juan Manuel de Rosas N° </t>
  </si>
  <si>
    <t>MALDONADO Rocio Maribel y ARAMBURU Luis Alberto</t>
  </si>
  <si>
    <t>GONZALEZ Jose Mario</t>
  </si>
  <si>
    <t>vivienda unifamiliar a construir, dos dormitorios, baño, cocina comedor, cochera descubierta</t>
  </si>
  <si>
    <t>6/9/2022, baldío</t>
  </si>
  <si>
    <t>Alberdi N° 720</t>
  </si>
  <si>
    <t>PINTOS Osvaldo José</t>
  </si>
  <si>
    <t>VERON David</t>
  </si>
  <si>
    <t>vivienda unifamiliar a construir, dos dormitorios, baño, cocina, comedor, cochera semicubierta, BAJO ORD 27/10, art 1, punto 2, inc 2, Infraccion art 5, 27, 37 del CE</t>
  </si>
  <si>
    <t>MAIL, 544999</t>
  </si>
  <si>
    <t>Rocamora N° 188</t>
  </si>
  <si>
    <t>VILLALBA Jaime</t>
  </si>
  <si>
    <t>vivienda unifamiliar existente, con dos dormitorios, un escritorio, baño, cocina comedor, semicubierto perimetral en parte cochera, en PB y en PA dos dormitorios mas; vivienda unifamiliar a construir, dos dormitorios, baño, cocina comedor, lavadero exterior</t>
  </si>
  <si>
    <t>1/9/22, obra no comenzada</t>
  </si>
  <si>
    <t>mail, 544666</t>
  </si>
  <si>
    <t>TABORDA Pablo</t>
  </si>
  <si>
    <t>SOLIS Carlos</t>
  </si>
  <si>
    <t>tres unidades de vivienda a construir, para alquiler, una de dos dormitorios, baño, cocina comedor y pequeño acceso semicubierto, las otras dos con un dormitorio, baño y cocina comedor, una de esas dos con un espacio tipo depósito (posible segundo dormitorio)</t>
  </si>
  <si>
    <t>18/8/22, no comenzada</t>
  </si>
  <si>
    <t>12 de Abril esq Lavalle N° 2, 8, 10, 12</t>
  </si>
  <si>
    <t>RENZI de SAINTE MARIE Susana Alicia y RENZI de PERNO Liliana Beatriz</t>
  </si>
  <si>
    <t>ING. en CONST.</t>
  </si>
  <si>
    <t>modificacion interna de un local comercial, se divide en tres locales, cada uno con su sanitario(nuevos), BAJO ORD 27/10, art 1, punto 1, inc 9, Infraccion art 5, 27, 37, 223, 233 del CE</t>
  </si>
  <si>
    <t>6/9/2022, obra comenzada</t>
  </si>
  <si>
    <t>mail, 545088</t>
  </si>
  <si>
    <t>12 de Abril N° 158, 162 (160)</t>
  </si>
  <si>
    <t>FERNANDEZ Isabel Estrella</t>
  </si>
  <si>
    <t>local comercial en PB a remodelar, varios se uniran para formar uno solo, en PA siguen estando los deptos oficinas, BAJO ORD 27/10, art 1, punto 2, inc 2 y 3, Infraccion art 5, 27, 37, 176, 179, 202, 223, 233 cdel CE, Ord 53/07, art 3, Ord 62/13, art 19</t>
  </si>
  <si>
    <t>6/9/22, trabajos no comenzados</t>
  </si>
  <si>
    <t>Cabo Pereyra N°</t>
  </si>
  <si>
    <t>BAPTISTA MARTINEZ Claudia Jaqueline</t>
  </si>
  <si>
    <t xml:space="preserve">ROSSIER Betiana </t>
  </si>
  <si>
    <t>galpón/local a construir</t>
  </si>
  <si>
    <t>23/8/22, baldio</t>
  </si>
  <si>
    <t>mail, 545051</t>
  </si>
  <si>
    <t>Santa Cruz N° 1015</t>
  </si>
  <si>
    <t>DEYMONNAZ María Fernanda</t>
  </si>
  <si>
    <t>SALDAÑA Maria Guadalupe, DA SILVA Brian</t>
  </si>
  <si>
    <t>Vivivenda unifamiliar</t>
  </si>
  <si>
    <t>vivienda unifamiliar a construir, PRO.CRE.AR., un dormitorio, baño, cocina comedor, cochera descubierta</t>
  </si>
  <si>
    <t>08/09/22, baldío</t>
  </si>
  <si>
    <t>Colón N° entre Nogoyá y ]Hugues (Colonia Hugues)</t>
  </si>
  <si>
    <t>YAÑEZ Ricardo Arsenio</t>
  </si>
  <si>
    <t>MORARD Manuel Arturo</t>
  </si>
  <si>
    <t>relevamiento de vivienda unifamiliar, dos dormitorios, baño, cocina, comedor, galería semicubierta, BAOJ ORD 27/10, art 1, punto 2, inc 2, Infraccoin art 5, 27, 37 del CE</t>
  </si>
  <si>
    <t>mail, 545151</t>
  </si>
  <si>
    <t>Sourigues N° 60</t>
  </si>
  <si>
    <t>GIMENEZ Maria Ana</t>
  </si>
  <si>
    <t>DERUDDER</t>
  </si>
  <si>
    <t>NOLASJO Joaquina</t>
  </si>
  <si>
    <t>Cochera</t>
  </si>
  <si>
    <t>cochera particular a construir, capacidad minimo 4 vehículos, BAJO ORD 27/10, art 1, punto 1, inc 9, infraccion art 5, 27, 37 del CE</t>
  </si>
  <si>
    <t>POLASTRI Gerardo Daniel</t>
  </si>
  <si>
    <t>Piscina</t>
  </si>
  <si>
    <t>vivienda unifamiliar construida con planos visados 26/08/19, ahora construira la piscina</t>
  </si>
  <si>
    <t>BENITEZ Maria Alfonsina</t>
  </si>
  <si>
    <t>mail, 545216</t>
  </si>
  <si>
    <t>3 de Febrero N° 449</t>
  </si>
  <si>
    <t>CARNEMOLLA Humberto Angel</t>
  </si>
  <si>
    <t>relevamiento de viivendas y local comercial, BAJO ORD 27/10, art 1, punto 2, inc 2 y 3, Infraccion art 5, 27, 37, 179, 202 del CE, Ord 53/07, art 3, Ord 62/13, art 15</t>
  </si>
  <si>
    <t>mail, 545427</t>
  </si>
  <si>
    <t>San Martín N° 231, 235</t>
  </si>
  <si>
    <t>FERRARI de GARCIA María Irene (suc)</t>
  </si>
  <si>
    <t>conforme a obra del edificio de deptos</t>
  </si>
  <si>
    <t>mail, 545503</t>
  </si>
  <si>
    <t>Rural</t>
  </si>
  <si>
    <t>Ruta Nac N° 14, km 147</t>
  </si>
  <si>
    <t>ORG HOTELERA COSTA SRL</t>
  </si>
  <si>
    <t>Galpón, Depósito</t>
  </si>
  <si>
    <t>relevamiento de galpon y oficina de FLECHABUS, Bajo ord 27/10, art 1, punto 2, inc 2, Infraccion art 5, 27, 37, 179, 214, 222, 223, 247, 260 ,261, 262 del CE</t>
  </si>
  <si>
    <t>Avda Urquiza N° 351 y 355, esq. Calle Andrade</t>
  </si>
  <si>
    <t>GUILLAUME Celso Francisco</t>
  </si>
  <si>
    <t>relevamiento loccal comercial y dos departamentos, un dormitorio, baño, cocina comedor, ambos sin cochera, local comercial en la esquina, BAJO ORD 27/10, art 1, punto 2, inc 2, Infraccion art 5, 27, 37, 130, 178, 179, 223, 232, 233 del CE. Infraccion Ord 62/13, art 19, Infraccion ORd 53/07</t>
  </si>
  <si>
    <t>Ampliacion Prioridad Turística Sur</t>
  </si>
  <si>
    <t>HIRIGOYEN Gustavo Javier</t>
  </si>
  <si>
    <t>CRETTON Manuel E.</t>
  </si>
  <si>
    <t>Viviienda unifamiliar</t>
  </si>
  <si>
    <t>vivienda unifamiliar a constrir, tres dormitorios, uno en suite con vestidor, baño compartimentado, baño completo, jardin de invierno, uno de los dormitorios en PB, baño compartimentado, despensa, lavadero, hall de acceso, cocina desayunador comedor estar, galería semicubierta con parrilla, cochera semicubierta al frenrte para dos vehiculos</t>
  </si>
  <si>
    <t>mail, 545491</t>
  </si>
  <si>
    <t>M. M. Lima N° 272</t>
  </si>
  <si>
    <t>SERRANO Irene Graciela</t>
  </si>
  <si>
    <t>relevamiento de vivienda mínima de un dormitorio con depósito familiar anexo, Bajo Ord 27/10, art 1, punto 2, inc 2</t>
  </si>
  <si>
    <t>mail, mail, 545513</t>
  </si>
  <si>
    <t>CALVEYRA Maria Cristina</t>
  </si>
  <si>
    <t>BERNAL Claudia</t>
  </si>
  <si>
    <t>relevamiento de vivienda unifamiliar, tres dormitorios, uno en suite con baño y vestidor, cocina, toilete, lavadero, baño, estar comedor, galeria semicubierta cochera con parrilla, BAJO ORD 27/10, art 1, punto 2, inc 2, Infraccion art 5, 27, 37, del CE</t>
  </si>
  <si>
    <t>mail, 544958</t>
  </si>
  <si>
    <t>Chacabuco Nº 172</t>
  </si>
  <si>
    <t>DEL GRECO Monica y Alina</t>
  </si>
  <si>
    <t>ING. en CONST</t>
  </si>
  <si>
    <t>edificio de viviendas a  construir, 8 unidades de un dormitorio, baño, cocina comedor, cocheras en PB, local comercial</t>
  </si>
  <si>
    <t>DELALOYE Mirta María y Eribel Salvador</t>
  </si>
  <si>
    <t>BAJO ORD 27/10, art 1, punto 2, inc 2 y 3, Infraccion ORD 62/13, art 16, Ord 53/07, CE art 5, 27, 37, 176, 178, 179, 181, 182, 214, 201, 202, 226</t>
  </si>
  <si>
    <t>Juan Carlos Pozzi N°</t>
  </si>
  <si>
    <t>TRESENS Malena</t>
  </si>
  <si>
    <t>relevamiento de vivienda unifamiliar, dos dormitorios , estar comedor, cocina desayunador comoedor diario, lavadero, baño completo, galeria semicubierta con parrilla, piscina, BAJO ORD 27/10, art 1, punto 2, inc 2, Infraccion art 5, 27, 37, del CE</t>
  </si>
  <si>
    <t>San Martín N° 1318</t>
  </si>
  <si>
    <t>BRUN Raul Rogelio</t>
  </si>
  <si>
    <t>Galpón</t>
  </si>
  <si>
    <t>relevamiento de galpón, Bajo Ord 27/art 1, punto 2, inc 2 y 3, Infraccion art 5, 27, 37, 144, 151, 179, 181, 182, 202, 232, y 260 del CE, Infraccion Ord 62/13, art 24, Ord 56/07, art 3, inc III, sub inc 1</t>
  </si>
  <si>
    <t>Salsipuedes s/Nª</t>
  </si>
  <si>
    <t>CAVALLARI Miguel Mario y FERNANDEZ Andrea Veronica</t>
  </si>
  <si>
    <t>Vivienda unifamiliar a construir, obra ya empezada, dormitorios, baño,  cocina, comedor estar, cochera descubierta,Bajo Ord 27/10, art 1, punto 1, inc 9; Infraccion Ord 5, 27, 37 del CE</t>
  </si>
  <si>
    <t>26/8/22, casi terminada</t>
  </si>
  <si>
    <t>Zona de ampliación Turística Norte</t>
  </si>
  <si>
    <t>Calle Padre Mujica s/N° - Artalaz</t>
  </si>
  <si>
    <t>ZUNINO Pablo Alejandro y LAPEBIE María Florencia</t>
  </si>
  <si>
    <t>vivienda unifamiliar a construir, tres dormitorios, baño, baño compartimentado, cocina desayunador comedor estar, galeria semicubierta con parrilla, toilete al exterior, espacio de estacionamiento descubierto al frente para dos vehiculos</t>
  </si>
  <si>
    <t>16/9/22, baldio</t>
  </si>
  <si>
    <t>FERRARI de GARCIA María Irene</t>
  </si>
  <si>
    <t>Vivienda multifamiliar + local comercial</t>
  </si>
  <si>
    <t>plano relevamiento de edifico de deptos y local comercial en PB</t>
  </si>
  <si>
    <t>mail, 545481</t>
  </si>
  <si>
    <t>Paso de los Andes s/N° 1235</t>
  </si>
  <si>
    <t>OTERO Luis Americo</t>
  </si>
  <si>
    <t>Galpón depósito</t>
  </si>
  <si>
    <t>relevamiento de galpón depósito, con toileteBAJO ORD 27/10, art 1, punto 2. inc 2 y 3, Infraccion art 5, 27, 37, 179, 232, del CE, Ord 56/07, art 3, inc 2, sub inc 1, Ord 62/13, art 26</t>
  </si>
  <si>
    <t>MAIL, 545431</t>
  </si>
  <si>
    <t>Florentina Gomez Miranda S/N°</t>
  </si>
  <si>
    <t>Florentina Gomez Miranda N° 128</t>
  </si>
  <si>
    <t>SALINAS Luciano Ivan y PINTOS QUIÑONES Julieta Gabriela</t>
  </si>
  <si>
    <t>GOMEZ WICKY Diamela y LEONARDI Jeronimo</t>
  </si>
  <si>
    <t xml:space="preserve">  </t>
  </si>
  <si>
    <t>vivienda unifamiliar a construir, un dormitorio, cocina comedor estar, baño, pequeño acceso semicubierto</t>
  </si>
  <si>
    <t>Industrial</t>
  </si>
  <si>
    <t>Calle Artalaz sN°</t>
  </si>
  <si>
    <t>TRABICHET Mario Raúl</t>
  </si>
  <si>
    <t>Galpones</t>
  </si>
  <si>
    <t>relevamiento de galpones, BAJO ORD 27/10, art 1, punto 2, inc 2 y 3, Infraccion Ord 62/13, art 38, Infraccion art 5, 27, 37, 176, 179, 223, 227, 233, 236, 260 del CE</t>
  </si>
  <si>
    <t>Reybel Nº 138, 140 y 142</t>
  </si>
  <si>
    <t>ALMADA Maria de los Angeles Rosalia</t>
  </si>
  <si>
    <t>BLEILE Julio</t>
  </si>
  <si>
    <t>tres unidades de vivienda a construir, tipo duplex, dos dormitorios y baño en PA, cocina comedor estar, toilete, lavadero descubierto al fondo, cochera descubierta al frente en PB</t>
  </si>
  <si>
    <t>baldío, 09/12/21</t>
  </si>
  <si>
    <t>MAIL, 545643</t>
  </si>
  <si>
    <t>Calle Colibrí s/N°</t>
  </si>
  <si>
    <t>BORTAGARAY Eduardo Aníbal y ROMERO Marta Silvana</t>
  </si>
  <si>
    <t>relevamiento de vivienda unifamiliar, dos dormitorios, baño, cocina comedor estar, quincho parrilla cubierto, cochera semicubierta galeria, al fondo galpón depotiso y cochera cubierta, BAJO ORD 27/10, art 1, punto 2, inc 2, Infraccion art 5, 27, 37, 179, 214 del CE</t>
  </si>
  <si>
    <t xml:space="preserve">Bvard. Ferrari N° </t>
  </si>
  <si>
    <t>PEREIRA Maria de los Angeles</t>
  </si>
  <si>
    <t>PACCOT Javier Humberto</t>
  </si>
  <si>
    <t>relevamiento de dos viviendas de un dormitorio (una con un deposito y otra con un escritorio, ambos serian el segfundo dormitorio) baño, cocina comedor estar, local comecial depotiso, BAJO ORD 27/10, art 1, punto 2, inc 2, Infraccion art 5, 27, 37, 130, 144, 151, 179, 200, 223, 226, 227, 232, 233, 260, 261, 262, 263 del CE, Infraccion ORD 62/13, art 15, Ord 53/07</t>
  </si>
  <si>
    <t>RIVADENEIRA Ernesto Pedro y GOLISCHEVKY Elina Lilia</t>
  </si>
  <si>
    <t>relevamiento depósito, pequeño, BAJO ORD 27/10, art 1, punto 2, inc 2, Infracción art 5, 27, 37 del CE</t>
  </si>
  <si>
    <t>mail, 545831</t>
  </si>
  <si>
    <t>Juana Azurduy N°</t>
  </si>
  <si>
    <t>HERMOSID Maira Pamela</t>
  </si>
  <si>
    <t>VOEFFRAY Walter A</t>
  </si>
  <si>
    <t>vivienda unifamiliar a construir, PRO.CRE.AR, un dormitorio, baño, cocina comedor estar</t>
  </si>
  <si>
    <t>3/10/22, baldio</t>
  </si>
  <si>
    <t>Benteveo esq Calle Fresno</t>
  </si>
  <si>
    <t>SCHESI Esteban</t>
  </si>
  <si>
    <t>relevamiento de vivienda unifamiliar, dos dormitorios, baño, cocina comedor estar, cochera semicubierta, BAJO ORD 27/10, ar5t 1, punto 2, inc 2 , Infraccion art 5, 27, 37, 236 Del CE</t>
  </si>
  <si>
    <t>mail, 545944</t>
  </si>
  <si>
    <t>CROSA Julio Alberto</t>
  </si>
  <si>
    <t>vivienda unifamiliar existente con antecedentes, piscina a construir</t>
  </si>
  <si>
    <t>542162, 544774</t>
  </si>
  <si>
    <t>Quintas</t>
  </si>
  <si>
    <t>Ruta Nac. N° 135</t>
  </si>
  <si>
    <t>ORCELLET Miguel Angel y Mabel Susana</t>
  </si>
  <si>
    <t>ORCELLET Renzo E</t>
  </si>
  <si>
    <t>Galpón / Aserradero</t>
  </si>
  <si>
    <t>mail, 546137</t>
  </si>
  <si>
    <t>Gouchón N° 468</t>
  </si>
  <si>
    <t>BERON Pablo</t>
  </si>
  <si>
    <t>Local comercial + Oficinas</t>
  </si>
  <si>
    <t>dos locales comerciales a construir en PB, y dos oficinas en PA</t>
  </si>
  <si>
    <t>13/10/22, no comenzada</t>
  </si>
  <si>
    <t>Paso de los Andes N° 522</t>
  </si>
  <si>
    <t>MALGOR de OERTLINGER Olga Esther</t>
  </si>
  <si>
    <t>vivienda unifamiliar existente, dos dormitorios, baño, cocina comedor, dos unidades de vivienda a construir en el fondo del lote, un dormitorio, baño, cocina comedor, cocheras semicubiertas en PB, BAJO ORD 27/10, art 1, punto 2, inc 2 , Infraccion art 5, 27, 37, 144, 151, 232 del CE</t>
  </si>
  <si>
    <t>Salsipuedes N°</t>
  </si>
  <si>
    <t>plano CONFORME,</t>
  </si>
  <si>
    <t>13/10/22, terminado</t>
  </si>
  <si>
    <t>mail, 510967</t>
  </si>
  <si>
    <t>Elías s/N°</t>
  </si>
  <si>
    <t>ESCOBAR José Benito</t>
  </si>
  <si>
    <t>ampliación de vivienda unifamiliar, cambios en obra sobre plano visado, BAJO ORD 27/10, art 1, punto 2, inc 2m CE art 10, 27, 37.</t>
  </si>
  <si>
    <t>Sourigues N° 126, 130, 132, 136</t>
  </si>
  <si>
    <t>PREMAT Arturo Ruben</t>
  </si>
  <si>
    <t>CALLERO, Mario Guillermo (anterior)</t>
  </si>
  <si>
    <t>ZARAGOZA, Víctor Andrés</t>
  </si>
  <si>
    <t>CONFORME A OBRA - cuatro unidades de vivienda a construir, superficie existente demolida, cada unidad tiene dos dormitorios y baño completo en PA, 3 con balcón, en PB tiene cocina comedor estar, toilete, cochera descubierta, una con dormitorio coin vestidor y baño en pb en la unidad mas proxima a Bolívar, casi 22 m2 a declarar ahora mayormente en PA</t>
  </si>
  <si>
    <t>109/10/22</t>
  </si>
  <si>
    <t>inspección 2/12/20, lote baldío</t>
  </si>
  <si>
    <t>mail, 546365</t>
  </si>
  <si>
    <t>Belgrano N° 75</t>
  </si>
  <si>
    <t>FERREYRA Franco Hernán</t>
  </si>
  <si>
    <t>MALGOR Juan Manuel</t>
  </si>
  <si>
    <t>relevamiento de vivienda unifamiliar, con quincho y piscina, de cuatro dormitorios, cocina, comedor, estar comedor, quincho con dormitorio, toilete, BAJO ORD 27/10, art 1, punto 2, inc 2 y 3, Infraccion Ord 56/07, art 3, Infraccion art 5, 27, 37, 144, 176, 178, 179, 227, 232, 256 del CE</t>
  </si>
  <si>
    <t>mail, 545356</t>
  </si>
  <si>
    <t>Avda. Fresno s/N°</t>
  </si>
  <si>
    <t>CORDONE Daniel Alejandro y Francisco Emiliano</t>
  </si>
  <si>
    <t>relevamiento vivienda unifamiliar existente tres dormitorios, uno en suite con vestidor y baño compartimentado , baño, cocina comedor estar, galeria semicubierta con parrilla y espacio para cochera, vivienda unifamiliar a construir, tres dormitorios, uno en suite, guardarropa, baño, lavadero baño, cocina comedor estar, cochera semicubierta lateral con parrilla</t>
  </si>
  <si>
    <t>MAIL</t>
  </si>
  <si>
    <t>GIMENEZ Roberto Antonio, Francisco Daniel y Enrique David</t>
  </si>
  <si>
    <t>PALACIOS María Silvina</t>
  </si>
  <si>
    <t>relevamiento de galpones, viviendas, BAJO ORD 27/10, art 5, 27, 37, 178, 179, 201, 223, 233, del CE</t>
  </si>
  <si>
    <t>RODRIGUEZ Francisco</t>
  </si>
  <si>
    <t>vivienda unifamiliar a construir, dos dormitorios, baño, cocina desayunador, comedor estar, galeria semicubierta cochera con toilete y sector parrilla</t>
  </si>
  <si>
    <t>30/8/22, baldio</t>
  </si>
  <si>
    <t>mail, 546374</t>
  </si>
  <si>
    <t>PAREDES Stella Maris</t>
  </si>
  <si>
    <t>ARGUET Daniela</t>
  </si>
  <si>
    <t>complejo de bungalows, con piscina, relevamiento de dos unidades de vivienda, una en PB y la otra en PA, lo demas tiene antecedentes, lo que pongo en planilla como nuevo en realidad es lo a declarar, solo para que quede separado - BAJO ORD 27/10, art 1, punto 2, inc 2, Infraccion art 5, 27, 37, 176, 178, 227, 236 del CE</t>
  </si>
  <si>
    <t>mail, 546896</t>
  </si>
  <si>
    <t>MARTINEZ Graciela Elvira</t>
  </si>
  <si>
    <t>refacción y ampliación de grupo de bungalows, BAJO ORD 27/10, art 1, punto 2, inc 2, Infracción art 5, 27, 37, 176, 227 del CE</t>
  </si>
  <si>
    <t>GOMEZ Erika y CHINELLATO Damian</t>
  </si>
  <si>
    <t>Vivienda ,multifamiliar + locales comerciales</t>
  </si>
  <si>
    <t>demolición de vivienda unifamiliar (ex asilo) para la ejecución de la segunda etapa de edificio de deptos, segunda etapa sobre calle Bolivar, BAJO ORD 27/10, art 1, punto 2, inc 2, infraccion art 179, 226 del CE, Ord 53/07</t>
  </si>
  <si>
    <t>mail, 546884</t>
  </si>
  <si>
    <t>Tucumán N° 779</t>
  </si>
  <si>
    <t>SILVEIRA Monica Maria Jose</t>
  </si>
  <si>
    <t>BLANC Maximiliano G</t>
  </si>
  <si>
    <t>vivienda unifamiliar a construir, PRO.CRE.AR., un dormitorio, cocina comedor estar, baño, cochera descubierta</t>
  </si>
  <si>
    <t>MAIL, 546997</t>
  </si>
  <si>
    <t>Ptro. Lantelme N° 181</t>
  </si>
  <si>
    <t>MAISEL Mario Jorge</t>
  </si>
  <si>
    <t>RODRIGUEZ José Luís</t>
  </si>
  <si>
    <t>relevamiento de depto ubicado al fondo del lote de un dormitorio, baño, cocina comedor y lavadero, vivienda a cosntruir al frente de dos dormitorios, baño, cocina comedor estar y cochera descubierta. PRO.CRE.AR.</t>
  </si>
  <si>
    <t>mail, 547125</t>
  </si>
  <si>
    <t>L. N. Alem N° 234, 238 y 244 (antes 240)</t>
  </si>
  <si>
    <t>FREI Federico Humberto</t>
  </si>
  <si>
    <t>tres unidades de vivienda a consruir, dos de tres dormitorios cada una, cocina comedor, baño, otra de dos dormitorios, cocina comedor, baño, cocheras al frente en el retiro descubiertas, BAJO ORD 27/10, art 1, punto 1, inc 9, Infraccion art 5, 27, 37, 179 del CE, Infraccion ORD 53/07, ORd 62/13, art 16</t>
  </si>
  <si>
    <t>Salta N° 228</t>
  </si>
  <si>
    <t>ZARAGOZA Feliciano Sebastian (sucesión)</t>
  </si>
  <si>
    <t>ING. CIVIVL</t>
  </si>
  <si>
    <t>relevamiento galpón al fondo (Carpinteria) con baño, vivienda unifamiliar al frente, PB cocina comedor estar, lavadero, toilete, galeria con parrrilla, en PA dos dormitorios y baño completo, BAJO ORD 27/10, art 1, punto 2, inc 2, Infracción art 5, 27, 37, 202 del CE</t>
  </si>
  <si>
    <t>mail, 545214</t>
  </si>
  <si>
    <t>M. M. Lima N° 1097</t>
  </si>
  <si>
    <t>GEORGE Mauro Joaquin</t>
  </si>
  <si>
    <t>DRAY Daniel Alberto</t>
  </si>
  <si>
    <t>dos unidades de vivienda a construir, un dormitorio bvaño y cocina comedor cadfa una, cocheras descubiertas, vivienda unifamiliar existente de tres dormitorios, baño, lavadero, estar comedor cocina y cochera semicubierta, BAJO ORD 27/10, art 1, punto 2, inc 2, Infraccion art 5, 27, 37, 176 del CE</t>
  </si>
  <si>
    <t>16/9/2022, obra no iniciada</t>
  </si>
  <si>
    <t>Paso de los Andes s/Nº</t>
  </si>
  <si>
    <t>LARRIGAU Fabián Luís</t>
  </si>
  <si>
    <t>OLMEDO Patricio</t>
  </si>
  <si>
    <t>dos unidades de vivienda apareadas a construir, en pb cocina comedor estar, toilete, espacio para cochera descubierta al frente, en pa dos dormitorios, baño</t>
  </si>
  <si>
    <t>3/11/22, baldio</t>
  </si>
  <si>
    <t>Avda Gral Urquiza N° 708</t>
  </si>
  <si>
    <t>BESSON Alcides Marcial</t>
  </si>
  <si>
    <t>Vivienda unifamiliar + local</t>
  </si>
  <si>
    <t>relevamiento de local comercial y vivienda unifamiliar, en PA al frente un dormitorio, en PB al frente local y depósito, estar, baño, cocina comeridor, toilet, y dormitorio al fondo, separado galpon depósito cubierto y semicubierto lateral, sobre calle Castelli acceso cochera local salon todo a medio construir, BAJO ORD 27/10, art 1, punto 2, inc 2 y 3, Infracción art 5, 27, 37, 176, 179, 202, 214, 227, 230, 232, 233, 240, 262 del CE, Ord 62/13, art 24, Ord 29/10, art 1</t>
  </si>
  <si>
    <t>MAIL, 547353</t>
  </si>
  <si>
    <t>Sourigues N°  637</t>
  </si>
  <si>
    <t>CONTARDI Ana Gabriela</t>
  </si>
  <si>
    <t>WAMBOLDT Guillermo Antonio</t>
  </si>
  <si>
    <t>seis unidades de vivienda a construir</t>
  </si>
  <si>
    <t>mail, 547467</t>
  </si>
  <si>
    <t>Reibel N° 248</t>
  </si>
  <si>
    <t>relevamiento de vivienda unifamiliar, dos dormitorios, baño, cocina, comedor estar, cochera cubierta separada, BAJO ORD 27/10, art 1, punto 2, inc 2, Infraccion art 5, 27, 37, 130, 144, 151, 179, 182, 202, 214, 232, 226, 236 del CE, Infraccion Ord 62/13, art 16</t>
  </si>
  <si>
    <t>Juventud Unida Nº 642</t>
  </si>
  <si>
    <t>GALIANO Guillermo Alfredo</t>
  </si>
  <si>
    <t>ROJAS Rodrigo</t>
  </si>
  <si>
    <t>relevamiento de vivienda unifamiliar, tres dormitorios, cocina comedor, estar, cochera cubierta, baño, BAJO ORD 27/10, art 1, punto 2, inc 2 y 3, Infraccion Ord 62/13, art 26, CE art 5, 27, 37, 144, 151, 176, 179, 202, 230</t>
  </si>
  <si>
    <t>mail, 547346</t>
  </si>
  <si>
    <t>VODANOVICH Hernán Pablo</t>
  </si>
  <si>
    <t>CORREA Adrián</t>
  </si>
  <si>
    <t>vivienda unifamiliar a construir, dos dormitorios, baño, cocina comedor estar, galeria semicubierta con sector parrilla, PRO.CRE.AR, Bajo ord 27/10, art 1, punto 1, inc 9, Infraccion art 5, 27, 37 del CE</t>
  </si>
  <si>
    <t>10/11/2022, cimientos ejecutados</t>
  </si>
  <si>
    <t>mail, 547637</t>
  </si>
  <si>
    <t>F. Creppy N° 199</t>
  </si>
  <si>
    <t>RUIZ Johana Valeria</t>
  </si>
  <si>
    <t>FRANCHINA Jose Luís</t>
  </si>
  <si>
    <t>relevamiento de vivienda multifamiliar, una en la esquina de dos dormitorios, cocina comedor estar y baño con espacio para cochera descubierta, otra con dos dormitorios, cocina, comedor estar, baño, my la ultima de un dormitorio, cocina comedor, estar, y baño, BAJO ORD 27/10, art 1, punto 2, inc 2 y 3, Infraccion art 5, 27, 37, 130, 144, 151, 178, 179, 181, 182, 202 del CE, Infraccio  Ord 56/07, art 3, Ord 62/13, art 26</t>
  </si>
  <si>
    <t>mail, 547947</t>
  </si>
  <si>
    <t>Gouchón Nº 894, Celia Pellenc N° 114</t>
  </si>
  <si>
    <t>ROH Julio Daniel</t>
  </si>
  <si>
    <t>dos uniddes de vivienda relevadas, cada una con dos dormitorios, cocina comedor, estar, baño, pequeño semicubierto en acceso, una de ellas con galeria posterior semicubierta con lavadero, BAJO ORD 27/10, art 1, punto 2, inc 2, Infraccion art 5, 27, 37, 144, 151, 176 y 178 del CE</t>
  </si>
  <si>
    <t>Calle Privada s/N° - Los Bretes</t>
  </si>
  <si>
    <t>PAPESCHI Ana María</t>
  </si>
  <si>
    <t xml:space="preserve">VALLARINO Guillermo Daniel y MARIN Jorge Fabricio </t>
  </si>
  <si>
    <t>vivienda unifamiliar a construir, dos dormitorios, baño, cocina comedor estar, galeria semicubierta con parrilla, piscina</t>
  </si>
  <si>
    <t>1/11/22, baldío</t>
  </si>
  <si>
    <t>PEREIRA Fatima Leonora y PAREDES Milcar Francisco</t>
  </si>
  <si>
    <t>LEMA Guillermo Orlando</t>
  </si>
  <si>
    <t>cuatro unidades de vivienda a construir, dos unidades de un dormitorio, baño, cocina comedor, las otras dos monoambientes, con piscina y pequeño quincho, cocheras al frente semicubiertas</t>
  </si>
  <si>
    <t>6/10/2022, baldio</t>
  </si>
  <si>
    <t>532697, 545338</t>
  </si>
  <si>
    <t>Ruta Prov 135, esq Calle Pública</t>
  </si>
  <si>
    <t>BOUVET COMBUSTIBLES S.A.S.</t>
  </si>
  <si>
    <t>ROSSIER Betiana C</t>
  </si>
  <si>
    <t xml:space="preserve">galpón a construir, depósito, con dos baños, y pequeña mesada adicioada a éste. </t>
  </si>
  <si>
    <t>15/9/2022, baldio</t>
  </si>
  <si>
    <t>Calle Público esq Calle Pùiblica</t>
  </si>
  <si>
    <t>MANFREDI Nicolas Javier</t>
  </si>
  <si>
    <t>Voivienda unifamiliar</t>
  </si>
  <si>
    <t xml:space="preserve">vivienda unifamiliar a construir, dos dormitorios, uno en suite con baño compartimentado y vestidor, baño completo compartimentado, toilete, deposito, cocina desayunador comedor estar, en pa un estar, cochera semicubierta para dos vehiculos con parrilla </t>
  </si>
  <si>
    <t>27/10/22, baldio</t>
  </si>
  <si>
    <t>Bvard. González N° 286</t>
  </si>
  <si>
    <t>GONZALEZ Flora Elena y FERNANDEZ Gustavo Rubén</t>
  </si>
  <si>
    <t>Local comercial + Vivienda multifamiliar</t>
  </si>
  <si>
    <t>relevamiento vivienda unifamiliar de tres dormitorios, baño, cocina, comedor estar, local comercial al frente en PB y monoambiente en PA, galpón semicubierto en el fondo, BAJO ORD 27/10, art 1, punto 2, inc 2, Infraccion Ord 53/07, Infreccion art 5, 27, ,37, 179, 181, 182, 202, 223, 226, 233, 247 del CE</t>
  </si>
  <si>
    <t>Rocamora N° 217</t>
  </si>
  <si>
    <t>GONZALEZ Carlos Ruben</t>
  </si>
  <si>
    <t>ING CIVIL</t>
  </si>
  <si>
    <t xml:space="preserve">dos unidades de monoambientes en PA al frente, una unidad con un dormitorio en PB al frente, cocina comedor, baño, una unidad la fondo con dos dormitorios, baño, cocina comedor, y otro en PA a declarar, una construccion nueva en la mitad del lote monoambiente con baño, cocheras entre las unidades, BAJO ORD 27/10, art 1, punto 2, inc 2, Infraccion art 5, 27, 37, 176 del CE, Ord 56/07, art 3, 2, 1, Ord  </t>
  </si>
  <si>
    <t>Ampliacion Actividad Turistica Norte</t>
  </si>
  <si>
    <t>Hernández N° 573</t>
  </si>
  <si>
    <t>cuatro unidades de vivienda a construir, dos unidades de un dormitorio, baño, cocina comedor, las otras dos de dos dormitorios, baño, cocina comedor, cocheras espacio descubierto al frente, las viviendas dos en PB y dos en PA</t>
  </si>
  <si>
    <t>7/12/2022, Baldío</t>
  </si>
  <si>
    <t>545638, mail, 548543</t>
  </si>
  <si>
    <t>Hernandez N° 303 esq Mitre N° 504</t>
  </si>
  <si>
    <t>IVREA Francisco</t>
  </si>
  <si>
    <t>MURILLO Maximiliano</t>
  </si>
  <si>
    <t>tres deptos, dos en la esquina, uno PB de un dormitorio, baño, cocina desayunador estar, el de PA igual, el otro de PA esta sobre las cocheras y tiene los mismos locales</t>
  </si>
  <si>
    <t>12/12/22, no comenzada</t>
  </si>
  <si>
    <t>Chacabuco N° 1115</t>
  </si>
  <si>
    <t>DANEI Miguel Angel</t>
  </si>
  <si>
    <t>relevamiento de vivienda unifamiliar de un dormitorio, cocina comedor estar y baño, local comercial al frente, BAJO ORD 27/10, art 1, punto 2, inc 2 y 3, Infraccion art 5, 27, 37, 179, 201, 202, 223, 230, 233 del CE, Infracción Ord 62/13, art 26</t>
  </si>
  <si>
    <t>5/5/2022 - ACTA</t>
  </si>
  <si>
    <t>Redidencial Norte</t>
  </si>
  <si>
    <t>Sarmiento Nº 561</t>
  </si>
  <si>
    <t>SEOANE Gabriel Alberto Raúl, Evelyn Silvina, Gisela Valeria, ACOSTA Gricelda Martina</t>
  </si>
  <si>
    <t>BERTOLDI Fabiàn A</t>
  </si>
  <si>
    <t>Vivienda unifamiliar + Oficina</t>
  </si>
  <si>
    <t>relevamiento de vivienda unifamiliar de un dormitorio, cocina comedor sala de estar y recibidor, baño, cochera semicubierta lateral, depóaito, cochera, oficina y baño al fondo del lote, BAJO ORD 27/10, art 1, punto 2, inc 2, Infracción art 5, 27, 37, 144, 151, 179, 202 del CE</t>
  </si>
  <si>
    <t>MAIL, 548479</t>
  </si>
  <si>
    <t>Avda Urquiza N° 319</t>
  </si>
  <si>
    <t>TRABICHET Rubén Sergio</t>
  </si>
  <si>
    <t>relevamiento de local comercial, BAJO Ord 27/10, art 1, punto 2, inc 2, Infraccion art 5, 27, 37, 179, 181, 223, 227, 232, y 233 del CE</t>
  </si>
  <si>
    <t>mail, 548158</t>
  </si>
  <si>
    <t>Alte Brown N° 107, 111, 115 esq Moreno Nº 54</t>
  </si>
  <si>
    <t>MEYER Hernan Alcides</t>
  </si>
  <si>
    <t>cuatro unidades de vivienda apareadas a construir, en PB, cochera cubierta, cocina comedor estar, baño, en PA tres dormitorios y baño</t>
  </si>
  <si>
    <t>14/12/22, baldio</t>
  </si>
  <si>
    <t>mail, 548672</t>
  </si>
  <si>
    <t>PORCILE Nahuel José</t>
  </si>
  <si>
    <t>vivienda unifamiliar a construir, PRO.CRE.AR, dos dormitorios, baño, cocina comedor, cochera descubierta</t>
  </si>
  <si>
    <t>Ampliacion Actividad Turistica Sur</t>
  </si>
  <si>
    <t>GONZALEZ MAIRAL Ignacio</t>
  </si>
  <si>
    <t>vivienda unifamiliar a construir, dos dormitorios simples, dormitorio ppal en suite con vestidor y baño privado, baño completo compartimentado, lavadero cubierto, cocina desayunador y comedor diario, comedor ppal estar, hall de acceso, galeria semicubierta con parrilla, barra y toilete, espacio semicubierto para dos vehiculos</t>
  </si>
  <si>
    <t>Bvard Güemes N° 142 esq Noailles</t>
  </si>
  <si>
    <t>YAN XIAOYU</t>
  </si>
  <si>
    <t>plano conforme a obra de las modificaciones realizadas en el supermercado, BAJO ORD 27/10, art 1, punto 2, inc 2, Infraccion art 5, 10, 37, 179 del CE - se usan indices de FOS y FOT ponderados por esta la parcela dentro de dos zonas diferentes</t>
  </si>
  <si>
    <t>mail, 548475</t>
  </si>
  <si>
    <t>D´ANGELO Carolina y  Eduardo</t>
  </si>
  <si>
    <t>relevamiento de vivienda unifamiliar, dos dormitorios, baño, cocina comedor, BAJO ORD 27/10, art 1, punto 2, inc 2, Infraccion art 5, 27, 37, 144, 151, 176, 181, 182, 201, 202 del CE</t>
  </si>
  <si>
    <t>Avda Paysandú N° 799</t>
  </si>
  <si>
    <t>AMERICO Francisco Guiot</t>
  </si>
  <si>
    <t>ING. en CONSTR.</t>
  </si>
  <si>
    <t>relevamiento de ampliaciones realizadas en dos unidades de viivienda con antecedetntes, una vivienda con un dormitorio existente, baño, cocina comedor, cochera semicubierta, orta vivienda con tres dormitorios, cocina comedor estar, baño, cochera cubierta y espacio semicubierto al frente, releva deposito</t>
  </si>
  <si>
    <t>Bernard N° 679</t>
  </si>
  <si>
    <t>MACHADO Santa Teresa</t>
  </si>
  <si>
    <t>relevamiento de dos unidades de vivienda, una la fondo del lote con un dormitorio, baño, cocina comedor, cochera semicubierta y semicubierto lateral, la otra la frente con dos dormitorios, baño, cocina, cocmedor estar, cochera semicubierta, BAJO ORD 27/10, art 1, punto 2, inc 2, Infraccion art 5, 27, 37, 144, 151, 179, 181, 202, 214, 223 del CE</t>
  </si>
  <si>
    <t>544391, 545426</t>
  </si>
  <si>
    <t>Domingo Antonini s/N°</t>
  </si>
  <si>
    <t>GRUPO MARSO SRL</t>
  </si>
  <si>
    <t>Oficina y depósito</t>
  </si>
  <si>
    <t xml:space="preserve">oficinas, depósito a construir como "dependencias" de la Estación de servicio </t>
  </si>
  <si>
    <t>San Martín N°</t>
  </si>
  <si>
    <t>CASAJUS Jorge Hector</t>
  </si>
  <si>
    <t>CHARATA SRL</t>
  </si>
  <si>
    <t>Estacion de servicios</t>
  </si>
  <si>
    <t>plano conforme de la estacion de servicio SHELL, BAJO ORD 27/10, art 1, punto 2, inc 2, Infraccion art 5, 10, 37, 179 del CE</t>
  </si>
  <si>
    <t>Zona Ampliación Actividad Turística Norte</t>
  </si>
  <si>
    <t>Ruta N° 130 ex 26 s/N°</t>
  </si>
  <si>
    <t>HERNANDEZ Mirta Susana</t>
  </si>
  <si>
    <t>conforme a obra de local comercial (galpon venta y deposito de muebles), BAJO ORD 27/10, art 1, punto 2, inc 2 y 3, Infraccion Ord 130/22, art 21, Anexo V Zona Reriurbana, Infraccion art 5, 27, 37, 144, 151, 179, 200, 202, 222, 260, 262, 264 del CE</t>
  </si>
  <si>
    <t>Noailles N° 332</t>
  </si>
  <si>
    <t>RAMAT Leticia</t>
  </si>
  <si>
    <t>vivienda existente a demoler, nueva a construir, de tres dormitorios, en PA dos dormitorios, baño, lavadero, balcon tender, en PB dormitorio, baño completo, estar cocina comedor, local comercial al frente con baño, patio de servicio, cochera semicubierta</t>
  </si>
  <si>
    <t>10/2/22, demolicion comenzada parcialmente realizada</t>
  </si>
  <si>
    <t>mail, 548484</t>
  </si>
  <si>
    <t>Bolívar N° 396 esq 9 de Julio</t>
  </si>
  <si>
    <t>TELECOM Arg. Freance Telec</t>
  </si>
  <si>
    <t>BAJO ORD 27/10, art 1, punto 2, inc 2, Infraccion CE art 5, 27, 37, 179., reforma de oficinas para atención al público</t>
  </si>
  <si>
    <t>9 de Julio Nº 398</t>
  </si>
  <si>
    <t>BERLINGERI VIERA Ana Virginia</t>
  </si>
  <si>
    <t>relevamiento tres locales comerciales (]local, panaderia y almacen) en planta baja, cada uno con baño y office, dos viviendas en plantas superiores, una de un dormitorio, balcon, cocina comedor estar y baño con terraza de acceso, la otra con dos dormitorios, baño, cocina comedor, terraza de acceso con parrilla, BAJO ORD 27/10, art 1, punto 2, inc 2 y 3, Infraccion art 5, 27, 37, 130, 178, 179, 226, 232, 233 del CE, Infraccion Ord 62/13, art 12</t>
  </si>
  <si>
    <t>mail, 548627</t>
  </si>
  <si>
    <t>Batalla de Cepeda N° 327</t>
  </si>
  <si>
    <t>LOPEZ Irene  Viviana</t>
  </si>
  <si>
    <t>TOTORICA Jorge</t>
  </si>
  <si>
    <t>relevamiento de vivienda unifamiliar en PB tres dormitorios, estar, comedor cocina, baño, acceso semicubierto, galeria cubierta con baño al fondo, en PA dos deptos, de dos dormitorios, baño, cocina comedor, BAJO ORD 27/10, art 1, punto 2, inc 2, Infraccion art 5, 27, 37, 144, 151, 176, 178, 179, 181, 182, 202, 226 del CE, Infraccion Ord 53/07</t>
  </si>
  <si>
    <t xml:space="preserve">Urbana </t>
  </si>
  <si>
    <t>GUIFFRE de LOKER Beatriz María</t>
  </si>
  <si>
    <t>reforma local comercial y vivienda, BAJO Resolucion HCD 110/21, excepcion, Bajo ord 27/10, art 1, punto 2, inc 2, Infraccion art 5, 27, 37, 179, 181, 182, 202, 223, 233, 247 del CE</t>
  </si>
  <si>
    <t>MES</t>
  </si>
  <si>
    <t>USO</t>
  </si>
  <si>
    <t>Cantidad de Habitaciones (dormitorios) Existente</t>
  </si>
  <si>
    <t>Cantidad de Habitaciones (dormitorios) Nuevas</t>
  </si>
  <si>
    <t>Locales de 1º, Habitables Existente</t>
  </si>
  <si>
    <t>Locales de 1º, Habitables Nuevos</t>
  </si>
  <si>
    <t>N° de Plazas Existente</t>
  </si>
  <si>
    <t>N° de Plazas Nuevas</t>
  </si>
  <si>
    <t>M² existentes (con antecedente) Vivienda</t>
  </si>
  <si>
    <t>M² existentes (con antecedente) Local</t>
  </si>
  <si>
    <t>M² existentes (relevados) Vivienda</t>
  </si>
  <si>
    <t>M² existentes (relevados) Local</t>
  </si>
  <si>
    <t>M²     (a construir Vivienda</t>
  </si>
  <si>
    <t>M²     (a construir Local</t>
  </si>
  <si>
    <t>TITULO PROFESIONAL</t>
  </si>
  <si>
    <t>VISADO</t>
  </si>
  <si>
    <t>FINAL OBRA</t>
  </si>
</sst>
</file>

<file path=xl/styles.xml><?xml version="1.0" encoding="utf-8"?>
<styleSheet xmlns="http://schemas.openxmlformats.org/spreadsheetml/2006/main">
  <numFmts count="2">
    <numFmt numFmtId="164" formatCode="[$-2C0A]dd/mm/yyyy"/>
    <numFmt numFmtId="165" formatCode="[$€-2C0A]#,##0.00\ ;[$€-2C0A]\-#,##0.00\ ;[$€-2C0A]\-#\ "/>
  </numFmts>
  <fonts count="35">
    <font>
      <sz val="11"/>
      <color rgb="FF000000"/>
      <name val="Arial1"/>
      <charset val="1"/>
    </font>
    <font>
      <sz val="11"/>
      <color theme="1"/>
      <name val="Calibri"/>
      <family val="2"/>
      <scheme val="minor"/>
    </font>
    <font>
      <sz val="11"/>
      <color rgb="FF000000"/>
      <name val="Arial1"/>
      <charset val="1"/>
    </font>
    <font>
      <b/>
      <sz val="10"/>
      <name val="Arial"/>
      <family val="2"/>
      <charset val="1"/>
    </font>
    <font>
      <b/>
      <sz val="10"/>
      <color rgb="FF000000"/>
      <name val="Arial"/>
      <family val="2"/>
      <charset val="1"/>
    </font>
    <font>
      <sz val="10"/>
      <color rgb="FF000000"/>
      <name val="Arial"/>
      <family val="2"/>
      <charset val="1"/>
    </font>
    <font>
      <b/>
      <sz val="10"/>
      <color rgb="FF000000"/>
      <name val="Arial"/>
      <family val="2"/>
    </font>
    <font>
      <i/>
      <sz val="10"/>
      <color rgb="FF000000"/>
      <name val="Arial"/>
      <family val="2"/>
      <charset val="1"/>
    </font>
    <font>
      <i/>
      <sz val="10"/>
      <name val="Arial"/>
      <family val="2"/>
      <charset val="1"/>
    </font>
    <font>
      <sz val="10"/>
      <name val="Arial"/>
      <family val="2"/>
      <charset val="1"/>
    </font>
    <font>
      <sz val="10"/>
      <color rgb="FF000000"/>
      <name val="Arial"/>
      <family val="2"/>
    </font>
    <font>
      <sz val="10"/>
      <name val="Arial"/>
      <family val="2"/>
    </font>
    <font>
      <sz val="11"/>
      <name val="Arial1"/>
      <charset val="1"/>
    </font>
    <font>
      <sz val="10"/>
      <color rgb="FFFFFFFF"/>
      <name val="Arial"/>
      <family val="2"/>
      <charset val="1"/>
    </font>
    <font>
      <sz val="10"/>
      <color rgb="FFFFFFFF"/>
      <name val="Arial1"/>
      <charset val="1"/>
    </font>
    <font>
      <b/>
      <sz val="10"/>
      <color rgb="FF000000"/>
      <name val="Arial1"/>
      <charset val="1"/>
    </font>
    <font>
      <sz val="10"/>
      <color rgb="FFCC0000"/>
      <name val="Arial"/>
      <family val="2"/>
      <charset val="1"/>
    </font>
    <font>
      <sz val="10"/>
      <color rgb="FFCC0000"/>
      <name val="Arial1"/>
      <charset val="1"/>
    </font>
    <font>
      <b/>
      <sz val="10"/>
      <color rgb="FFFFFFFF"/>
      <name val="Arial"/>
      <family val="2"/>
      <charset val="1"/>
    </font>
    <font>
      <b/>
      <sz val="10"/>
      <color rgb="FFFFFFFF"/>
      <name val="Arial1"/>
      <charset val="1"/>
    </font>
    <font>
      <i/>
      <sz val="10"/>
      <color rgb="FF808080"/>
      <name val="Arial"/>
      <family val="2"/>
      <charset val="1"/>
    </font>
    <font>
      <i/>
      <sz val="10"/>
      <color rgb="FF808080"/>
      <name val="Arial1"/>
      <charset val="1"/>
    </font>
    <font>
      <sz val="10"/>
      <color rgb="FF006600"/>
      <name val="Arial"/>
      <family val="2"/>
      <charset val="1"/>
    </font>
    <font>
      <sz val="10"/>
      <color rgb="FF006600"/>
      <name val="Arial1"/>
      <charset val="1"/>
    </font>
    <font>
      <b/>
      <sz val="24"/>
      <color rgb="FF000000"/>
      <name val="Arial1"/>
      <charset val="1"/>
    </font>
    <font>
      <sz val="18"/>
      <color rgb="FF000000"/>
      <name val="Arial"/>
      <family val="2"/>
      <charset val="1"/>
    </font>
    <font>
      <sz val="18"/>
      <color rgb="FF000000"/>
      <name val="Arial1"/>
      <charset val="1"/>
    </font>
    <font>
      <sz val="12"/>
      <color rgb="FF000000"/>
      <name val="Arial"/>
      <family val="2"/>
      <charset val="1"/>
    </font>
    <font>
      <sz val="12"/>
      <color rgb="FF000000"/>
      <name val="Arial1"/>
      <charset val="1"/>
    </font>
    <font>
      <b/>
      <sz val="24"/>
      <color rgb="FF000000"/>
      <name val="Arial"/>
      <family val="2"/>
      <charset val="1"/>
    </font>
    <font>
      <u/>
      <sz val="10"/>
      <color rgb="FF0000EE"/>
      <name val="Arial"/>
      <family val="2"/>
      <charset val="1"/>
    </font>
    <font>
      <u/>
      <sz val="10"/>
      <color rgb="FF0000EE"/>
      <name val="Arial1"/>
      <charset val="1"/>
    </font>
    <font>
      <sz val="10"/>
      <color rgb="FF996600"/>
      <name val="Arial"/>
      <family val="2"/>
      <charset val="1"/>
    </font>
    <font>
      <sz val="10"/>
      <color rgb="FF333333"/>
      <name val="Arial"/>
      <family val="2"/>
      <charset val="1"/>
    </font>
    <font>
      <sz val="10"/>
      <color rgb="FF333333"/>
      <name val="Arial1"/>
      <charset val="1"/>
    </font>
  </fonts>
  <fills count="18">
    <fill>
      <patternFill patternType="none"/>
    </fill>
    <fill>
      <patternFill patternType="gray125"/>
    </fill>
    <fill>
      <patternFill patternType="gray125">
        <fgColor rgb="FFFF0000"/>
      </patternFill>
    </fill>
    <fill>
      <patternFill patternType="solid">
        <fgColor rgb="FFFFFF00"/>
        <bgColor indexed="64"/>
      </patternFill>
    </fill>
    <fill>
      <patternFill patternType="gray125">
        <fgColor rgb="FFFF0000"/>
        <bgColor rgb="FFFFFF00"/>
      </patternFill>
    </fill>
    <fill>
      <patternFill patternType="solid">
        <fgColor rgb="FFAFD095"/>
        <bgColor rgb="FFC0C0C0"/>
      </patternFill>
    </fill>
    <fill>
      <patternFill patternType="solid">
        <fgColor rgb="FFE0EFD4"/>
        <bgColor rgb="FFDDE8CB"/>
      </patternFill>
    </fill>
    <fill>
      <patternFill patternType="solid">
        <fgColor rgb="FFFFFF00"/>
        <bgColor rgb="FFC0C0C0"/>
      </patternFill>
    </fill>
    <fill>
      <patternFill patternType="solid">
        <fgColor rgb="FF00B0F0"/>
        <bgColor indexed="64"/>
      </patternFill>
    </fill>
    <fill>
      <patternFill patternType="gray125">
        <fgColor rgb="FFFF0000"/>
        <bgColor auto="1"/>
      </patternFill>
    </fill>
    <fill>
      <patternFill patternType="solid">
        <fgColor rgb="FF00B0F0"/>
        <bgColor rgb="FFC0C0C0"/>
      </patternFill>
    </fill>
    <fill>
      <patternFill patternType="solid">
        <fgColor rgb="FF000000"/>
        <bgColor rgb="FF000080"/>
      </patternFill>
    </fill>
    <fill>
      <patternFill patternType="solid">
        <fgColor rgb="FF808080"/>
        <bgColor rgb="FF969696"/>
      </patternFill>
    </fill>
    <fill>
      <patternFill patternType="solid">
        <fgColor rgb="FFDDDDDD"/>
        <bgColor rgb="FFDDE8CB"/>
      </patternFill>
    </fill>
    <fill>
      <patternFill patternType="solid">
        <fgColor rgb="FFFFCCCC"/>
        <bgColor rgb="FFFFCC99"/>
      </patternFill>
    </fill>
    <fill>
      <patternFill patternType="solid">
        <fgColor rgb="FFCC0000"/>
        <bgColor rgb="FFFF0000"/>
      </patternFill>
    </fill>
    <fill>
      <patternFill patternType="solid">
        <fgColor rgb="FFCCFFCC"/>
        <bgColor rgb="FFE0EFD4"/>
      </patternFill>
    </fill>
    <fill>
      <patternFill patternType="solid">
        <fgColor rgb="FFFFFFCC"/>
        <bgColor rgb="FFFFFFA6"/>
      </patternFill>
    </fill>
  </fills>
  <borders count="27">
    <border>
      <left/>
      <right/>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medium">
        <color auto="1"/>
      </right>
      <top/>
      <bottom style="thin">
        <color auto="1"/>
      </bottom>
      <diagonal/>
    </border>
    <border>
      <left style="medium">
        <color indexed="64"/>
      </left>
      <right style="thin">
        <color auto="1"/>
      </right>
      <top/>
      <bottom/>
      <diagonal/>
    </border>
    <border>
      <left/>
      <right style="thin">
        <color auto="1"/>
      </right>
      <top/>
      <bottom style="thin">
        <color auto="1"/>
      </bottom>
      <diagonal/>
    </border>
    <border>
      <left style="thin">
        <color auto="1"/>
      </left>
      <right style="medium">
        <color indexed="64"/>
      </right>
      <top/>
      <bottom/>
      <diagonal/>
    </border>
    <border>
      <left style="medium">
        <color auto="1"/>
      </left>
      <right/>
      <top style="thin">
        <color auto="1"/>
      </top>
      <bottom style="thin">
        <color auto="1"/>
      </bottom>
      <diagonal/>
    </border>
    <border>
      <left style="medium">
        <color auto="1"/>
      </left>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indexed="64"/>
      </right>
      <top/>
      <bottom/>
      <diagonal/>
    </border>
    <border>
      <left style="thin">
        <color rgb="FF808080"/>
      </left>
      <right style="thin">
        <color rgb="FF808080"/>
      </right>
      <top style="thin">
        <color rgb="FF808080"/>
      </top>
      <bottom style="thin">
        <color rgb="FF808080"/>
      </bottom>
      <diagonal/>
    </border>
  </borders>
  <cellStyleXfs count="37">
    <xf numFmtId="0" fontId="0" fillId="0" borderId="0"/>
    <xf numFmtId="0" fontId="13" fillId="11" borderId="0"/>
    <xf numFmtId="0" fontId="14" fillId="11" borderId="0"/>
    <xf numFmtId="0" fontId="13" fillId="12" borderId="0"/>
    <xf numFmtId="0" fontId="14" fillId="12" borderId="0"/>
    <xf numFmtId="0" fontId="4" fillId="13" borderId="0"/>
    <xf numFmtId="0" fontId="15" fillId="13" borderId="0"/>
    <xf numFmtId="0" fontId="4" fillId="0" borderId="0"/>
    <xf numFmtId="0" fontId="15" fillId="0" borderId="0"/>
    <xf numFmtId="0" fontId="16" fillId="14" borderId="0"/>
    <xf numFmtId="0" fontId="17" fillId="14" borderId="0"/>
    <xf numFmtId="0" fontId="18" fillId="15" borderId="0"/>
    <xf numFmtId="0" fontId="19" fillId="15" borderId="0"/>
    <xf numFmtId="165" fontId="5" fillId="0" borderId="0"/>
    <xf numFmtId="0" fontId="20" fillId="0" borderId="0"/>
    <xf numFmtId="0" fontId="21" fillId="0" borderId="0"/>
    <xf numFmtId="0" fontId="22" fillId="16" borderId="0"/>
    <xf numFmtId="0" fontId="23" fillId="16" borderId="0"/>
    <xf numFmtId="0" fontId="24" fillId="0" borderId="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17" borderId="0"/>
    <xf numFmtId="0" fontId="1" fillId="0" borderId="0"/>
    <xf numFmtId="0" fontId="1" fillId="0" borderId="0"/>
    <xf numFmtId="0" fontId="33" fillId="17" borderId="26"/>
    <xf numFmtId="0" fontId="34" fillId="17" borderId="26"/>
    <xf numFmtId="0" fontId="5" fillId="0" borderId="0"/>
    <xf numFmtId="0" fontId="2" fillId="0" borderId="0"/>
    <xf numFmtId="0" fontId="5" fillId="0" borderId="0"/>
    <xf numFmtId="0" fontId="2" fillId="0" borderId="0"/>
    <xf numFmtId="0" fontId="16" fillId="0" borderId="0"/>
    <xf numFmtId="0" fontId="17" fillId="0" borderId="0"/>
  </cellStyleXfs>
  <cellXfs count="267">
    <xf numFmtId="0" fontId="0" fillId="0" borderId="0" xfId="0"/>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Fill="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164" fontId="7" fillId="0" borderId="10" xfId="0" applyNumberFormat="1" applyFont="1" applyBorder="1" applyAlignment="1">
      <alignment horizontal="center" vertical="top" wrapText="1"/>
    </xf>
    <xf numFmtId="3" fontId="5" fillId="0" borderId="10" xfId="0" applyNumberFormat="1" applyFont="1" applyBorder="1" applyAlignment="1">
      <alignment horizontal="center" vertical="top" wrapText="1"/>
    </xf>
    <xf numFmtId="0" fontId="5" fillId="0" borderId="10" xfId="0" applyFont="1" applyBorder="1" applyAlignment="1">
      <alignment horizontal="center" vertical="top" wrapText="1"/>
    </xf>
    <xf numFmtId="0" fontId="5" fillId="2" borderId="10" xfId="0" applyFont="1" applyFill="1" applyBorder="1" applyAlignment="1">
      <alignment horizontal="center" vertical="top" wrapText="1"/>
    </xf>
    <xf numFmtId="1" fontId="5" fillId="0" borderId="10" xfId="0" applyNumberFormat="1" applyFont="1" applyBorder="1" applyAlignment="1">
      <alignment horizontal="center" vertical="top" wrapText="1"/>
    </xf>
    <xf numFmtId="1" fontId="5" fillId="2" borderId="10" xfId="0" applyNumberFormat="1" applyFont="1" applyFill="1" applyBorder="1" applyAlignment="1">
      <alignment horizontal="center" vertical="top" wrapText="1"/>
    </xf>
    <xf numFmtId="1" fontId="5" fillId="0" borderId="10" xfId="0" applyNumberFormat="1" applyFont="1" applyFill="1" applyBorder="1" applyAlignment="1">
      <alignment horizontal="center" vertical="top" wrapText="1"/>
    </xf>
    <xf numFmtId="0" fontId="5" fillId="2" borderId="10" xfId="0" applyFont="1" applyFill="1" applyBorder="1" applyAlignment="1">
      <alignment horizontal="center" wrapText="1"/>
    </xf>
    <xf numFmtId="0" fontId="5" fillId="0" borderId="10" xfId="0" applyFont="1" applyBorder="1" applyAlignment="1">
      <alignment horizontal="center" wrapText="1"/>
    </xf>
    <xf numFmtId="0" fontId="5" fillId="0" borderId="10" xfId="0" applyFont="1" applyBorder="1" applyAlignment="1">
      <alignment horizontal="left" vertical="top" wrapText="1"/>
    </xf>
    <xf numFmtId="14" fontId="5" fillId="0" borderId="10" xfId="0" applyNumberFormat="1" applyFont="1" applyBorder="1" applyAlignment="1">
      <alignment horizontal="center" vertical="center" wrapText="1"/>
    </xf>
    <xf numFmtId="0" fontId="5" fillId="0" borderId="10" xfId="0" applyFont="1" applyBorder="1" applyAlignment="1">
      <alignment horizontal="center" vertical="center" wrapText="1"/>
    </xf>
    <xf numFmtId="14" fontId="5" fillId="0" borderId="11" xfId="0" applyNumberFormat="1" applyFont="1" applyBorder="1" applyAlignment="1">
      <alignment horizontal="left" vertical="top" wrapText="1"/>
    </xf>
    <xf numFmtId="0" fontId="5" fillId="0" borderId="0" xfId="0" applyFont="1" applyBorder="1" applyAlignment="1">
      <alignment horizont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0" fontId="4" fillId="0" borderId="12" xfId="0" applyFont="1" applyFill="1" applyBorder="1" applyAlignment="1">
      <alignment horizontal="center" wrapText="1"/>
    </xf>
    <xf numFmtId="0" fontId="4" fillId="0" borderId="13" xfId="0" applyFont="1" applyBorder="1" applyAlignment="1">
      <alignment horizontal="center" wrapText="1"/>
    </xf>
    <xf numFmtId="0" fontId="4" fillId="0" borderId="2" xfId="0" applyFont="1" applyBorder="1" applyAlignment="1">
      <alignment horizontal="center" wrapText="1"/>
    </xf>
    <xf numFmtId="164" fontId="7" fillId="0" borderId="4" xfId="0" applyNumberFormat="1" applyFont="1" applyBorder="1" applyAlignment="1">
      <alignment horizontal="center" vertical="top" wrapText="1"/>
    </xf>
    <xf numFmtId="3" fontId="5" fillId="0" borderId="2" xfId="0" applyNumberFormat="1" applyFont="1" applyBorder="1" applyAlignment="1">
      <alignment horizontal="center" vertical="top" wrapText="1"/>
    </xf>
    <xf numFmtId="0" fontId="5" fillId="0" borderId="2" xfId="0" applyFont="1" applyBorder="1" applyAlignment="1">
      <alignment horizontal="center" vertical="top" wrapText="1"/>
    </xf>
    <xf numFmtId="0" fontId="5" fillId="2" borderId="2" xfId="0" applyFont="1" applyFill="1" applyBorder="1" applyAlignment="1">
      <alignment horizontal="center" vertical="top" wrapText="1"/>
    </xf>
    <xf numFmtId="1" fontId="5" fillId="0" borderId="2" xfId="0" applyNumberFormat="1" applyFont="1" applyBorder="1" applyAlignment="1">
      <alignment horizontal="center" vertical="top" wrapText="1"/>
    </xf>
    <xf numFmtId="1" fontId="5" fillId="2" borderId="2" xfId="0" applyNumberFormat="1" applyFont="1" applyFill="1" applyBorder="1" applyAlignment="1">
      <alignment horizontal="center" vertical="top" wrapText="1"/>
    </xf>
    <xf numFmtId="1" fontId="5" fillId="0" borderId="2" xfId="0" applyNumberFormat="1" applyFont="1" applyFill="1" applyBorder="1" applyAlignment="1">
      <alignment horizontal="center" vertical="top" wrapText="1"/>
    </xf>
    <xf numFmtId="0" fontId="5" fillId="2" borderId="2" xfId="0" applyFont="1" applyFill="1" applyBorder="1" applyAlignment="1">
      <alignment horizontal="center" wrapText="1"/>
    </xf>
    <xf numFmtId="0" fontId="5" fillId="0" borderId="2" xfId="0" applyFont="1" applyBorder="1" applyAlignment="1">
      <alignment horizontal="center" wrapText="1"/>
    </xf>
    <xf numFmtId="0" fontId="5" fillId="0" borderId="2" xfId="0" applyFont="1" applyBorder="1" applyAlignment="1">
      <alignment horizontal="left" vertical="top" wrapText="1"/>
    </xf>
    <xf numFmtId="14"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14" fontId="5" fillId="0" borderId="14" xfId="0" applyNumberFormat="1" applyFont="1" applyBorder="1" applyAlignment="1">
      <alignment horizontal="left" vertical="top" wrapText="1"/>
    </xf>
    <xf numFmtId="0" fontId="4" fillId="0" borderId="15" xfId="0" applyFont="1" applyBorder="1" applyAlignment="1">
      <alignment horizontal="center" vertical="center" wrapText="1"/>
    </xf>
    <xf numFmtId="0" fontId="4" fillId="0" borderId="5"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2" xfId="0" applyFont="1" applyBorder="1" applyAlignment="1">
      <alignment horizontal="center" vertical="center" wrapText="1"/>
    </xf>
    <xf numFmtId="164" fontId="7" fillId="0" borderId="2" xfId="0" applyNumberFormat="1" applyFont="1" applyBorder="1" applyAlignment="1">
      <alignment horizontal="center" vertical="top" wrapText="1"/>
    </xf>
    <xf numFmtId="0" fontId="5" fillId="0" borderId="14" xfId="0" applyFont="1" applyBorder="1" applyAlignment="1">
      <alignment horizontal="left" vertical="top" wrapText="1"/>
    </xf>
    <xf numFmtId="0" fontId="3" fillId="0" borderId="12" xfId="0" applyFont="1" applyFill="1" applyBorder="1" applyAlignment="1">
      <alignment horizontal="center" wrapText="1"/>
    </xf>
    <xf numFmtId="0" fontId="3" fillId="0" borderId="13" xfId="0" applyFont="1" applyBorder="1" applyAlignment="1">
      <alignment horizontal="center" wrapText="1"/>
    </xf>
    <xf numFmtId="0" fontId="3" fillId="0" borderId="2" xfId="0" applyFont="1" applyBorder="1" applyAlignment="1">
      <alignment horizontal="center" wrapText="1"/>
    </xf>
    <xf numFmtId="164" fontId="8" fillId="0" borderId="4" xfId="0" applyNumberFormat="1" applyFont="1" applyBorder="1" applyAlignment="1">
      <alignment horizontal="center" vertical="top" wrapText="1"/>
    </xf>
    <xf numFmtId="3" fontId="9" fillId="0" borderId="2" xfId="0" applyNumberFormat="1" applyFont="1" applyBorder="1" applyAlignment="1">
      <alignment horizontal="center" vertical="top" wrapText="1"/>
    </xf>
    <xf numFmtId="0" fontId="9" fillId="0" borderId="2" xfId="0" applyFont="1" applyBorder="1" applyAlignment="1">
      <alignment horizontal="center" vertical="top" wrapText="1"/>
    </xf>
    <xf numFmtId="0" fontId="9" fillId="2" borderId="2" xfId="0" applyFont="1" applyFill="1" applyBorder="1" applyAlignment="1">
      <alignment horizontal="center" vertical="top" wrapText="1"/>
    </xf>
    <xf numFmtId="1" fontId="9" fillId="0" borderId="2" xfId="0" applyNumberFormat="1" applyFont="1" applyBorder="1" applyAlignment="1">
      <alignment horizontal="center" vertical="top" wrapText="1"/>
    </xf>
    <xf numFmtId="1" fontId="9" fillId="2" borderId="2" xfId="0" applyNumberFormat="1" applyFont="1" applyFill="1" applyBorder="1" applyAlignment="1">
      <alignment horizontal="center" vertical="top" wrapText="1"/>
    </xf>
    <xf numFmtId="1" fontId="9" fillId="0" borderId="2" xfId="0" applyNumberFormat="1" applyFont="1" applyFill="1" applyBorder="1" applyAlignment="1">
      <alignment horizontal="center" vertical="top" wrapText="1"/>
    </xf>
    <xf numFmtId="0" fontId="9" fillId="2" borderId="2" xfId="0" applyFont="1" applyFill="1" applyBorder="1" applyAlignment="1">
      <alignment horizontal="center" wrapText="1"/>
    </xf>
    <xf numFmtId="0" fontId="9" fillId="0" borderId="2" xfId="0" applyFont="1" applyBorder="1" applyAlignment="1">
      <alignment horizontal="center" wrapText="1"/>
    </xf>
    <xf numFmtId="0" fontId="9" fillId="0" borderId="2" xfId="0" applyFont="1" applyBorder="1" applyAlignment="1">
      <alignment horizontal="left" vertical="top" wrapText="1"/>
    </xf>
    <xf numFmtId="14" fontId="9" fillId="0" borderId="2"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9" fillId="0" borderId="14" xfId="0" applyFont="1" applyBorder="1" applyAlignment="1">
      <alignment horizontal="left" vertical="top" wrapText="1"/>
    </xf>
    <xf numFmtId="0" fontId="9" fillId="0" borderId="0" xfId="0" applyFont="1" applyBorder="1" applyAlignment="1">
      <alignment horizontal="center" wrapText="1"/>
    </xf>
    <xf numFmtId="0" fontId="9" fillId="0" borderId="0" xfId="0" applyFont="1" applyBorder="1" applyAlignment="1">
      <alignment horizontal="center" vertical="center" wrapText="1"/>
    </xf>
    <xf numFmtId="0" fontId="9" fillId="0" borderId="0" xfId="0" applyFont="1" applyAlignment="1">
      <alignment horizontal="center" vertical="center" wrapText="1"/>
    </xf>
    <xf numFmtId="14" fontId="7" fillId="0" borderId="2" xfId="0" applyNumberFormat="1" applyFont="1" applyBorder="1" applyAlignment="1">
      <alignment horizontal="center" vertical="top" wrapText="1"/>
    </xf>
    <xf numFmtId="0" fontId="4" fillId="0" borderId="13" xfId="0" applyFont="1" applyBorder="1" applyAlignment="1">
      <alignment horizontal="center" vertical="center" wrapText="1"/>
    </xf>
    <xf numFmtId="0" fontId="4" fillId="0" borderId="2" xfId="0" applyFont="1" applyBorder="1" applyAlignment="1">
      <alignment horizontal="center" vertical="center" wrapText="1"/>
    </xf>
    <xf numFmtId="14" fontId="4" fillId="0" borderId="2" xfId="0" applyNumberFormat="1" applyFont="1" applyBorder="1" applyAlignment="1">
      <alignment horizontal="center" wrapText="1"/>
    </xf>
    <xf numFmtId="0" fontId="5" fillId="0" borderId="14" xfId="0" applyFont="1" applyBorder="1" applyAlignment="1">
      <alignment horizontal="left" vertical="top"/>
    </xf>
    <xf numFmtId="0" fontId="4" fillId="0" borderId="16" xfId="0" applyFont="1" applyBorder="1" applyAlignment="1">
      <alignment horizontal="center" vertical="center" wrapText="1"/>
    </xf>
    <xf numFmtId="0" fontId="4" fillId="0" borderId="1" xfId="0" applyFont="1" applyBorder="1" applyAlignment="1">
      <alignment horizontal="center" wrapText="1"/>
    </xf>
    <xf numFmtId="14" fontId="7" fillId="0" borderId="1" xfId="0" applyNumberFormat="1" applyFont="1" applyBorder="1" applyAlignment="1">
      <alignment horizontal="center" vertical="top" wrapText="1"/>
    </xf>
    <xf numFmtId="3" fontId="5" fillId="0" borderId="3" xfId="0" applyNumberFormat="1" applyFont="1" applyBorder="1" applyAlignment="1">
      <alignment horizontal="center" vertical="top" wrapText="1"/>
    </xf>
    <xf numFmtId="0" fontId="5" fillId="0" borderId="3" xfId="0" applyFont="1" applyBorder="1" applyAlignment="1">
      <alignment horizontal="center" vertical="top" wrapText="1"/>
    </xf>
    <xf numFmtId="0" fontId="5" fillId="2" borderId="3" xfId="0" applyFont="1" applyFill="1" applyBorder="1" applyAlignment="1">
      <alignment horizontal="center" vertical="top" wrapText="1"/>
    </xf>
    <xf numFmtId="1" fontId="5" fillId="0" borderId="3" xfId="0" applyNumberFormat="1" applyFont="1" applyBorder="1" applyAlignment="1">
      <alignment horizontal="center" vertical="top" wrapText="1"/>
    </xf>
    <xf numFmtId="1" fontId="5" fillId="2" borderId="3" xfId="0" applyNumberFormat="1" applyFont="1" applyFill="1" applyBorder="1" applyAlignment="1">
      <alignment horizontal="center" vertical="top" wrapText="1"/>
    </xf>
    <xf numFmtId="1" fontId="5" fillId="0" borderId="3" xfId="0" applyNumberFormat="1" applyFont="1" applyFill="1" applyBorder="1" applyAlignment="1">
      <alignment horizontal="center" vertical="top" wrapText="1"/>
    </xf>
    <xf numFmtId="0" fontId="5" fillId="2" borderId="3" xfId="0" applyFont="1" applyFill="1" applyBorder="1" applyAlignment="1">
      <alignment horizontal="center" wrapText="1"/>
    </xf>
    <xf numFmtId="0" fontId="5" fillId="0" borderId="3" xfId="0" applyFont="1" applyBorder="1" applyAlignment="1">
      <alignment horizontal="center" wrapText="1"/>
    </xf>
    <xf numFmtId="0" fontId="5" fillId="0" borderId="3" xfId="0" applyFont="1" applyBorder="1" applyAlignment="1">
      <alignment horizontal="left" vertical="top" wrapText="1"/>
    </xf>
    <xf numFmtId="14" fontId="5" fillId="0" borderId="3"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17" xfId="0" applyFont="1" applyBorder="1" applyAlignment="1">
      <alignment horizontal="left" vertical="top"/>
    </xf>
    <xf numFmtId="0" fontId="4" fillId="3" borderId="13" xfId="0" applyFont="1" applyFill="1" applyBorder="1" applyAlignment="1">
      <alignment horizontal="center" vertical="center" wrapText="1"/>
    </xf>
    <xf numFmtId="0" fontId="4" fillId="3" borderId="4" xfId="0" applyFont="1" applyFill="1" applyBorder="1" applyAlignment="1">
      <alignment horizontal="center" wrapText="1"/>
    </xf>
    <xf numFmtId="164" fontId="7" fillId="3" borderId="4" xfId="0" applyNumberFormat="1" applyFont="1" applyFill="1" applyBorder="1" applyAlignment="1">
      <alignment horizontal="center" vertical="top" wrapText="1"/>
    </xf>
    <xf numFmtId="3" fontId="5" fillId="3" borderId="2" xfId="0" applyNumberFormat="1" applyFont="1" applyFill="1" applyBorder="1" applyAlignment="1">
      <alignment horizontal="center" vertical="top" wrapText="1"/>
    </xf>
    <xf numFmtId="0" fontId="5" fillId="3" borderId="2" xfId="0" applyFont="1" applyFill="1" applyBorder="1" applyAlignment="1">
      <alignment horizontal="center" vertical="top" wrapText="1"/>
    </xf>
    <xf numFmtId="0" fontId="5" fillId="4" borderId="2" xfId="0" applyFont="1" applyFill="1" applyBorder="1" applyAlignment="1">
      <alignment horizontal="center" vertical="top" wrapText="1"/>
    </xf>
    <xf numFmtId="1" fontId="5" fillId="3" borderId="2" xfId="0" applyNumberFormat="1" applyFont="1" applyFill="1" applyBorder="1" applyAlignment="1">
      <alignment horizontal="center" vertical="top" wrapText="1"/>
    </xf>
    <xf numFmtId="1" fontId="5" fillId="4" borderId="2" xfId="0" applyNumberFormat="1" applyFont="1" applyFill="1" applyBorder="1" applyAlignment="1">
      <alignment horizontal="center" vertical="top" wrapText="1"/>
    </xf>
    <xf numFmtId="0" fontId="5" fillId="4" borderId="2" xfId="0" applyFont="1" applyFill="1" applyBorder="1" applyAlignment="1">
      <alignment horizontal="center" wrapText="1"/>
    </xf>
    <xf numFmtId="0" fontId="5" fillId="3" borderId="2" xfId="0" applyFont="1" applyFill="1" applyBorder="1" applyAlignment="1">
      <alignment horizontal="center" wrapText="1"/>
    </xf>
    <xf numFmtId="0" fontId="5" fillId="3" borderId="2" xfId="0" applyFont="1" applyFill="1" applyBorder="1" applyAlignment="1">
      <alignment horizontal="left" vertical="top" wrapText="1"/>
    </xf>
    <xf numFmtId="14" fontId="5" fillId="3" borderId="2"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14" xfId="0" applyFont="1" applyFill="1" applyBorder="1" applyAlignment="1">
      <alignment horizontal="left" vertical="top"/>
    </xf>
    <xf numFmtId="0" fontId="5" fillId="3" borderId="0" xfId="0" applyFont="1" applyFill="1" applyBorder="1" applyAlignment="1">
      <alignment horizontal="center" wrapText="1"/>
    </xf>
    <xf numFmtId="0" fontId="5" fillId="0" borderId="2" xfId="0" applyFont="1" applyFill="1" applyBorder="1" applyAlignment="1">
      <alignment horizontal="center" vertical="top" wrapText="1"/>
    </xf>
    <xf numFmtId="0" fontId="5" fillId="0" borderId="4" xfId="0" applyFont="1" applyBorder="1" applyAlignment="1">
      <alignment horizontal="left" vertical="top" wrapText="1"/>
    </xf>
    <xf numFmtId="164" fontId="7" fillId="0" borderId="20"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top" wrapText="1"/>
    </xf>
    <xf numFmtId="164" fontId="7" fillId="0" borderId="4" xfId="0" applyNumberFormat="1" applyFont="1" applyBorder="1" applyAlignment="1">
      <alignment horizontal="center" vertical="center" wrapText="1"/>
    </xf>
    <xf numFmtId="14" fontId="5" fillId="0" borderId="14" xfId="0" applyNumberFormat="1" applyFont="1" applyBorder="1" applyAlignment="1">
      <alignment horizontal="left" vertical="top"/>
    </xf>
    <xf numFmtId="0" fontId="5" fillId="2" borderId="2" xfId="0" applyFont="1" applyFill="1" applyBorder="1" applyAlignment="1">
      <alignment vertical="top"/>
    </xf>
    <xf numFmtId="0" fontId="5" fillId="0" borderId="3" xfId="0" applyFont="1" applyBorder="1" applyAlignment="1">
      <alignment vertical="top" wrapText="1"/>
    </xf>
    <xf numFmtId="0" fontId="5" fillId="0" borderId="2" xfId="0" applyFont="1" applyBorder="1" applyAlignment="1">
      <alignment wrapText="1"/>
    </xf>
    <xf numFmtId="0" fontId="5" fillId="0" borderId="2" xfId="0" applyFont="1" applyBorder="1" applyAlignment="1">
      <alignment vertical="top" wrapText="1"/>
    </xf>
    <xf numFmtId="0" fontId="5" fillId="0" borderId="17" xfId="0" applyFont="1" applyBorder="1" applyAlignment="1">
      <alignment vertical="top" wrapText="1"/>
    </xf>
    <xf numFmtId="0" fontId="4" fillId="0" borderId="13" xfId="0" applyFont="1" applyBorder="1" applyAlignment="1">
      <alignment vertical="center" wrapText="1"/>
    </xf>
    <xf numFmtId="0" fontId="4" fillId="0" borderId="2" xfId="0" applyFont="1" applyBorder="1" applyAlignment="1">
      <alignment vertical="center" wrapText="1"/>
    </xf>
    <xf numFmtId="14" fontId="4" fillId="0" borderId="2" xfId="0" applyNumberFormat="1" applyFont="1" applyBorder="1" applyAlignment="1">
      <alignment wrapText="1"/>
    </xf>
    <xf numFmtId="0" fontId="5" fillId="2" borderId="5" xfId="0" applyFont="1" applyFill="1" applyBorder="1" applyAlignment="1">
      <alignment vertical="top"/>
    </xf>
    <xf numFmtId="0" fontId="5" fillId="0" borderId="5" xfId="0" applyFont="1" applyBorder="1" applyAlignment="1">
      <alignment vertical="top" wrapText="1"/>
    </xf>
    <xf numFmtId="0" fontId="5" fillId="0" borderId="7" xfId="0" applyFont="1" applyBorder="1" applyAlignment="1">
      <alignment wrapText="1"/>
    </xf>
    <xf numFmtId="0" fontId="5" fillId="0" borderId="7" xfId="0" applyFont="1" applyBorder="1" applyAlignment="1">
      <alignment vertical="top" wrapText="1"/>
    </xf>
    <xf numFmtId="0" fontId="5" fillId="0" borderId="21" xfId="0" applyFont="1" applyBorder="1" applyAlignment="1">
      <alignment vertical="top" wrapText="1"/>
    </xf>
    <xf numFmtId="0" fontId="4" fillId="0" borderId="22" xfId="0" applyFont="1" applyBorder="1" applyAlignment="1">
      <alignment horizontal="center" wrapText="1"/>
    </xf>
    <xf numFmtId="0" fontId="4" fillId="0" borderId="23" xfId="0" applyFont="1" applyBorder="1" applyAlignment="1">
      <alignment horizontal="center" vertical="center" wrapText="1"/>
    </xf>
    <xf numFmtId="0" fontId="5" fillId="0" borderId="0" xfId="0" applyFont="1" applyAlignment="1">
      <alignment horizontal="center" wrapText="1"/>
    </xf>
    <xf numFmtId="0" fontId="4" fillId="0" borderId="13" xfId="0" applyFont="1" applyFill="1" applyBorder="1" applyAlignment="1">
      <alignment horizontal="center" vertical="center" wrapText="1"/>
    </xf>
    <xf numFmtId="0" fontId="4" fillId="0" borderId="4" xfId="0" applyFont="1" applyFill="1" applyBorder="1" applyAlignment="1">
      <alignment horizontal="center" wrapText="1"/>
    </xf>
    <xf numFmtId="164" fontId="7" fillId="0" borderId="4" xfId="0" applyNumberFormat="1" applyFont="1" applyFill="1" applyBorder="1" applyAlignment="1">
      <alignment horizontal="center" vertical="top" wrapText="1"/>
    </xf>
    <xf numFmtId="3" fontId="5" fillId="0" borderId="2" xfId="0" applyNumberFormat="1" applyFont="1" applyFill="1" applyBorder="1" applyAlignment="1">
      <alignment horizontal="center" vertical="top" wrapText="1"/>
    </xf>
    <xf numFmtId="0" fontId="5" fillId="0" borderId="2" xfId="0" applyFont="1" applyFill="1" applyBorder="1" applyAlignment="1">
      <alignment horizontal="center" wrapText="1"/>
    </xf>
    <xf numFmtId="0" fontId="5" fillId="0" borderId="2" xfId="0" applyFont="1" applyFill="1" applyBorder="1" applyAlignment="1">
      <alignment horizontal="left" vertical="top" wrapText="1"/>
    </xf>
    <xf numFmtId="14" fontId="5" fillId="0" borderId="2"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4" xfId="0" applyFont="1" applyFill="1" applyBorder="1" applyAlignment="1">
      <alignment horizontal="left" vertical="top"/>
    </xf>
    <xf numFmtId="0" fontId="5" fillId="0" borderId="0" xfId="0" applyFont="1" applyFill="1" applyBorder="1" applyAlignment="1">
      <alignment horizontal="center" wrapText="1"/>
    </xf>
    <xf numFmtId="0" fontId="5" fillId="0" borderId="0" xfId="0" applyFont="1" applyFill="1" applyBorder="1" applyAlignment="1">
      <alignment horizontal="center" vertical="center" wrapText="1"/>
    </xf>
    <xf numFmtId="0" fontId="5" fillId="0" borderId="0" xfId="0" applyFont="1" applyFill="1" applyAlignment="1">
      <alignment horizontal="center" vertical="center" wrapText="1"/>
    </xf>
    <xf numFmtId="0" fontId="7" fillId="0" borderId="4" xfId="0" applyNumberFormat="1" applyFont="1" applyBorder="1" applyAlignment="1">
      <alignment horizontal="center" vertical="top" wrapText="1"/>
    </xf>
    <xf numFmtId="14" fontId="5" fillId="0" borderId="2" xfId="0" applyNumberFormat="1" applyFont="1" applyBorder="1" applyAlignment="1">
      <alignment horizontal="left" vertical="top" wrapText="1"/>
    </xf>
    <xf numFmtId="0" fontId="4" fillId="5" borderId="0" xfId="0" applyFont="1" applyFill="1" applyBorder="1" applyAlignment="1">
      <alignment horizontal="center" wrapText="1"/>
    </xf>
    <xf numFmtId="0" fontId="4" fillId="6" borderId="5" xfId="0" applyFont="1" applyFill="1" applyBorder="1" applyAlignment="1">
      <alignment horizontal="center" wrapText="1"/>
    </xf>
    <xf numFmtId="0" fontId="6" fillId="0" borderId="2" xfId="0" applyFont="1" applyBorder="1" applyAlignment="1">
      <alignment horizontal="center" vertical="top" wrapText="1"/>
    </xf>
    <xf numFmtId="14" fontId="5" fillId="0" borderId="2" xfId="0" applyNumberFormat="1" applyFont="1" applyBorder="1" applyAlignment="1">
      <alignment horizontal="center" vertical="top" wrapText="1"/>
    </xf>
    <xf numFmtId="0" fontId="5" fillId="0" borderId="24" xfId="0" applyFont="1" applyBorder="1" applyAlignment="1">
      <alignment horizontal="center" vertical="top" wrapText="1"/>
    </xf>
    <xf numFmtId="0" fontId="5" fillId="0" borderId="2" xfId="0" applyFont="1" applyBorder="1" applyAlignment="1">
      <alignment horizontal="left" vertical="top"/>
    </xf>
    <xf numFmtId="0" fontId="4" fillId="7" borderId="0" xfId="0" applyFont="1" applyFill="1" applyBorder="1" applyAlignment="1">
      <alignment horizontal="center" wrapText="1"/>
    </xf>
    <xf numFmtId="164" fontId="5" fillId="0" borderId="4" xfId="0" applyNumberFormat="1" applyFont="1" applyBorder="1" applyAlignment="1">
      <alignment horizontal="center" vertical="top" wrapText="1"/>
    </xf>
    <xf numFmtId="0" fontId="5" fillId="0" borderId="2" xfId="0" applyFont="1" applyBorder="1"/>
    <xf numFmtId="0" fontId="5" fillId="2" borderId="2" xfId="0" applyFont="1" applyFill="1" applyBorder="1"/>
    <xf numFmtId="0" fontId="5" fillId="0" borderId="2" xfId="0" applyFont="1" applyBorder="1" applyAlignment="1">
      <alignment horizontal="center"/>
    </xf>
    <xf numFmtId="14" fontId="5" fillId="0" borderId="2" xfId="0" applyNumberFormat="1" applyFont="1" applyBorder="1" applyAlignment="1">
      <alignment wrapText="1"/>
    </xf>
    <xf numFmtId="0" fontId="5" fillId="0" borderId="2" xfId="0" applyFont="1" applyBorder="1" applyAlignment="1"/>
    <xf numFmtId="0" fontId="5" fillId="0" borderId="0" xfId="0" applyFont="1" applyBorder="1"/>
    <xf numFmtId="0" fontId="3" fillId="5" borderId="0" xfId="0" applyFont="1" applyFill="1" applyBorder="1" applyAlignment="1">
      <alignment horizontal="center" wrapText="1"/>
    </xf>
    <xf numFmtId="0" fontId="4" fillId="0" borderId="4" xfId="0" applyFont="1" applyBorder="1" applyAlignment="1">
      <alignment horizontal="center" vertical="center" wrapText="1"/>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14" fontId="7" fillId="0" borderId="4" xfId="0" applyNumberFormat="1" applyFont="1" applyBorder="1" applyAlignment="1">
      <alignment horizontal="center" vertical="top" wrapText="1"/>
    </xf>
    <xf numFmtId="14" fontId="4" fillId="0" borderId="4" xfId="0" applyNumberFormat="1" applyFont="1" applyBorder="1" applyAlignment="1">
      <alignment horizontal="center" vertical="center" wrapText="1"/>
    </xf>
    <xf numFmtId="0" fontId="3" fillId="3" borderId="0" xfId="0" applyFont="1" applyFill="1" applyBorder="1" applyAlignment="1">
      <alignment horizontal="center" wrapText="1"/>
    </xf>
    <xf numFmtId="0" fontId="4" fillId="0" borderId="5" xfId="0" applyFont="1" applyFill="1" applyBorder="1" applyAlignment="1">
      <alignment horizontal="center" vertical="center" wrapText="1"/>
    </xf>
    <xf numFmtId="164" fontId="7" fillId="0" borderId="20" xfId="0" applyNumberFormat="1"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5" xfId="0" applyFont="1" applyFill="1" applyBorder="1" applyAlignment="1">
      <alignment horizontal="center" vertical="top" wrapText="1"/>
    </xf>
    <xf numFmtId="14" fontId="5" fillId="0" borderId="2" xfId="0" applyNumberFormat="1" applyFont="1" applyFill="1" applyBorder="1" applyAlignment="1">
      <alignment horizontal="left" vertical="top" wrapText="1"/>
    </xf>
    <xf numFmtId="0" fontId="4" fillId="0" borderId="4" xfId="0" applyFont="1" applyBorder="1" applyAlignment="1">
      <alignment horizontal="center" wrapText="1"/>
    </xf>
    <xf numFmtId="14" fontId="4" fillId="0" borderId="2" xfId="0" applyNumberFormat="1" applyFont="1" applyBorder="1" applyAlignment="1">
      <alignment horizontal="center" vertical="center" wrapText="1"/>
    </xf>
    <xf numFmtId="0" fontId="5" fillId="0" borderId="4" xfId="0" applyFont="1" applyBorder="1" applyAlignment="1">
      <alignment horizontal="center" wrapText="1"/>
    </xf>
    <xf numFmtId="4" fontId="5" fillId="0" borderId="2" xfId="0" applyNumberFormat="1" applyFont="1" applyBorder="1" applyAlignment="1">
      <alignment horizontal="center" vertical="top" wrapText="1"/>
    </xf>
    <xf numFmtId="14" fontId="5" fillId="0" borderId="6" xfId="0" applyNumberFormat="1" applyFont="1" applyBorder="1" applyAlignment="1">
      <alignment horizontal="left" vertical="top" wrapText="1"/>
    </xf>
    <xf numFmtId="0" fontId="4" fillId="8" borderId="12" xfId="0" applyFont="1" applyFill="1" applyBorder="1" applyAlignment="1">
      <alignment horizontal="center" wrapText="1"/>
    </xf>
    <xf numFmtId="0" fontId="6" fillId="0" borderId="13" xfId="0" applyFont="1" applyBorder="1" applyAlignment="1">
      <alignment horizontal="center" wrapText="1"/>
    </xf>
    <xf numFmtId="14" fontId="6" fillId="0" borderId="2" xfId="0" applyNumberFormat="1" applyFont="1" applyBorder="1" applyAlignment="1">
      <alignment horizontal="center" wrapText="1"/>
    </xf>
    <xf numFmtId="0" fontId="4" fillId="8" borderId="12" xfId="0" applyFont="1" applyFill="1" applyBorder="1" applyAlignment="1">
      <alignment horizontal="center"/>
    </xf>
    <xf numFmtId="0" fontId="6" fillId="0" borderId="13" xfId="0" applyFont="1" applyBorder="1" applyAlignment="1">
      <alignment horizontal="center" vertical="top" wrapText="1"/>
    </xf>
    <xf numFmtId="14" fontId="6" fillId="0" borderId="2" xfId="0" applyNumberFormat="1" applyFont="1" applyBorder="1" applyAlignment="1">
      <alignment horizontal="center" vertical="top" wrapText="1"/>
    </xf>
    <xf numFmtId="164" fontId="5" fillId="0" borderId="2" xfId="0" applyNumberFormat="1" applyFont="1" applyBorder="1" applyAlignment="1">
      <alignment horizontal="center" vertical="top" wrapText="1"/>
    </xf>
    <xf numFmtId="0" fontId="5" fillId="0" borderId="0" xfId="0" applyFont="1"/>
    <xf numFmtId="0" fontId="4" fillId="0" borderId="13" xfId="0" applyFont="1" applyBorder="1" applyAlignment="1">
      <alignment horizontal="center" vertical="top" wrapText="1"/>
    </xf>
    <xf numFmtId="14" fontId="4" fillId="0" borderId="4" xfId="0" applyNumberFormat="1" applyFont="1" applyBorder="1" applyAlignment="1">
      <alignment horizontal="center" vertical="top" wrapText="1"/>
    </xf>
    <xf numFmtId="0" fontId="5" fillId="9" borderId="2"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4" xfId="0" applyFont="1" applyBorder="1" applyAlignment="1">
      <alignment horizontal="center" vertical="top" wrapText="1"/>
    </xf>
    <xf numFmtId="0" fontId="5" fillId="0" borderId="6" xfId="0" applyFont="1" applyBorder="1"/>
    <xf numFmtId="0" fontId="5" fillId="2" borderId="13" xfId="0" applyFont="1" applyFill="1" applyBorder="1"/>
    <xf numFmtId="0" fontId="5" fillId="2" borderId="14" xfId="0" applyFont="1" applyFill="1" applyBorder="1"/>
    <xf numFmtId="0" fontId="5" fillId="0" borderId="4" xfId="0" applyFont="1" applyBorder="1"/>
    <xf numFmtId="0" fontId="4" fillId="0" borderId="25" xfId="0" applyFont="1" applyFill="1" applyBorder="1" applyAlignment="1">
      <alignment horizontal="center" wrapText="1"/>
    </xf>
    <xf numFmtId="0" fontId="4" fillId="5" borderId="25" xfId="0" applyFont="1" applyFill="1" applyBorder="1" applyAlignment="1">
      <alignment horizontal="center" wrapText="1"/>
    </xf>
    <xf numFmtId="14" fontId="4" fillId="0" borderId="4" xfId="0" applyNumberFormat="1" applyFont="1" applyBorder="1" applyAlignment="1">
      <alignment horizontal="center" wrapText="1"/>
    </xf>
    <xf numFmtId="0" fontId="4" fillId="0" borderId="2" xfId="0" applyFont="1" applyBorder="1" applyAlignment="1">
      <alignment horizontal="center" vertical="top" wrapText="1"/>
    </xf>
    <xf numFmtId="14" fontId="5" fillId="0" borderId="2" xfId="0" applyNumberFormat="1" applyFont="1" applyBorder="1"/>
    <xf numFmtId="14" fontId="4" fillId="0" borderId="5"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4" fillId="5" borderId="0" xfId="0" applyFont="1" applyFill="1" applyBorder="1" applyAlignment="1">
      <alignment horizontal="center" vertical="center" wrapText="1"/>
    </xf>
    <xf numFmtId="14" fontId="10"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1" fontId="5" fillId="2" borderId="2" xfId="0" applyNumberFormat="1" applyFont="1" applyFill="1" applyBorder="1" applyAlignment="1">
      <alignment horizontal="center" vertical="center" wrapText="1"/>
    </xf>
    <xf numFmtId="1" fontId="5" fillId="0" borderId="2" xfId="0" applyNumberFormat="1" applyFont="1" applyBorder="1" applyAlignment="1">
      <alignment horizontal="center" vertical="center" wrapText="1"/>
    </xf>
    <xf numFmtId="0" fontId="5" fillId="0" borderId="14" xfId="0" applyFont="1" applyBorder="1" applyAlignment="1">
      <alignment horizontal="center" vertical="center"/>
    </xf>
    <xf numFmtId="0" fontId="10" fillId="0" borderId="0" xfId="0" applyFont="1" applyAlignment="1">
      <alignment horizontal="center" vertical="center"/>
    </xf>
    <xf numFmtId="14" fontId="5" fillId="0" borderId="14" xfId="0" applyNumberFormat="1" applyFont="1" applyBorder="1" applyAlignment="1">
      <alignment horizontal="center" vertical="center" wrapText="1"/>
    </xf>
    <xf numFmtId="14" fontId="6" fillId="0" borderId="2" xfId="0" applyNumberFormat="1" applyFont="1" applyBorder="1" applyAlignment="1">
      <alignment horizontal="center" vertical="center" wrapText="1"/>
    </xf>
    <xf numFmtId="14" fontId="5" fillId="0" borderId="25" xfId="0" applyNumberFormat="1" applyFont="1" applyBorder="1" applyAlignment="1">
      <alignment horizontal="left" vertical="top" wrapText="1"/>
    </xf>
    <xf numFmtId="0" fontId="4" fillId="10" borderId="0" xfId="0" applyFont="1" applyFill="1" applyBorder="1" applyAlignment="1">
      <alignment horizontal="center" wrapText="1"/>
    </xf>
    <xf numFmtId="14" fontId="5" fillId="0" borderId="0" xfId="0" applyNumberFormat="1" applyFont="1" applyBorder="1" applyAlignment="1">
      <alignment horizontal="left" vertical="top" wrapText="1"/>
    </xf>
    <xf numFmtId="0" fontId="4" fillId="0" borderId="5" xfId="0" applyFont="1" applyBorder="1" applyAlignment="1">
      <alignment horizontal="center" wrapText="1"/>
    </xf>
    <xf numFmtId="164" fontId="7" fillId="0" borderId="20" xfId="0" applyNumberFormat="1" applyFont="1" applyBorder="1" applyAlignment="1">
      <alignment horizontal="center" vertical="top" wrapText="1"/>
    </xf>
    <xf numFmtId="14" fontId="7" fillId="0" borderId="3" xfId="0" applyNumberFormat="1" applyFont="1" applyBorder="1" applyAlignment="1">
      <alignment horizontal="center" vertical="top" wrapText="1"/>
    </xf>
    <xf numFmtId="0" fontId="10" fillId="0" borderId="0" xfId="0" applyFont="1"/>
    <xf numFmtId="0" fontId="11" fillId="0" borderId="0" xfId="0" applyFont="1" applyFill="1" applyBorder="1"/>
    <xf numFmtId="0" fontId="10" fillId="0" borderId="0" xfId="0" applyFont="1" applyAlignment="1">
      <alignment horizontal="center"/>
    </xf>
    <xf numFmtId="0" fontId="10" fillId="0" borderId="0" xfId="0" applyFont="1" applyAlignment="1">
      <alignment horizontal="center" vertical="top"/>
    </xf>
    <xf numFmtId="0" fontId="10" fillId="0" borderId="0" xfId="0" applyFont="1" applyAlignment="1">
      <alignment horizontal="left" vertical="top"/>
    </xf>
    <xf numFmtId="0" fontId="10" fillId="0" borderId="0" xfId="0" applyFont="1" applyAlignment="1"/>
    <xf numFmtId="0" fontId="11" fillId="0" borderId="0" xfId="0" applyFont="1" applyFill="1"/>
    <xf numFmtId="0" fontId="12" fillId="0" borderId="0" xfId="0" applyFont="1" applyFill="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top"/>
    </xf>
    <xf numFmtId="0" fontId="0" fillId="0" borderId="0" xfId="0" applyAlignment="1"/>
    <xf numFmtId="0" fontId="0" fillId="0" borderId="0" xfId="0" applyAlignment="1">
      <alignment horizontal="left" vertical="top"/>
    </xf>
    <xf numFmtId="0" fontId="5" fillId="0" borderId="7" xfId="0" applyFont="1" applyBorder="1" applyAlignment="1">
      <alignment horizontal="center" vertical="center" wrapText="1"/>
    </xf>
    <xf numFmtId="49" fontId="4" fillId="0" borderId="5"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4" fillId="0" borderId="3" xfId="0" applyNumberFormat="1" applyFont="1" applyBorder="1" applyAlignment="1">
      <alignment vertical="center" wrapText="1"/>
    </xf>
    <xf numFmtId="49" fontId="5" fillId="0" borderId="3" xfId="0" applyNumberFormat="1" applyFont="1" applyBorder="1" applyAlignment="1">
      <alignment vertical="center" wrapText="1"/>
    </xf>
    <xf numFmtId="49" fontId="4" fillId="0" borderId="2" xfId="0" applyNumberFormat="1" applyFont="1" applyBorder="1" applyAlignment="1">
      <alignment horizontal="center" vertical="center" wrapText="1"/>
    </xf>
    <xf numFmtId="49" fontId="4" fillId="0" borderId="7" xfId="0" applyNumberFormat="1" applyFont="1" applyBorder="1" applyAlignment="1">
      <alignment vertical="center" wrapText="1"/>
    </xf>
    <xf numFmtId="49" fontId="4" fillId="0" borderId="3" xfId="0" applyNumberFormat="1" applyFont="1" applyBorder="1" applyAlignment="1">
      <alignment wrapText="1"/>
    </xf>
    <xf numFmtId="49" fontId="4" fillId="0" borderId="3" xfId="0" applyNumberFormat="1" applyFont="1" applyBorder="1" applyAlignment="1">
      <alignment horizontal="center" vertical="center" wrapText="1"/>
    </xf>
    <xf numFmtId="49" fontId="4" fillId="0" borderId="3" xfId="0" applyNumberFormat="1" applyFont="1" applyBorder="1" applyAlignment="1">
      <alignment vertical="top" wrapText="1"/>
    </xf>
    <xf numFmtId="49" fontId="4" fillId="0" borderId="5" xfId="0" applyNumberFormat="1" applyFont="1" applyBorder="1" applyAlignment="1">
      <alignment vertical="center" wrapText="1"/>
    </xf>
    <xf numFmtId="49" fontId="0" fillId="0" borderId="0" xfId="0" applyNumberFormat="1" applyAlignment="1">
      <alignment vertical="center"/>
    </xf>
    <xf numFmtId="0" fontId="4" fillId="0" borderId="3" xfId="0" applyFont="1" applyBorder="1" applyAlignment="1">
      <alignment horizontal="center" vertical="top" wrapText="1"/>
    </xf>
    <xf numFmtId="0" fontId="4" fillId="0" borderId="3" xfId="0" applyFont="1" applyBorder="1" applyAlignment="1">
      <alignment horizontal="center" wrapText="1"/>
    </xf>
    <xf numFmtId="0" fontId="5" fillId="0" borderId="17" xfId="0" applyFont="1" applyBorder="1" applyAlignment="1">
      <alignment horizontal="center" vertical="top" wrapText="1"/>
    </xf>
    <xf numFmtId="0" fontId="5" fillId="0" borderId="5" xfId="0" applyFont="1" applyBorder="1" applyAlignment="1">
      <alignment horizontal="center" wrapText="1"/>
    </xf>
    <xf numFmtId="14" fontId="5" fillId="0" borderId="5" xfId="0" applyNumberFormat="1" applyFont="1" applyBorder="1" applyAlignment="1">
      <alignment horizontal="center" vertical="center" wrapText="1"/>
    </xf>
    <xf numFmtId="0" fontId="5" fillId="0" borderId="18" xfId="0" applyFont="1" applyBorder="1" applyAlignment="1">
      <alignment horizontal="center" vertical="top" wrapText="1"/>
    </xf>
    <xf numFmtId="164" fontId="7" fillId="0" borderId="3" xfId="0" applyNumberFormat="1" applyFont="1" applyBorder="1" applyAlignment="1">
      <alignment horizontal="center" vertical="center" wrapText="1"/>
    </xf>
    <xf numFmtId="164" fontId="7" fillId="0" borderId="5" xfId="0" applyNumberFormat="1" applyFont="1" applyBorder="1" applyAlignment="1">
      <alignment horizontal="center" vertical="center" wrapText="1"/>
    </xf>
    <xf numFmtId="14" fontId="4" fillId="0" borderId="3" xfId="0" applyNumberFormat="1" applyFont="1" applyBorder="1" applyAlignment="1">
      <alignment horizontal="center" wrapText="1"/>
    </xf>
    <xf numFmtId="0" fontId="4" fillId="0" borderId="19" xfId="0" applyFont="1" applyBorder="1" applyAlignment="1">
      <alignment horizontal="center" vertical="center" wrapText="1"/>
    </xf>
    <xf numFmtId="14" fontId="4" fillId="0" borderId="7" xfId="0" applyNumberFormat="1" applyFont="1" applyBorder="1" applyAlignment="1">
      <alignment horizontal="center" wrapText="1"/>
    </xf>
    <xf numFmtId="0" fontId="5" fillId="0" borderId="7" xfId="0" applyFont="1" applyBorder="1" applyAlignment="1">
      <alignment horizontal="center" vertical="top" wrapText="1"/>
    </xf>
    <xf numFmtId="14" fontId="5" fillId="0" borderId="7" xfId="0" applyNumberFormat="1" applyFont="1" applyBorder="1" applyAlignment="1">
      <alignment horizontal="center" vertical="center" wrapText="1"/>
    </xf>
    <xf numFmtId="14" fontId="4" fillId="0" borderId="5" xfId="0" applyNumberFormat="1" applyFont="1" applyBorder="1" applyAlignment="1">
      <alignment horizontal="center" wrapText="1"/>
    </xf>
    <xf numFmtId="164" fontId="7" fillId="0" borderId="7" xfId="0" applyNumberFormat="1" applyFont="1" applyBorder="1" applyAlignment="1">
      <alignment horizontal="center" vertical="center" wrapText="1"/>
    </xf>
    <xf numFmtId="0" fontId="5" fillId="0" borderId="5" xfId="0" applyFont="1" applyBorder="1" applyAlignment="1">
      <alignment horizontal="left" vertical="top" wrapText="1"/>
    </xf>
    <xf numFmtId="0" fontId="3" fillId="0" borderId="3" xfId="0" applyFont="1" applyBorder="1" applyAlignment="1">
      <alignment horizontal="center" wrapText="1"/>
    </xf>
    <xf numFmtId="164" fontId="8" fillId="0" borderId="3" xfId="0" applyNumberFormat="1" applyFont="1" applyBorder="1" applyAlignment="1">
      <alignment horizontal="center" vertical="top" wrapText="1"/>
    </xf>
    <xf numFmtId="0" fontId="9" fillId="0" borderId="3" xfId="0" applyFont="1" applyBorder="1" applyAlignment="1">
      <alignment horizontal="center" vertical="top" wrapText="1"/>
    </xf>
    <xf numFmtId="0" fontId="9" fillId="0" borderId="3" xfId="0" applyFont="1" applyBorder="1" applyAlignment="1">
      <alignment horizontal="center" wrapText="1"/>
    </xf>
    <xf numFmtId="0" fontId="9" fillId="0" borderId="3" xfId="0" applyFont="1" applyBorder="1" applyAlignment="1">
      <alignment horizontal="left" vertical="top" wrapText="1"/>
    </xf>
    <xf numFmtId="14" fontId="9" fillId="0" borderId="3" xfId="0" applyNumberFormat="1" applyFont="1" applyBorder="1" applyAlignment="1">
      <alignment horizontal="center" vertical="center" wrapText="1"/>
    </xf>
    <xf numFmtId="0" fontId="3" fillId="0" borderId="5" xfId="0" applyFont="1" applyBorder="1" applyAlignment="1">
      <alignment horizontal="center" wrapText="1"/>
    </xf>
    <xf numFmtId="164" fontId="8" fillId="0" borderId="5" xfId="0" applyNumberFormat="1" applyFont="1" applyBorder="1" applyAlignment="1">
      <alignment horizontal="center" vertical="top" wrapText="1"/>
    </xf>
    <xf numFmtId="0" fontId="9" fillId="0" borderId="5" xfId="0" applyFont="1" applyBorder="1" applyAlignment="1">
      <alignment horizontal="center" vertical="top" wrapText="1"/>
    </xf>
    <xf numFmtId="0" fontId="9" fillId="0" borderId="5" xfId="0" applyFont="1" applyBorder="1" applyAlignment="1">
      <alignment horizontal="center" wrapText="1"/>
    </xf>
    <xf numFmtId="0" fontId="9" fillId="0" borderId="5" xfId="0" applyFont="1" applyBorder="1" applyAlignment="1">
      <alignment horizontal="left" vertical="top" wrapText="1"/>
    </xf>
    <xf numFmtId="14" fontId="9" fillId="0" borderId="5" xfId="0" applyNumberFormat="1" applyFont="1" applyBorder="1" applyAlignment="1">
      <alignment horizontal="center" vertical="center" wrapText="1"/>
    </xf>
    <xf numFmtId="164" fontId="7" fillId="0" borderId="3" xfId="0" applyNumberFormat="1" applyFont="1" applyBorder="1" applyAlignment="1">
      <alignment horizontal="center" vertical="top" wrapText="1"/>
    </xf>
    <xf numFmtId="14" fontId="5" fillId="0" borderId="3" xfId="0" applyNumberFormat="1" applyFont="1" applyBorder="1" applyAlignment="1">
      <alignment horizontal="left" vertical="top" wrapText="1"/>
    </xf>
    <xf numFmtId="0" fontId="4" fillId="0" borderId="5" xfId="0" applyFont="1" applyBorder="1" applyAlignment="1">
      <alignment horizontal="center" vertical="top" wrapText="1"/>
    </xf>
    <xf numFmtId="164" fontId="7" fillId="0" borderId="5" xfId="0" applyNumberFormat="1" applyFont="1" applyBorder="1" applyAlignment="1">
      <alignment horizontal="center" vertical="top" wrapText="1"/>
    </xf>
    <xf numFmtId="0" fontId="5" fillId="2" borderId="5" xfId="0" applyFont="1" applyFill="1" applyBorder="1" applyAlignment="1">
      <alignment horizontal="center" vertical="top" wrapText="1"/>
    </xf>
    <xf numFmtId="14" fontId="5" fillId="0" borderId="5" xfId="0" applyNumberFormat="1" applyFont="1" applyBorder="1" applyAlignment="1">
      <alignment horizontal="left" vertical="top" wrapText="1"/>
    </xf>
  </cellXfs>
  <cellStyles count="37">
    <cellStyle name="Accent 1 1" xfId="1"/>
    <cellStyle name="Accent 1 6" xfId="2"/>
    <cellStyle name="Accent 2 1" xfId="3"/>
    <cellStyle name="Accent 2 7" xfId="4"/>
    <cellStyle name="Accent 3 1" xfId="5"/>
    <cellStyle name="Accent 3 8" xfId="6"/>
    <cellStyle name="Accent 4" xfId="7"/>
    <cellStyle name="Accent 5" xfId="8"/>
    <cellStyle name="Bad 1" xfId="9"/>
    <cellStyle name="Bad 9" xfId="10"/>
    <cellStyle name="Error 1" xfId="11"/>
    <cellStyle name="Error 10" xfId="12"/>
    <cellStyle name="Euro" xfId="13"/>
    <cellStyle name="Footnote 1" xfId="14"/>
    <cellStyle name="Footnote 11" xfId="15"/>
    <cellStyle name="Good 1" xfId="16"/>
    <cellStyle name="Good 12" xfId="17"/>
    <cellStyle name="Heading (user) 13" xfId="18"/>
    <cellStyle name="Heading 1 1" xfId="19"/>
    <cellStyle name="Heading 1 14" xfId="20"/>
    <cellStyle name="Heading 2 1" xfId="21"/>
    <cellStyle name="Heading 2 15" xfId="22"/>
    <cellStyle name="Heading 3" xfId="23"/>
    <cellStyle name="Hyperlink 1" xfId="24"/>
    <cellStyle name="Hyperlink 16" xfId="25"/>
    <cellStyle name="Neutral 1" xfId="26"/>
    <cellStyle name="Normal" xfId="0" builtinId="0"/>
    <cellStyle name="Normal 2" xfId="27"/>
    <cellStyle name="Normal 3" xfId="28"/>
    <cellStyle name="Note 1" xfId="29"/>
    <cellStyle name="Note 17" xfId="30"/>
    <cellStyle name="Status 1" xfId="31"/>
    <cellStyle name="Status 18" xfId="32"/>
    <cellStyle name="Text 1" xfId="33"/>
    <cellStyle name="Text 19" xfId="34"/>
    <cellStyle name="Warning 1" xfId="35"/>
    <cellStyle name="Warning 20" xfId="36"/>
  </cellStyles>
  <dxfs count="43">
    <dxf>
      <font>
        <b val="0"/>
        <i val="0"/>
        <strike val="0"/>
        <condense val="0"/>
        <extend val="0"/>
        <outline val="0"/>
        <shadow val="0"/>
        <u val="none"/>
        <vertAlign val="baseline"/>
        <sz val="10"/>
        <color rgb="FF000000"/>
        <name val="Arial"/>
        <scheme val="none"/>
      </font>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9" formatCode="dd/mm/yy"/>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1"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none"/>
      </font>
      <numFmt numFmtId="3" formatCode="#,##0"/>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0"/>
        <color rgb="FF000000"/>
        <name val="Arial"/>
        <scheme val="none"/>
      </font>
      <fill>
        <patternFill patternType="solid">
          <fgColor rgb="FFC0C0C0"/>
          <bgColor rgb="FFAFD095"/>
        </patternFill>
      </fill>
      <alignment horizontal="center" vertical="bottom"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P%202020\OBSERVACIONES\2025\LISTADO%20PLANOS-SEPTIEMBRE-202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975"/>
      <sheetName val="Hoja2"/>
      <sheetName val="1985"/>
      <sheetName val="1989"/>
      <sheetName val="1981"/>
      <sheetName val="1992"/>
      <sheetName val="1993"/>
      <sheetName val="1994"/>
      <sheetName val="1995"/>
      <sheetName val="1996"/>
      <sheetName val="1997"/>
      <sheetName val="1998"/>
      <sheetName val="1999"/>
      <sheetName val="2000"/>
      <sheetName val="2001"/>
      <sheetName val="2002"/>
      <sheetName val="2003"/>
      <sheetName val="2004"/>
      <sheetName val="2005"/>
      <sheetName val="2006"/>
      <sheetName val="2007"/>
      <sheetName val="Unidades x condición"/>
      <sheetName val="Habitaciones y Plazas"/>
      <sheetName val="M2"/>
      <sheetName val="2008"/>
      <sheetName val="2008 nuevas"/>
      <sheetName val="2008 relev"/>
      <sheetName val="Hoja1"/>
      <sheetName val="Observados (9-10-08)"/>
      <sheetName val="paq archivo"/>
      <sheetName val="2009"/>
      <sheetName val="M2 (2009)"/>
      <sheetName val="Hoja3"/>
      <sheetName val="INST ELECT"/>
      <sheetName val="ALTURA LIBRE MIN LOCALES"/>
      <sheetName val="planos 57-07-2y3"/>
      <sheetName val="actualizacion alicuota"/>
      <sheetName val="2010"/>
      <sheetName val="M2 (2010)"/>
      <sheetName val="2011"/>
      <sheetName val="2012"/>
      <sheetName val="28-04, 57-07 y 27-10 -1y3 (2)"/>
      <sheetName val="2013"/>
      <sheetName val="PRO.CRE.AR."/>
      <sheetName val="Hoja5"/>
      <sheetName val="2014"/>
      <sheetName val="2016"/>
      <sheetName val="2019"/>
      <sheetName val="2020"/>
      <sheetName val="2021"/>
      <sheetName val="2022"/>
      <sheetName val="2023"/>
      <sheetName val="2024"/>
      <sheetName val="2025"/>
      <sheetName val="Observados"/>
      <sheetName val="Observados (2)"/>
      <sheetName val="ARCHIVADOS"/>
      <sheetName val="TRAMITES"/>
      <sheetName val="TRAMITES graf"/>
      <sheetName val="M2 x año"/>
      <sheetName val="Hoja4"/>
      <sheetName val="Hoja6"/>
      <sheetName val="09-2024"/>
      <sheetName val="12-2024"/>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65">
          <cell r="AI65">
            <v>45.019999999999996</v>
          </cell>
        </row>
        <row r="66">
          <cell r="AI66">
            <v>28.79</v>
          </cell>
        </row>
      </sheetData>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Set>
  </externalBook>
</externalLink>
</file>

<file path=xl/tables/table1.xml><?xml version="1.0" encoding="utf-8"?>
<table xmlns="http://schemas.openxmlformats.org/spreadsheetml/2006/main" id="1" name="Tabla1" displayName="Tabla1" ref="A1:AU309" totalsRowShown="0">
  <autoFilter ref="A1:AU309"/>
  <tableColumns count="47">
    <tableColumn id="1" name="MES" dataDxfId="42"/>
    <tableColumn id="2" name="LEGAJO"/>
    <tableColumn id="3" name="EXPEDIENTE"/>
    <tableColumn id="4" name="INGRESO"/>
    <tableColumn id="5" name="Plano de Mensura" dataDxfId="41"/>
    <tableColumn id="6" name="Partida Provincial" dataDxfId="40"/>
    <tableColumn id="7" name="Partida Municipal" dataDxfId="39"/>
    <tableColumn id="8" name="Concesión" dataDxfId="38"/>
    <tableColumn id="9" name="Ex-Quinta" dataDxfId="37"/>
    <tableColumn id="10" name="Manzana" dataDxfId="36"/>
    <tableColumn id="11" name="Parcela" dataDxfId="35"/>
    <tableColumn id="12" name="Zonificación" dataDxfId="34"/>
    <tableColumn id="13" name="Ubicación" dataDxfId="33"/>
    <tableColumn id="14" name="Propietario" dataDxfId="32"/>
    <tableColumn id="15" name="Nombre del Establecimiento y/o empresa" dataDxfId="31"/>
    <tableColumn id="16" name="Proyecto" dataDxfId="30"/>
    <tableColumn id="17" name="Dirección de obra" dataDxfId="29"/>
    <tableColumn id="18" name="Estructura" dataDxfId="28"/>
    <tableColumn id="19" name="Constructor" dataDxfId="27"/>
    <tableColumn id="20" name="RELEVAMIENTO o existente" dataDxfId="26"/>
    <tableColumn id="21" name="A CONTRUIR / OBRA NUEVA" dataDxfId="25"/>
    <tableColumn id="22" name="AMPLIACION de obra existente" dataDxfId="24"/>
    <tableColumn id="23" name="PROYECTADO (no iniciado)" dataDxfId="23"/>
    <tableColumn id="24" name="USO" dataDxfId="22"/>
    <tableColumn id="25" name="Cantidad de Habitaciones (dormitorios) Existente" dataDxfId="21"/>
    <tableColumn id="26" name="Cantidad de Habitaciones (dormitorios) Nuevas" dataDxfId="20"/>
    <tableColumn id="27" name="Locales de 1º, Habitables Existente" dataDxfId="19"/>
    <tableColumn id="28" name="Locales de 1º, Habitables Nuevos" dataDxfId="18"/>
    <tableColumn id="29" name="N° de Plazas Existente" dataDxfId="17"/>
    <tableColumn id="30" name="N° de Plazas Nuevas" dataDxfId="16"/>
    <tableColumn id="31" name="M² existentes (con antecedente) Vivienda" dataDxfId="15"/>
    <tableColumn id="32" name="M² existentes (con antecedente) Local" dataDxfId="14"/>
    <tableColumn id="33" name="M² existentes (relevados) Vivienda" dataDxfId="13"/>
    <tableColumn id="34" name="M² existentes (relevados) Local" dataDxfId="12"/>
    <tableColumn id="35" name="M²     (a construir Vivienda" dataDxfId="11"/>
    <tableColumn id="36" name="M²     (a construir Local" dataDxfId="10"/>
    <tableColumn id="37" name="Terreno" dataDxfId="9"/>
    <tableColumn id="38" name="F. O. S." dataDxfId="8"/>
    <tableColumn id="39" name="F. O. T." dataDxfId="7"/>
    <tableColumn id="40" name="CATEGORIA" dataDxfId="6"/>
    <tableColumn id="41" name="Monto de la Inversión (estimado y/o declarado)" dataDxfId="5"/>
    <tableColumn id="42" name="Derechos de edificación" dataDxfId="4"/>
    <tableColumn id="43" name="TITULO PROFESIONAL" dataDxfId="3"/>
    <tableColumn id="44" name="Observaciones" dataDxfId="2"/>
    <tableColumn id="45" name="VISADO" dataDxfId="1"/>
    <tableColumn id="46" name="FINAL OBRA" dataDxfId="0"/>
    <tableColumn id="47" name="AVANCE DE OBRA"/>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FD323"/>
  <sheetViews>
    <sheetView tabSelected="1" workbookViewId="0">
      <selection sqref="A1:AU309"/>
    </sheetView>
  </sheetViews>
  <sheetFormatPr baseColWidth="10" defaultColWidth="9" defaultRowHeight="14.25"/>
  <cols>
    <col min="1" max="1" width="9.5" style="215" customWidth="1"/>
    <col min="2" max="2" width="9.75" style="216" customWidth="1"/>
    <col min="3" max="3" width="12.75" style="217" customWidth="1"/>
    <col min="4" max="4" width="11.875" customWidth="1"/>
    <col min="5" max="5" width="17.125" customWidth="1"/>
    <col min="6" max="6" width="17" customWidth="1"/>
    <col min="7" max="7" width="16.75" customWidth="1"/>
    <col min="8" max="8" width="11" customWidth="1"/>
    <col min="9" max="9" width="10.5" customWidth="1"/>
    <col min="10" max="10" width="10" customWidth="1"/>
    <col min="11" max="11" width="9.25" customWidth="1"/>
    <col min="12" max="12" width="12.375" customWidth="1"/>
    <col min="13" max="13" width="12.125" customWidth="1"/>
    <col min="14" max="14" width="11.875" style="218" customWidth="1"/>
    <col min="15" max="15" width="32.625" customWidth="1"/>
    <col min="16" max="16" width="11.25" customWidth="1"/>
    <col min="17" max="17" width="16.875" customWidth="1"/>
    <col min="18" max="18" width="10.625" customWidth="1"/>
    <col min="19" max="19" width="11.75" customWidth="1"/>
    <col min="20" max="20" width="24.625" customWidth="1"/>
    <col min="21" max="21" width="24.875" customWidth="1"/>
    <col min="22" max="22" width="27.375" customWidth="1"/>
    <col min="23" max="23" width="24.25" customWidth="1"/>
    <col min="24" max="24" width="10" customWidth="1"/>
    <col min="25" max="25" width="41.375" customWidth="1"/>
    <col min="26" max="26" width="39.875" customWidth="1"/>
    <col min="27" max="27" width="30.5" customWidth="1"/>
    <col min="28" max="28" width="29" customWidth="1"/>
    <col min="29" max="29" width="20.5" customWidth="1"/>
    <col min="30" max="30" width="19" customWidth="1"/>
    <col min="31" max="31" width="35.375" customWidth="1"/>
    <col min="32" max="32" width="32.75" customWidth="1"/>
    <col min="33" max="33" width="29.875" customWidth="1"/>
    <col min="34" max="34" width="27.25" customWidth="1"/>
    <col min="35" max="35" width="23.5" customWidth="1"/>
    <col min="36" max="36" width="20.875" customWidth="1"/>
    <col min="37" max="37" width="9" customWidth="1"/>
    <col min="38" max="38" width="8.625" customWidth="1"/>
    <col min="39" max="39" width="8.5" customWidth="1"/>
    <col min="40" max="40" width="12.25" customWidth="1"/>
    <col min="41" max="41" width="40" customWidth="1"/>
    <col min="42" max="42" width="21.875" style="219" customWidth="1"/>
    <col min="43" max="43" width="20.75" customWidth="1"/>
    <col min="44" max="44" width="47.5" customWidth="1"/>
    <col min="45" max="45" width="10.75" customWidth="1"/>
    <col min="46" max="46" width="12.625" customWidth="1"/>
    <col min="47" max="47" width="17.125" style="220" customWidth="1"/>
    <col min="48" max="1025" width="6.625" customWidth="1"/>
  </cols>
  <sheetData>
    <row r="1" spans="1:256" s="232" customFormat="1" ht="90" thickBot="1">
      <c r="A1" s="222" t="s">
        <v>1389</v>
      </c>
      <c r="B1" s="222" t="s">
        <v>0</v>
      </c>
      <c r="C1" s="223" t="s">
        <v>1</v>
      </c>
      <c r="D1" s="222" t="s">
        <v>2</v>
      </c>
      <c r="E1" s="224" t="s">
        <v>3</v>
      </c>
      <c r="F1" s="224" t="s">
        <v>4</v>
      </c>
      <c r="G1" s="224" t="s">
        <v>5</v>
      </c>
      <c r="H1" s="224" t="s">
        <v>6</v>
      </c>
      <c r="I1" s="224" t="s">
        <v>7</v>
      </c>
      <c r="J1" s="224" t="s">
        <v>8</v>
      </c>
      <c r="K1" s="224" t="s">
        <v>9</v>
      </c>
      <c r="L1" s="224" t="s">
        <v>10</v>
      </c>
      <c r="M1" s="224" t="s">
        <v>11</v>
      </c>
      <c r="N1" s="224" t="s">
        <v>12</v>
      </c>
      <c r="O1" s="225" t="s">
        <v>13</v>
      </c>
      <c r="P1" s="224" t="s">
        <v>14</v>
      </c>
      <c r="Q1" s="224" t="s">
        <v>15</v>
      </c>
      <c r="R1" s="224" t="s">
        <v>16</v>
      </c>
      <c r="S1" s="224" t="s">
        <v>17</v>
      </c>
      <c r="T1" s="224" t="s">
        <v>18</v>
      </c>
      <c r="U1" s="224" t="s">
        <v>19</v>
      </c>
      <c r="V1" s="224" t="s">
        <v>20</v>
      </c>
      <c r="W1" s="224" t="s">
        <v>21</v>
      </c>
      <c r="X1" s="224" t="s">
        <v>1390</v>
      </c>
      <c r="Y1" s="226" t="s">
        <v>1391</v>
      </c>
      <c r="Z1" s="226" t="s">
        <v>1392</v>
      </c>
      <c r="AA1" s="226" t="s">
        <v>1393</v>
      </c>
      <c r="AB1" s="226" t="s">
        <v>1394</v>
      </c>
      <c r="AC1" s="226" t="s">
        <v>1395</v>
      </c>
      <c r="AD1" s="226" t="s">
        <v>1396</v>
      </c>
      <c r="AE1" s="226" t="s">
        <v>1397</v>
      </c>
      <c r="AF1" s="226" t="s">
        <v>1398</v>
      </c>
      <c r="AG1" s="226" t="s">
        <v>1399</v>
      </c>
      <c r="AH1" s="226" t="s">
        <v>1400</v>
      </c>
      <c r="AI1" s="226" t="s">
        <v>1401</v>
      </c>
      <c r="AJ1" s="226" t="s">
        <v>1402</v>
      </c>
      <c r="AK1" s="227" t="s">
        <v>22</v>
      </c>
      <c r="AL1" s="227" t="s">
        <v>23</v>
      </c>
      <c r="AM1" s="227" t="s">
        <v>24</v>
      </c>
      <c r="AN1" s="227" t="s">
        <v>25</v>
      </c>
      <c r="AO1" s="227" t="s">
        <v>26</v>
      </c>
      <c r="AP1" s="228" t="s">
        <v>27</v>
      </c>
      <c r="AQ1" s="229" t="s">
        <v>1403</v>
      </c>
      <c r="AR1" s="230" t="s">
        <v>28</v>
      </c>
      <c r="AS1" s="231" t="s">
        <v>1404</v>
      </c>
      <c r="AT1" s="231" t="s">
        <v>1405</v>
      </c>
      <c r="AU1" s="227" t="s">
        <v>29</v>
      </c>
    </row>
    <row r="2" spans="1:256" s="21" customFormat="1" ht="38.25">
      <c r="A2" s="3"/>
      <c r="B2" s="4">
        <v>1</v>
      </c>
      <c r="C2" s="5">
        <v>538577</v>
      </c>
      <c r="D2" s="6">
        <v>44552</v>
      </c>
      <c r="E2" s="7">
        <v>15809</v>
      </c>
      <c r="F2" s="7">
        <v>1935</v>
      </c>
      <c r="G2" s="7">
        <v>144</v>
      </c>
      <c r="H2" s="8"/>
      <c r="I2" s="8"/>
      <c r="J2" s="8">
        <v>143</v>
      </c>
      <c r="K2" s="8">
        <v>9</v>
      </c>
      <c r="L2" s="8" t="s">
        <v>31</v>
      </c>
      <c r="M2" s="8" t="s">
        <v>32</v>
      </c>
      <c r="N2" s="8" t="s">
        <v>33</v>
      </c>
      <c r="O2" s="8"/>
      <c r="P2" s="8" t="s">
        <v>34</v>
      </c>
      <c r="Q2" s="8"/>
      <c r="R2" s="8"/>
      <c r="S2" s="8"/>
      <c r="T2" s="8">
        <v>1</v>
      </c>
      <c r="U2" s="9"/>
      <c r="V2" s="8"/>
      <c r="W2" s="8"/>
      <c r="X2" s="8" t="s">
        <v>35</v>
      </c>
      <c r="Y2" s="10"/>
      <c r="Z2" s="11"/>
      <c r="AA2" s="12"/>
      <c r="AB2" s="11"/>
      <c r="AC2" s="12"/>
      <c r="AD2" s="11"/>
      <c r="AE2" s="8"/>
      <c r="AF2" s="8">
        <f>144.25+11.98/2</f>
        <v>150.24</v>
      </c>
      <c r="AG2" s="8"/>
      <c r="AH2" s="8">
        <f>140.83-144.25+27.64/2-11.98/2</f>
        <v>4.4100000000000126</v>
      </c>
      <c r="AI2" s="9"/>
      <c r="AJ2" s="13"/>
      <c r="AK2" s="14">
        <v>176.51</v>
      </c>
      <c r="AL2" s="14">
        <f>+(140.83+27.64)/AK2</f>
        <v>0.95445017279474276</v>
      </c>
      <c r="AM2" s="14">
        <f>+(140.83+27.64/2)/AK2</f>
        <v>0.87615432553396411</v>
      </c>
      <c r="AN2" s="14"/>
      <c r="AO2" s="14">
        <f>+AH2*17546</f>
        <v>77377.860000000219</v>
      </c>
      <c r="AP2" s="15">
        <v>2033.5</v>
      </c>
      <c r="AQ2" s="14" t="s">
        <v>36</v>
      </c>
      <c r="AR2" s="15" t="s">
        <v>37</v>
      </c>
      <c r="AS2" s="16">
        <v>44564</v>
      </c>
      <c r="AT2" s="17"/>
      <c r="AU2" s="18">
        <v>44557</v>
      </c>
      <c r="AV2" s="19"/>
      <c r="AW2" s="19"/>
      <c r="AX2" s="19"/>
      <c r="AY2" s="19"/>
      <c r="AZ2" s="19"/>
      <c r="BA2" s="19"/>
      <c r="BB2" s="19"/>
      <c r="BC2" s="19"/>
      <c r="BD2" s="19"/>
      <c r="BE2" s="19"/>
      <c r="BF2" s="19"/>
      <c r="BG2" s="20"/>
      <c r="BH2" s="20"/>
      <c r="BI2" s="20"/>
      <c r="BJ2" s="20"/>
      <c r="BK2" s="20"/>
      <c r="BL2" s="20"/>
      <c r="BM2" s="20"/>
      <c r="BN2" s="20"/>
      <c r="BO2" s="20"/>
      <c r="BP2" s="20"/>
      <c r="BQ2" s="20"/>
      <c r="BR2" s="20"/>
      <c r="BS2" s="20"/>
      <c r="BT2" s="20"/>
      <c r="BU2" s="20"/>
      <c r="BV2" s="20"/>
      <c r="IP2" s="20"/>
      <c r="IQ2" s="20"/>
      <c r="IR2" s="20"/>
      <c r="IS2" s="20"/>
      <c r="IT2" s="20"/>
      <c r="IU2" s="20"/>
      <c r="IV2" s="20"/>
    </row>
    <row r="3" spans="1:256" s="21" customFormat="1" ht="76.5">
      <c r="A3" s="22"/>
      <c r="B3" s="23">
        <v>2</v>
      </c>
      <c r="C3" s="24">
        <v>538793</v>
      </c>
      <c r="D3" s="25">
        <v>44544</v>
      </c>
      <c r="E3" s="26">
        <v>56900</v>
      </c>
      <c r="F3" s="26">
        <v>165571</v>
      </c>
      <c r="G3" s="26">
        <v>10296</v>
      </c>
      <c r="H3" s="27"/>
      <c r="I3" s="27"/>
      <c r="J3" s="27">
        <v>447</v>
      </c>
      <c r="K3" s="27">
        <v>20</v>
      </c>
      <c r="L3" s="27" t="s">
        <v>38</v>
      </c>
      <c r="M3" s="27" t="s">
        <v>39</v>
      </c>
      <c r="N3" s="27" t="s">
        <v>40</v>
      </c>
      <c r="O3" s="27"/>
      <c r="P3" s="27" t="s">
        <v>41</v>
      </c>
      <c r="Q3" s="27"/>
      <c r="R3" s="27"/>
      <c r="S3" s="27"/>
      <c r="T3" s="27">
        <v>1</v>
      </c>
      <c r="U3" s="28"/>
      <c r="V3" s="27"/>
      <c r="W3" s="27"/>
      <c r="X3" s="27" t="s">
        <v>42</v>
      </c>
      <c r="Y3" s="29"/>
      <c r="Z3" s="30"/>
      <c r="AA3" s="31"/>
      <c r="AB3" s="30"/>
      <c r="AC3" s="31"/>
      <c r="AD3" s="30"/>
      <c r="AE3" s="27">
        <f>94.14+32.73/2</f>
        <v>110.505</v>
      </c>
      <c r="AF3" s="27"/>
      <c r="AG3" s="27">
        <v>35.619999999999997</v>
      </c>
      <c r="AH3" s="27"/>
      <c r="AI3" s="28"/>
      <c r="AJ3" s="32"/>
      <c r="AK3" s="33">
        <v>668.05</v>
      </c>
      <c r="AL3" s="33">
        <f>+(94.14+32.73+35.62)/AK3</f>
        <v>0.24323029713344813</v>
      </c>
      <c r="AM3" s="33">
        <f>+(AE3+AG3)/AK3</f>
        <v>0.21873362772247587</v>
      </c>
      <c r="AN3" s="33">
        <f>+(32+5)/(8+1)</f>
        <v>4.1111111111111107</v>
      </c>
      <c r="AO3" s="33">
        <v>449947.2</v>
      </c>
      <c r="AP3" s="34">
        <v>7560.24</v>
      </c>
      <c r="AQ3" s="33" t="s">
        <v>43</v>
      </c>
      <c r="AR3" s="34" t="s">
        <v>44</v>
      </c>
      <c r="AS3" s="35">
        <v>44564</v>
      </c>
      <c r="AT3" s="36"/>
      <c r="AU3" s="37">
        <v>44552</v>
      </c>
      <c r="AV3" s="19"/>
      <c r="AW3" s="19"/>
      <c r="AX3" s="19"/>
      <c r="AY3" s="19"/>
      <c r="AZ3" s="19"/>
      <c r="BA3" s="19"/>
      <c r="BB3" s="19"/>
      <c r="BC3" s="19"/>
      <c r="BD3" s="19"/>
      <c r="BE3" s="19"/>
      <c r="BF3" s="19"/>
      <c r="BG3" s="20"/>
      <c r="BH3" s="20"/>
      <c r="BI3" s="20"/>
      <c r="BJ3" s="20"/>
      <c r="BK3" s="20"/>
      <c r="BL3" s="20"/>
      <c r="BM3" s="20"/>
      <c r="BN3" s="20"/>
      <c r="BO3" s="20"/>
      <c r="BP3" s="20"/>
      <c r="BQ3" s="20"/>
      <c r="BR3" s="20"/>
      <c r="BS3" s="20"/>
      <c r="BT3" s="20"/>
      <c r="BU3" s="20"/>
      <c r="BV3" s="20"/>
      <c r="IP3" s="20"/>
      <c r="IQ3" s="20"/>
      <c r="IR3" s="20"/>
      <c r="IS3" s="20"/>
      <c r="IT3" s="20"/>
      <c r="IU3" s="20"/>
      <c r="IV3" s="20"/>
    </row>
    <row r="4" spans="1:256" s="21" customFormat="1" ht="63.75">
      <c r="A4" s="22"/>
      <c r="B4" s="38">
        <v>3</v>
      </c>
      <c r="C4" s="39" t="s">
        <v>45</v>
      </c>
      <c r="D4" s="25">
        <v>44515</v>
      </c>
      <c r="E4" s="26">
        <v>41843</v>
      </c>
      <c r="F4" s="26">
        <v>140173</v>
      </c>
      <c r="G4" s="26">
        <v>20634</v>
      </c>
      <c r="H4" s="27">
        <v>101</v>
      </c>
      <c r="I4" s="27"/>
      <c r="J4" s="27">
        <v>408</v>
      </c>
      <c r="K4" s="27">
        <v>10</v>
      </c>
      <c r="L4" s="27" t="s">
        <v>46</v>
      </c>
      <c r="M4" s="27" t="s">
        <v>47</v>
      </c>
      <c r="N4" s="27" t="s">
        <v>48</v>
      </c>
      <c r="O4" s="27"/>
      <c r="P4" s="27" t="s">
        <v>49</v>
      </c>
      <c r="Q4" s="27"/>
      <c r="R4" s="27"/>
      <c r="S4" s="27"/>
      <c r="T4" s="27">
        <f>1+1</f>
        <v>2</v>
      </c>
      <c r="U4" s="28">
        <v>1</v>
      </c>
      <c r="V4" s="27"/>
      <c r="W4" s="27"/>
      <c r="X4" s="27" t="s">
        <v>50</v>
      </c>
      <c r="Y4" s="29">
        <f>1+1</f>
        <v>2</v>
      </c>
      <c r="Z4" s="30"/>
      <c r="AA4" s="31">
        <f>+Y4</f>
        <v>2</v>
      </c>
      <c r="AB4" s="30"/>
      <c r="AC4" s="31">
        <f>+Y4*2</f>
        <v>4</v>
      </c>
      <c r="AD4" s="30"/>
      <c r="AE4" s="27">
        <f>33+24.15/2</f>
        <v>45.075000000000003</v>
      </c>
      <c r="AF4" s="27"/>
      <c r="AG4" s="27">
        <v>35.11</v>
      </c>
      <c r="AH4" s="27">
        <v>46.55</v>
      </c>
      <c r="AI4" s="28"/>
      <c r="AJ4" s="32"/>
      <c r="AK4" s="33">
        <v>309</v>
      </c>
      <c r="AL4" s="33">
        <f>+(35.11+46.55+33+24.15)/AK4</f>
        <v>0.44922330097087382</v>
      </c>
      <c r="AM4" s="33">
        <f>+(AE4+AG4+AH4)/AK4</f>
        <v>0.41014563106796115</v>
      </c>
      <c r="AN4" s="33"/>
      <c r="AO4" s="33">
        <f>+AH4*13161+((7*17546+13161*6+7*8775)/19*AG4)</f>
        <v>1099034.4673684211</v>
      </c>
      <c r="AP4" s="34">
        <v>11761.9</v>
      </c>
      <c r="AQ4" s="33" t="s">
        <v>51</v>
      </c>
      <c r="AR4" s="34" t="s">
        <v>52</v>
      </c>
      <c r="AS4" s="35">
        <v>44565</v>
      </c>
      <c r="AT4" s="36"/>
      <c r="AU4" s="37">
        <v>44552</v>
      </c>
      <c r="AV4" s="19"/>
      <c r="AW4" s="19"/>
      <c r="AX4" s="19"/>
      <c r="AY4" s="19"/>
      <c r="AZ4" s="19"/>
      <c r="BA4" s="19"/>
      <c r="BB4" s="19"/>
      <c r="BC4" s="19"/>
      <c r="BD4" s="19"/>
      <c r="BE4" s="19"/>
      <c r="BF4" s="19"/>
      <c r="BG4" s="20"/>
      <c r="BH4" s="20"/>
      <c r="BI4" s="20"/>
      <c r="BJ4" s="20"/>
      <c r="BK4" s="20"/>
      <c r="BL4" s="20"/>
      <c r="BM4" s="20"/>
      <c r="BN4" s="20"/>
      <c r="BO4" s="20"/>
      <c r="BP4" s="20"/>
      <c r="BQ4" s="20"/>
      <c r="BR4" s="20"/>
      <c r="BS4" s="20"/>
      <c r="BT4" s="20"/>
      <c r="BU4" s="20"/>
      <c r="BV4" s="20"/>
      <c r="IP4" s="20"/>
      <c r="IQ4" s="20"/>
      <c r="IR4" s="20"/>
      <c r="IS4" s="20"/>
      <c r="IT4" s="20"/>
      <c r="IU4" s="20"/>
      <c r="IV4" s="20"/>
    </row>
    <row r="5" spans="1:256" s="21" customFormat="1" ht="51">
      <c r="A5" s="22"/>
      <c r="B5" s="40">
        <v>4</v>
      </c>
      <c r="C5" s="41">
        <v>535714</v>
      </c>
      <c r="D5" s="42">
        <v>44496</v>
      </c>
      <c r="E5" s="26">
        <v>24998</v>
      </c>
      <c r="F5" s="26">
        <v>118670</v>
      </c>
      <c r="G5" s="26">
        <v>20184</v>
      </c>
      <c r="H5" s="27">
        <v>4</v>
      </c>
      <c r="I5" s="27"/>
      <c r="J5" s="27">
        <v>241</v>
      </c>
      <c r="K5" s="27">
        <v>2</v>
      </c>
      <c r="L5" s="27" t="s">
        <v>53</v>
      </c>
      <c r="M5" s="27" t="s">
        <v>54</v>
      </c>
      <c r="N5" s="27" t="s">
        <v>55</v>
      </c>
      <c r="O5" s="27"/>
      <c r="P5" s="27" t="s">
        <v>56</v>
      </c>
      <c r="Q5" s="27"/>
      <c r="R5" s="27"/>
      <c r="S5" s="27"/>
      <c r="T5" s="27">
        <v>1</v>
      </c>
      <c r="U5" s="28"/>
      <c r="V5" s="27"/>
      <c r="W5" s="27"/>
      <c r="X5" s="27" t="s">
        <v>57</v>
      </c>
      <c r="Y5" s="29"/>
      <c r="Z5" s="30"/>
      <c r="AA5" s="31"/>
      <c r="AB5" s="30"/>
      <c r="AC5" s="31"/>
      <c r="AD5" s="30"/>
      <c r="AE5" s="27"/>
      <c r="AF5" s="27"/>
      <c r="AG5" s="27"/>
      <c r="AH5" s="27">
        <f>439.3+40/2</f>
        <v>459.3</v>
      </c>
      <c r="AI5" s="28"/>
      <c r="AJ5" s="32"/>
      <c r="AK5" s="33">
        <v>599.94000000000005</v>
      </c>
      <c r="AL5" s="33">
        <f>+(400.6+40)/AK5</f>
        <v>0.7344067740107344</v>
      </c>
      <c r="AM5" s="33">
        <f>+AH5/AK5</f>
        <v>0.76557655765576549</v>
      </c>
      <c r="AN5" s="33"/>
      <c r="AO5" s="34">
        <f>+AH5*13161</f>
        <v>6044847.2999999998</v>
      </c>
      <c r="AP5" s="34">
        <v>42541.5</v>
      </c>
      <c r="AQ5" s="33" t="s">
        <v>51</v>
      </c>
      <c r="AR5" s="34" t="s">
        <v>58</v>
      </c>
      <c r="AS5" s="35">
        <v>44567</v>
      </c>
      <c r="AT5" s="36"/>
      <c r="AU5" s="43" t="s">
        <v>59</v>
      </c>
      <c r="AV5" s="19"/>
      <c r="AW5" s="19"/>
      <c r="AX5" s="19"/>
      <c r="AY5" s="19"/>
      <c r="AZ5" s="19"/>
      <c r="BA5" s="19"/>
      <c r="BB5" s="19"/>
      <c r="BC5" s="19"/>
      <c r="BD5" s="19"/>
      <c r="BE5" s="19"/>
      <c r="BF5" s="19"/>
      <c r="BG5" s="20"/>
      <c r="BH5" s="20"/>
      <c r="BI5" s="20"/>
      <c r="BJ5" s="20"/>
      <c r="BK5" s="20"/>
      <c r="BL5" s="20"/>
      <c r="BM5" s="20"/>
      <c r="BN5" s="20"/>
      <c r="BO5" s="20"/>
      <c r="BP5" s="20"/>
      <c r="BQ5" s="20"/>
      <c r="BR5" s="20"/>
      <c r="BS5" s="20"/>
      <c r="BT5" s="20"/>
      <c r="BU5" s="20"/>
      <c r="BV5" s="20"/>
      <c r="IP5" s="20"/>
      <c r="IQ5" s="20"/>
      <c r="IR5" s="20"/>
      <c r="IS5" s="20"/>
      <c r="IT5" s="20"/>
      <c r="IU5" s="20"/>
      <c r="IV5" s="20"/>
    </row>
    <row r="6" spans="1:256" s="21" customFormat="1" ht="76.5">
      <c r="A6" s="22"/>
      <c r="B6" s="23">
        <v>5</v>
      </c>
      <c r="C6" s="24">
        <v>538422</v>
      </c>
      <c r="D6" s="25">
        <v>44546</v>
      </c>
      <c r="E6" s="26">
        <v>3395</v>
      </c>
      <c r="F6" s="26">
        <v>100094</v>
      </c>
      <c r="G6" s="26">
        <v>2857</v>
      </c>
      <c r="H6" s="27"/>
      <c r="I6" s="27"/>
      <c r="J6" s="27">
        <v>177</v>
      </c>
      <c r="K6" s="27">
        <v>8</v>
      </c>
      <c r="L6" s="27" t="s">
        <v>60</v>
      </c>
      <c r="M6" s="27" t="s">
        <v>61</v>
      </c>
      <c r="N6" s="27" t="s">
        <v>62</v>
      </c>
      <c r="O6" s="27"/>
      <c r="P6" s="27" t="s">
        <v>63</v>
      </c>
      <c r="Q6" s="27" t="s">
        <v>63</v>
      </c>
      <c r="R6" s="27" t="s">
        <v>63</v>
      </c>
      <c r="S6" s="27" t="s">
        <v>64</v>
      </c>
      <c r="T6" s="27"/>
      <c r="U6" s="28">
        <v>1</v>
      </c>
      <c r="V6" s="27"/>
      <c r="W6" s="27"/>
      <c r="X6" s="27" t="s">
        <v>65</v>
      </c>
      <c r="Y6" s="29"/>
      <c r="Z6" s="30">
        <v>1</v>
      </c>
      <c r="AA6" s="31"/>
      <c r="AB6" s="30">
        <f>+Z6+1+1</f>
        <v>3</v>
      </c>
      <c r="AC6" s="31"/>
      <c r="AD6" s="30"/>
      <c r="AE6" s="27"/>
      <c r="AF6" s="27"/>
      <c r="AG6" s="27"/>
      <c r="AH6" s="27"/>
      <c r="AI6" s="28">
        <f>271.95+96.61/2</f>
        <v>320.255</v>
      </c>
      <c r="AJ6" s="32"/>
      <c r="AK6" s="33">
        <v>704.25</v>
      </c>
      <c r="AL6" s="33">
        <f>+(224.18+96.61)/AK6</f>
        <v>0.45550585729499471</v>
      </c>
      <c r="AM6" s="33">
        <f>+(AI6/AK6)</f>
        <v>0.45474618388356408</v>
      </c>
      <c r="AN6" s="33">
        <f>+(3+6+24+4+12)/(3+3+8+1+2)</f>
        <v>2.8823529411764706</v>
      </c>
      <c r="AO6" s="33">
        <f>+(13*21938+6*17546+9*13161+3*8775)/(13+6+9+3)*AI6</f>
        <v>5529502.1683870964</v>
      </c>
      <c r="AP6" s="34">
        <v>34791.31</v>
      </c>
      <c r="AQ6" s="33" t="s">
        <v>36</v>
      </c>
      <c r="AR6" s="34" t="s">
        <v>66</v>
      </c>
      <c r="AS6" s="35">
        <v>44202</v>
      </c>
      <c r="AT6" s="36"/>
      <c r="AU6" s="43" t="s">
        <v>67</v>
      </c>
      <c r="AV6" s="19"/>
      <c r="AW6" s="19"/>
      <c r="AX6" s="19"/>
      <c r="AY6" s="19"/>
      <c r="AZ6" s="19"/>
      <c r="BA6" s="19"/>
      <c r="BB6" s="19"/>
      <c r="BC6" s="19"/>
      <c r="BD6" s="19"/>
      <c r="BE6" s="19"/>
      <c r="BF6" s="19"/>
      <c r="BG6" s="20"/>
      <c r="BH6" s="20"/>
      <c r="BI6" s="20"/>
      <c r="BJ6" s="20"/>
      <c r="BK6" s="20"/>
      <c r="BL6" s="20"/>
      <c r="BM6" s="20"/>
      <c r="BN6" s="20"/>
      <c r="BO6" s="20"/>
      <c r="BP6" s="20"/>
      <c r="BQ6" s="20"/>
      <c r="BR6" s="20"/>
      <c r="BS6" s="20"/>
      <c r="BT6" s="20"/>
      <c r="BU6" s="20"/>
      <c r="BV6" s="20"/>
      <c r="IP6" s="20"/>
      <c r="IQ6" s="20"/>
      <c r="IR6" s="20"/>
      <c r="IS6" s="20"/>
      <c r="IT6" s="20"/>
      <c r="IU6" s="20"/>
      <c r="IV6" s="20"/>
    </row>
    <row r="7" spans="1:256" s="21" customFormat="1" ht="51">
      <c r="A7" s="22"/>
      <c r="B7" s="23">
        <v>8</v>
      </c>
      <c r="C7" s="24">
        <v>538306</v>
      </c>
      <c r="D7" s="25">
        <v>44544</v>
      </c>
      <c r="E7" s="26">
        <v>9871</v>
      </c>
      <c r="F7" s="26">
        <v>1386</v>
      </c>
      <c r="G7" s="26">
        <v>829</v>
      </c>
      <c r="H7" s="27"/>
      <c r="I7" s="27"/>
      <c r="J7" s="27">
        <v>101</v>
      </c>
      <c r="K7" s="27">
        <v>3</v>
      </c>
      <c r="L7" s="27" t="s">
        <v>31</v>
      </c>
      <c r="M7" s="27" t="s">
        <v>68</v>
      </c>
      <c r="N7" s="27" t="s">
        <v>69</v>
      </c>
      <c r="O7" s="27"/>
      <c r="P7" s="27" t="s">
        <v>70</v>
      </c>
      <c r="Q7" s="27"/>
      <c r="R7" s="27"/>
      <c r="S7" s="27"/>
      <c r="T7" s="27">
        <v>1</v>
      </c>
      <c r="U7" s="28"/>
      <c r="V7" s="27"/>
      <c r="W7" s="27"/>
      <c r="X7" s="27" t="s">
        <v>35</v>
      </c>
      <c r="Y7" s="29"/>
      <c r="Z7" s="30"/>
      <c r="AA7" s="31"/>
      <c r="AB7" s="30"/>
      <c r="AC7" s="31"/>
      <c r="AD7" s="30"/>
      <c r="AE7" s="27"/>
      <c r="AF7" s="27"/>
      <c r="AG7" s="27"/>
      <c r="AH7" s="27">
        <v>95.18</v>
      </c>
      <c r="AI7" s="28"/>
      <c r="AJ7" s="32"/>
      <c r="AK7" s="33">
        <v>95.18</v>
      </c>
      <c r="AL7" s="33">
        <f>+AH7/AK7</f>
        <v>1</v>
      </c>
      <c r="AM7" s="33">
        <f>+AK7/AH7</f>
        <v>1</v>
      </c>
      <c r="AN7" s="33"/>
      <c r="AO7" s="33">
        <f>+AH7*17546</f>
        <v>1670028.28</v>
      </c>
      <c r="AP7" s="34">
        <v>25675.4</v>
      </c>
      <c r="AQ7" s="33" t="s">
        <v>71</v>
      </c>
      <c r="AR7" s="34" t="s">
        <v>72</v>
      </c>
      <c r="AS7" s="35">
        <v>44573</v>
      </c>
      <c r="AT7" s="36"/>
      <c r="AU7" s="43" t="s">
        <v>73</v>
      </c>
      <c r="AV7" s="19"/>
      <c r="AW7" s="19"/>
      <c r="AX7" s="19"/>
      <c r="AY7" s="19"/>
      <c r="AZ7" s="19"/>
      <c r="BA7" s="19"/>
      <c r="BB7" s="19"/>
      <c r="BC7" s="19"/>
      <c r="BD7" s="19"/>
      <c r="BE7" s="19"/>
      <c r="BF7" s="19"/>
      <c r="BG7" s="20"/>
      <c r="BH7" s="20"/>
      <c r="BI7" s="20"/>
      <c r="BJ7" s="20"/>
      <c r="BK7" s="20"/>
      <c r="BL7" s="20"/>
      <c r="BM7" s="20"/>
      <c r="BN7" s="20"/>
      <c r="BO7" s="20"/>
      <c r="BP7" s="20"/>
      <c r="BQ7" s="20"/>
      <c r="BR7" s="20"/>
      <c r="BS7" s="20"/>
      <c r="BT7" s="20"/>
      <c r="BU7" s="20"/>
      <c r="BV7" s="20"/>
      <c r="IP7" s="20"/>
      <c r="IQ7" s="20"/>
      <c r="IR7" s="20"/>
      <c r="IS7" s="20"/>
      <c r="IT7" s="20"/>
      <c r="IU7" s="20"/>
      <c r="IV7" s="20"/>
    </row>
    <row r="8" spans="1:256" s="21" customFormat="1" ht="63.75">
      <c r="A8" s="22"/>
      <c r="B8" s="23">
        <v>7</v>
      </c>
      <c r="C8" s="24">
        <v>531640</v>
      </c>
      <c r="D8" s="25">
        <v>44349</v>
      </c>
      <c r="E8" s="26">
        <v>45610</v>
      </c>
      <c r="F8" s="26">
        <v>142821</v>
      </c>
      <c r="G8" s="26">
        <v>20849</v>
      </c>
      <c r="H8" s="27">
        <v>63</v>
      </c>
      <c r="I8" s="27"/>
      <c r="J8" s="27">
        <v>436</v>
      </c>
      <c r="K8" s="27">
        <v>15</v>
      </c>
      <c r="L8" s="27" t="s">
        <v>74</v>
      </c>
      <c r="M8" s="27" t="s">
        <v>75</v>
      </c>
      <c r="N8" s="27" t="s">
        <v>76</v>
      </c>
      <c r="O8" s="27"/>
      <c r="P8" s="27" t="s">
        <v>56</v>
      </c>
      <c r="Q8" s="27"/>
      <c r="R8" s="27"/>
      <c r="S8" s="27"/>
      <c r="T8" s="27">
        <v>1</v>
      </c>
      <c r="U8" s="28"/>
      <c r="V8" s="27"/>
      <c r="W8" s="27"/>
      <c r="X8" s="27" t="s">
        <v>77</v>
      </c>
      <c r="Y8" s="29">
        <v>2</v>
      </c>
      <c r="Z8" s="30"/>
      <c r="AA8" s="31">
        <f>+Y8+1</f>
        <v>3</v>
      </c>
      <c r="AB8" s="30"/>
      <c r="AC8" s="31">
        <f>+Y8*2</f>
        <v>4</v>
      </c>
      <c r="AD8" s="30"/>
      <c r="AE8" s="27"/>
      <c r="AF8" s="27"/>
      <c r="AG8" s="27">
        <f>112.4+3.9/2</f>
        <v>114.35000000000001</v>
      </c>
      <c r="AH8" s="27"/>
      <c r="AI8" s="28"/>
      <c r="AJ8" s="32"/>
      <c r="AK8" s="33">
        <v>350</v>
      </c>
      <c r="AL8" s="33">
        <f>+(112.4+3.8)/AK8</f>
        <v>0.33200000000000002</v>
      </c>
      <c r="AM8" s="33">
        <f>+AG8/AK8</f>
        <v>0.32671428571428573</v>
      </c>
      <c r="AN8" s="33"/>
      <c r="AO8" s="33">
        <f>+(7*21938+7*17546+13161*3+2*8775)/19*AG8</f>
        <v>2006667.9657894738</v>
      </c>
      <c r="AP8" s="34">
        <v>30004.400000000001</v>
      </c>
      <c r="AQ8" s="33" t="s">
        <v>71</v>
      </c>
      <c r="AR8" s="34" t="s">
        <v>78</v>
      </c>
      <c r="AS8" s="35">
        <v>44573</v>
      </c>
      <c r="AT8" s="36"/>
      <c r="AU8" s="43" t="s">
        <v>79</v>
      </c>
      <c r="AV8" s="19"/>
      <c r="AW8" s="19"/>
      <c r="AX8" s="19"/>
      <c r="AY8" s="19"/>
      <c r="AZ8" s="19"/>
      <c r="BA8" s="19"/>
      <c r="BB8" s="19"/>
      <c r="BC8" s="19"/>
      <c r="BD8" s="19"/>
      <c r="BE8" s="19"/>
      <c r="BF8" s="19"/>
      <c r="BG8" s="20"/>
      <c r="BH8" s="20"/>
      <c r="BI8" s="20"/>
      <c r="BJ8" s="20"/>
      <c r="BK8" s="20"/>
      <c r="BL8" s="20"/>
      <c r="BM8" s="20"/>
      <c r="BN8" s="20"/>
      <c r="BO8" s="20"/>
      <c r="BP8" s="20"/>
      <c r="BQ8" s="20"/>
      <c r="BR8" s="20"/>
      <c r="BS8" s="20"/>
      <c r="BT8" s="20"/>
      <c r="BU8" s="20"/>
      <c r="BV8" s="20"/>
      <c r="IP8" s="20"/>
      <c r="IQ8" s="20"/>
      <c r="IR8" s="20"/>
      <c r="IS8" s="20"/>
      <c r="IT8" s="20"/>
      <c r="IU8" s="20"/>
      <c r="IV8" s="20"/>
    </row>
    <row r="9" spans="1:256" s="21" customFormat="1" ht="51">
      <c r="A9" s="22"/>
      <c r="B9" s="23">
        <v>6</v>
      </c>
      <c r="C9" s="24">
        <v>531927</v>
      </c>
      <c r="D9" s="25">
        <v>44362</v>
      </c>
      <c r="E9" s="26">
        <v>53022</v>
      </c>
      <c r="F9" s="26">
        <v>162582</v>
      </c>
      <c r="G9" s="26">
        <v>33176</v>
      </c>
      <c r="H9" s="27">
        <v>327</v>
      </c>
      <c r="I9" s="27"/>
      <c r="J9" s="27">
        <v>11</v>
      </c>
      <c r="K9" s="27">
        <v>9</v>
      </c>
      <c r="L9" s="27" t="s">
        <v>74</v>
      </c>
      <c r="M9" s="27" t="s">
        <v>80</v>
      </c>
      <c r="N9" s="27" t="s">
        <v>81</v>
      </c>
      <c r="O9" s="27"/>
      <c r="P9" s="27" t="s">
        <v>56</v>
      </c>
      <c r="Q9" s="27" t="s">
        <v>56</v>
      </c>
      <c r="R9" s="27" t="s">
        <v>82</v>
      </c>
      <c r="S9" s="27" t="s">
        <v>83</v>
      </c>
      <c r="T9" s="27">
        <v>1</v>
      </c>
      <c r="U9" s="28">
        <v>1</v>
      </c>
      <c r="V9" s="27"/>
      <c r="W9" s="27"/>
      <c r="X9" s="27" t="s">
        <v>84</v>
      </c>
      <c r="Y9" s="29"/>
      <c r="Z9" s="30">
        <v>4</v>
      </c>
      <c r="AA9" s="31"/>
      <c r="AB9" s="30">
        <f>+Z9+1</f>
        <v>5</v>
      </c>
      <c r="AC9" s="31"/>
      <c r="AD9" s="30">
        <f>+Z9*2</f>
        <v>8</v>
      </c>
      <c r="AE9" s="27"/>
      <c r="AF9" s="27">
        <v>140.09</v>
      </c>
      <c r="AG9" s="27"/>
      <c r="AH9" s="27"/>
      <c r="AI9" s="28">
        <f>94.84+5.66/2+4.22/2+77.29</f>
        <v>177.07</v>
      </c>
      <c r="AJ9" s="32"/>
      <c r="AK9" s="33">
        <v>450.67</v>
      </c>
      <c r="AL9" s="33">
        <f>+(5.66+4.22+94.84+140.09)/AK9</f>
        <v>0.54321343777043063</v>
      </c>
      <c r="AM9" s="33">
        <f>+(AF9+AI9)/AK9</f>
        <v>0.70375219118201782</v>
      </c>
      <c r="AN9" s="33"/>
      <c r="AO9" s="33">
        <f>+(10*21938+7*17546+4*13161)/21*AI9</f>
        <v>3329303.8676190479</v>
      </c>
      <c r="AP9" s="34">
        <v>12820.22</v>
      </c>
      <c r="AQ9" s="33" t="s">
        <v>51</v>
      </c>
      <c r="AR9" s="34" t="s">
        <v>85</v>
      </c>
      <c r="AS9" s="35">
        <v>44573</v>
      </c>
      <c r="AT9" s="36"/>
      <c r="AU9" s="43" t="s">
        <v>86</v>
      </c>
      <c r="AV9" s="19"/>
      <c r="AW9" s="19"/>
      <c r="AX9" s="19"/>
      <c r="AY9" s="19"/>
      <c r="AZ9" s="19"/>
      <c r="BA9" s="19"/>
      <c r="BB9" s="19"/>
      <c r="BC9" s="19"/>
      <c r="BD9" s="19"/>
      <c r="BE9" s="19"/>
      <c r="BF9" s="19"/>
      <c r="BG9" s="20"/>
      <c r="BH9" s="20"/>
      <c r="BI9" s="20"/>
      <c r="BJ9" s="20"/>
      <c r="BK9" s="20"/>
      <c r="BL9" s="20"/>
      <c r="BM9" s="20"/>
      <c r="BN9" s="20"/>
      <c r="BO9" s="20"/>
      <c r="BP9" s="20"/>
      <c r="BQ9" s="20"/>
      <c r="BR9" s="20"/>
      <c r="BS9" s="20"/>
      <c r="BT9" s="20"/>
      <c r="BU9" s="20"/>
      <c r="BV9" s="20"/>
      <c r="IP9" s="20"/>
      <c r="IQ9" s="20"/>
      <c r="IR9" s="20"/>
      <c r="IS9" s="20"/>
      <c r="IT9" s="20"/>
      <c r="IU9" s="20"/>
      <c r="IV9" s="20"/>
    </row>
    <row r="10" spans="1:256" s="62" customFormat="1" ht="76.5">
      <c r="A10" s="44"/>
      <c r="B10" s="45">
        <v>9</v>
      </c>
      <c r="C10" s="46" t="s">
        <v>87</v>
      </c>
      <c r="D10" s="47">
        <v>44427</v>
      </c>
      <c r="E10" s="48">
        <v>30598</v>
      </c>
      <c r="F10" s="48">
        <v>129760</v>
      </c>
      <c r="G10" s="48">
        <v>6642</v>
      </c>
      <c r="H10" s="49"/>
      <c r="I10" s="49">
        <v>133</v>
      </c>
      <c r="J10" s="49">
        <v>726</v>
      </c>
      <c r="K10" s="49">
        <v>15</v>
      </c>
      <c r="L10" s="49" t="s">
        <v>88</v>
      </c>
      <c r="M10" s="49" t="s">
        <v>89</v>
      </c>
      <c r="N10" s="49" t="s">
        <v>90</v>
      </c>
      <c r="O10" s="49"/>
      <c r="P10" s="49" t="s">
        <v>91</v>
      </c>
      <c r="Q10" s="49" t="s">
        <v>91</v>
      </c>
      <c r="R10" s="49" t="s">
        <v>91</v>
      </c>
      <c r="S10" s="49" t="s">
        <v>92</v>
      </c>
      <c r="T10" s="49">
        <v>1</v>
      </c>
      <c r="U10" s="50">
        <v>1</v>
      </c>
      <c r="V10" s="49"/>
      <c r="W10" s="49"/>
      <c r="X10" s="49" t="s">
        <v>93</v>
      </c>
      <c r="Y10" s="51">
        <v>2</v>
      </c>
      <c r="Z10" s="52">
        <v>1</v>
      </c>
      <c r="AA10" s="53">
        <f>+Y10+1</f>
        <v>3</v>
      </c>
      <c r="AB10" s="52">
        <f>+Z10+1</f>
        <v>2</v>
      </c>
      <c r="AC10" s="53">
        <f>+Y10*2</f>
        <v>4</v>
      </c>
      <c r="AD10" s="52">
        <f>+Z10*2</f>
        <v>2</v>
      </c>
      <c r="AE10" s="49">
        <f>37.12+35.3+13.7/2+1/2</f>
        <v>79.769999999999982</v>
      </c>
      <c r="AF10" s="49"/>
      <c r="AG10" s="49">
        <v>17.100000000000001</v>
      </c>
      <c r="AH10" s="49"/>
      <c r="AI10" s="50">
        <f>36.25+1.93/2</f>
        <v>37.215000000000003</v>
      </c>
      <c r="AJ10" s="54">
        <f>36.05+2.76/2</f>
        <v>37.43</v>
      </c>
      <c r="AK10" s="55">
        <v>347</v>
      </c>
      <c r="AL10" s="55">
        <f>+(37.12+17.1+36.05+13.7+2.76)/AK10</f>
        <v>0.30757925072046111</v>
      </c>
      <c r="AM10" s="55">
        <f>+(AE10+AG10+AJ10)/AK10</f>
        <v>0.3870317002881844</v>
      </c>
      <c r="AN10" s="55"/>
      <c r="AO10" s="55">
        <f>+((3*21938+4*17546+12*13161+4*8775)/25*AI10)+(AJ10*17546)</f>
        <v>1146540.838</v>
      </c>
      <c r="AP10" s="56">
        <v>22857.8</v>
      </c>
      <c r="AQ10" s="55" t="s">
        <v>71</v>
      </c>
      <c r="AR10" s="56" t="s">
        <v>94</v>
      </c>
      <c r="AS10" s="57">
        <v>44575</v>
      </c>
      <c r="AT10" s="58"/>
      <c r="AU10" s="59" t="s">
        <v>95</v>
      </c>
      <c r="AV10" s="60"/>
      <c r="AW10" s="60"/>
      <c r="AX10" s="60"/>
      <c r="AY10" s="60"/>
      <c r="AZ10" s="60"/>
      <c r="BA10" s="60"/>
      <c r="BB10" s="60"/>
      <c r="BC10" s="60"/>
      <c r="BD10" s="60"/>
      <c r="BE10" s="60"/>
      <c r="BF10" s="60"/>
      <c r="BG10" s="61"/>
      <c r="BH10" s="61"/>
      <c r="BI10" s="61"/>
      <c r="BJ10" s="61"/>
      <c r="BK10" s="61"/>
      <c r="BL10" s="61"/>
      <c r="BM10" s="61"/>
      <c r="BN10" s="61"/>
      <c r="BO10" s="61"/>
      <c r="BP10" s="61"/>
      <c r="BQ10" s="61"/>
      <c r="BR10" s="61"/>
      <c r="BS10" s="61"/>
      <c r="BT10" s="61"/>
      <c r="BU10" s="61"/>
      <c r="BV10" s="61"/>
      <c r="IP10" s="61"/>
      <c r="IQ10" s="61"/>
      <c r="IR10" s="61"/>
      <c r="IS10" s="61"/>
      <c r="IT10" s="61"/>
      <c r="IU10" s="61"/>
      <c r="IV10" s="61"/>
    </row>
    <row r="11" spans="1:256" s="21" customFormat="1" ht="102">
      <c r="A11" s="22"/>
      <c r="B11" s="23">
        <v>10</v>
      </c>
      <c r="C11" s="24">
        <v>538719</v>
      </c>
      <c r="D11" s="25">
        <v>44559</v>
      </c>
      <c r="E11" s="26">
        <v>58550</v>
      </c>
      <c r="F11" s="26">
        <v>163023</v>
      </c>
      <c r="G11" s="26">
        <v>33317</v>
      </c>
      <c r="H11" s="27">
        <v>341</v>
      </c>
      <c r="I11" s="27"/>
      <c r="J11" s="27">
        <v>1</v>
      </c>
      <c r="K11" s="27">
        <v>1</v>
      </c>
      <c r="L11" s="27" t="s">
        <v>96</v>
      </c>
      <c r="M11" s="27" t="s">
        <v>97</v>
      </c>
      <c r="N11" s="27" t="s">
        <v>98</v>
      </c>
      <c r="O11" s="27"/>
      <c r="P11" s="27" t="s">
        <v>99</v>
      </c>
      <c r="Q11" s="27" t="s">
        <v>99</v>
      </c>
      <c r="R11" s="27" t="s">
        <v>99</v>
      </c>
      <c r="S11" s="27" t="s">
        <v>100</v>
      </c>
      <c r="T11" s="27"/>
      <c r="U11" s="28">
        <v>5</v>
      </c>
      <c r="V11" s="27"/>
      <c r="W11" s="27"/>
      <c r="X11" s="27" t="s">
        <v>77</v>
      </c>
      <c r="Y11" s="29"/>
      <c r="Z11" s="30">
        <f>2+2+2+2+1</f>
        <v>9</v>
      </c>
      <c r="AA11" s="31"/>
      <c r="AB11" s="30">
        <f>+Z11+5</f>
        <v>14</v>
      </c>
      <c r="AC11" s="31"/>
      <c r="AD11" s="30">
        <f>+Z11*2</f>
        <v>18</v>
      </c>
      <c r="AE11" s="27"/>
      <c r="AF11" s="27"/>
      <c r="AG11" s="27"/>
      <c r="AH11" s="27"/>
      <c r="AI11" s="28">
        <f>298.5+39/2</f>
        <v>318</v>
      </c>
      <c r="AJ11" s="32"/>
      <c r="AK11" s="33">
        <v>1587.55</v>
      </c>
      <c r="AL11" s="33">
        <f>+(298.5+39)/AK11</f>
        <v>0.21259172939434978</v>
      </c>
      <c r="AM11" s="33">
        <f>+AI11/AK11</f>
        <v>0.20030865169600959</v>
      </c>
      <c r="AN11" s="33">
        <f>+(2+18+12+6)/(2+6+3+1)</f>
        <v>3.1666666666666665</v>
      </c>
      <c r="AO11" s="33">
        <f>+(8*21938+17546*6+9*13161+8775*3)/26*AI11</f>
        <v>5204852.769230769</v>
      </c>
      <c r="AP11" s="34">
        <v>40268.720000000001</v>
      </c>
      <c r="AQ11" s="33" t="s">
        <v>71</v>
      </c>
      <c r="AR11" s="34" t="s">
        <v>101</v>
      </c>
      <c r="AS11" s="35">
        <v>44578</v>
      </c>
      <c r="AT11" s="36"/>
      <c r="AU11" s="43" t="s">
        <v>102</v>
      </c>
      <c r="AV11" s="19"/>
      <c r="AW11" s="19"/>
      <c r="AX11" s="19"/>
      <c r="AY11" s="19"/>
      <c r="AZ11" s="19"/>
      <c r="BA11" s="19"/>
      <c r="BB11" s="19"/>
      <c r="BC11" s="19"/>
      <c r="BD11" s="19"/>
      <c r="BE11" s="19"/>
      <c r="BF11" s="19"/>
      <c r="BG11" s="20"/>
      <c r="BH11" s="20"/>
      <c r="BI11" s="20"/>
      <c r="BJ11" s="20"/>
      <c r="BK11" s="20"/>
      <c r="BL11" s="20"/>
      <c r="BM11" s="20"/>
      <c r="BN11" s="20"/>
      <c r="BO11" s="20"/>
      <c r="BP11" s="20"/>
      <c r="BQ11" s="20"/>
      <c r="BR11" s="20"/>
      <c r="BS11" s="20"/>
      <c r="BT11" s="20"/>
      <c r="BU11" s="20"/>
      <c r="BV11" s="20"/>
      <c r="IP11" s="20"/>
      <c r="IQ11" s="20"/>
      <c r="IR11" s="20"/>
      <c r="IS11" s="20"/>
      <c r="IT11" s="20"/>
      <c r="IU11" s="20"/>
      <c r="IV11" s="20"/>
    </row>
    <row r="12" spans="1:256" s="21" customFormat="1" ht="38.25">
      <c r="A12" s="22"/>
      <c r="B12" s="38">
        <v>52</v>
      </c>
      <c r="C12" s="39">
        <v>536822</v>
      </c>
      <c r="D12" s="25">
        <v>44503</v>
      </c>
      <c r="E12" s="26">
        <v>49789</v>
      </c>
      <c r="F12" s="26">
        <v>160018</v>
      </c>
      <c r="G12" s="26">
        <v>9532</v>
      </c>
      <c r="H12" s="27"/>
      <c r="I12" s="27"/>
      <c r="J12" s="27">
        <v>16</v>
      </c>
      <c r="K12" s="27">
        <v>22</v>
      </c>
      <c r="L12" s="27" t="s">
        <v>38</v>
      </c>
      <c r="M12" s="27" t="s">
        <v>103</v>
      </c>
      <c r="N12" s="27" t="s">
        <v>104</v>
      </c>
      <c r="O12" s="27"/>
      <c r="P12" s="27" t="s">
        <v>56</v>
      </c>
      <c r="Q12" s="27"/>
      <c r="R12" s="27"/>
      <c r="S12" s="27"/>
      <c r="T12" s="27">
        <v>1</v>
      </c>
      <c r="U12" s="28"/>
      <c r="V12" s="27"/>
      <c r="W12" s="27"/>
      <c r="X12" s="27" t="s">
        <v>105</v>
      </c>
      <c r="Y12" s="29"/>
      <c r="Z12" s="30"/>
      <c r="AA12" s="31"/>
      <c r="AB12" s="30"/>
      <c r="AC12" s="31"/>
      <c r="AD12" s="30"/>
      <c r="AE12" s="27"/>
      <c r="AF12" s="27"/>
      <c r="AG12" s="27"/>
      <c r="AH12" s="27">
        <f>87.46+53.13/2</f>
        <v>114.02499999999999</v>
      </c>
      <c r="AI12" s="28"/>
      <c r="AJ12" s="32"/>
      <c r="AK12" s="33">
        <v>559.02</v>
      </c>
      <c r="AL12" s="33">
        <f>+(87.46+53.13)/AK12</f>
        <v>0.25149368537798289</v>
      </c>
      <c r="AM12" s="33">
        <f>+AH12/AK12</f>
        <v>0.20397302422095809</v>
      </c>
      <c r="AN12" s="33"/>
      <c r="AO12" s="33">
        <f>+(781367.64)</f>
        <v>781367.64</v>
      </c>
      <c r="AP12" s="34">
        <v>12909.06</v>
      </c>
      <c r="AQ12" s="33" t="s">
        <v>51</v>
      </c>
      <c r="AR12" s="34" t="s">
        <v>106</v>
      </c>
      <c r="AS12" s="35">
        <v>44641</v>
      </c>
      <c r="AT12" s="36"/>
      <c r="AU12" s="37">
        <v>44505</v>
      </c>
      <c r="AV12" s="19"/>
      <c r="AW12" s="19"/>
      <c r="AX12" s="19"/>
      <c r="AY12" s="19"/>
      <c r="AZ12" s="19"/>
      <c r="BA12" s="19"/>
      <c r="BB12" s="19"/>
      <c r="BC12" s="19"/>
      <c r="BD12" s="19"/>
      <c r="BE12" s="19"/>
      <c r="BF12" s="19"/>
      <c r="BG12" s="20"/>
      <c r="BH12" s="20"/>
      <c r="BI12" s="20"/>
      <c r="BJ12" s="20"/>
      <c r="BK12" s="20"/>
      <c r="BL12" s="20"/>
      <c r="BM12" s="20"/>
      <c r="BN12" s="20"/>
      <c r="BO12" s="20"/>
      <c r="BP12" s="20"/>
      <c r="BQ12" s="20"/>
      <c r="BR12" s="20"/>
      <c r="BS12" s="20"/>
      <c r="BT12" s="20"/>
      <c r="BU12" s="20"/>
      <c r="BV12" s="20"/>
      <c r="IP12" s="20"/>
      <c r="IQ12" s="20"/>
      <c r="IR12" s="20"/>
      <c r="IS12" s="20"/>
      <c r="IT12" s="20"/>
      <c r="IU12" s="20"/>
      <c r="IV12" s="20"/>
    </row>
    <row r="13" spans="1:256" s="21" customFormat="1" ht="63.75">
      <c r="A13" s="22"/>
      <c r="B13" s="38">
        <v>47</v>
      </c>
      <c r="C13" s="39">
        <v>535319</v>
      </c>
      <c r="D13" s="25">
        <v>44489</v>
      </c>
      <c r="E13" s="26">
        <v>51819</v>
      </c>
      <c r="F13" s="26">
        <v>161480</v>
      </c>
      <c r="G13" s="26">
        <v>9710</v>
      </c>
      <c r="H13" s="27"/>
      <c r="I13" s="27"/>
      <c r="J13" s="27">
        <v>322</v>
      </c>
      <c r="K13" s="27">
        <v>15</v>
      </c>
      <c r="L13" s="27" t="s">
        <v>107</v>
      </c>
      <c r="M13" s="27" t="s">
        <v>108</v>
      </c>
      <c r="N13" s="27" t="s">
        <v>109</v>
      </c>
      <c r="O13" s="27"/>
      <c r="P13" s="27" t="s">
        <v>56</v>
      </c>
      <c r="Q13" s="27"/>
      <c r="R13" s="27"/>
      <c r="S13" s="27"/>
      <c r="T13" s="27">
        <v>3</v>
      </c>
      <c r="U13" s="28"/>
      <c r="V13" s="27"/>
      <c r="W13" s="27"/>
      <c r="X13" s="27" t="s">
        <v>77</v>
      </c>
      <c r="Y13" s="29">
        <f>2+2+2</f>
        <v>6</v>
      </c>
      <c r="Z13" s="30"/>
      <c r="AA13" s="31">
        <f>+Y13+1+1+1</f>
        <v>9</v>
      </c>
      <c r="AB13" s="30"/>
      <c r="AC13" s="31">
        <f>+Y13*2</f>
        <v>12</v>
      </c>
      <c r="AD13" s="30"/>
      <c r="AE13" s="27"/>
      <c r="AF13" s="27"/>
      <c r="AG13" s="27">
        <f>57.02+104.52+48.79/2</f>
        <v>185.935</v>
      </c>
      <c r="AH13" s="27"/>
      <c r="AI13" s="28"/>
      <c r="AJ13" s="32"/>
      <c r="AK13" s="33">
        <v>335</v>
      </c>
      <c r="AL13" s="33"/>
      <c r="AM13" s="33">
        <f>+AG13/AK13</f>
        <v>0.55502985074626865</v>
      </c>
      <c r="AN13" s="33"/>
      <c r="AO13" s="33">
        <f>+(6*24483+3*19581+6*14688+5*9793)/20*AG13</f>
        <v>3186312.3145000003</v>
      </c>
      <c r="AP13" s="34">
        <v>46434.54</v>
      </c>
      <c r="AQ13" s="33" t="s">
        <v>51</v>
      </c>
      <c r="AR13" s="34" t="s">
        <v>110</v>
      </c>
      <c r="AS13" s="35">
        <v>44638</v>
      </c>
      <c r="AT13" s="36"/>
      <c r="AU13" s="43" t="s">
        <v>111</v>
      </c>
      <c r="AV13" s="19"/>
      <c r="AW13" s="19"/>
      <c r="AX13" s="19"/>
      <c r="AY13" s="19"/>
      <c r="AZ13" s="19"/>
      <c r="BA13" s="19"/>
      <c r="BB13" s="19"/>
      <c r="BC13" s="19"/>
      <c r="BD13" s="19"/>
      <c r="BE13" s="19"/>
      <c r="BF13" s="19"/>
      <c r="BG13" s="20"/>
      <c r="BH13" s="20"/>
      <c r="BI13" s="20"/>
      <c r="BJ13" s="20"/>
      <c r="BK13" s="20"/>
      <c r="BL13" s="20"/>
      <c r="BM13" s="20"/>
      <c r="BN13" s="20"/>
      <c r="BO13" s="20"/>
      <c r="BP13" s="20"/>
      <c r="BQ13" s="20"/>
      <c r="BR13" s="20"/>
      <c r="BS13" s="20"/>
      <c r="BT13" s="20"/>
      <c r="BU13" s="20"/>
      <c r="BV13" s="20"/>
      <c r="IP13" s="20"/>
      <c r="IQ13" s="20"/>
      <c r="IR13" s="20"/>
      <c r="IS13" s="20"/>
      <c r="IT13" s="20"/>
      <c r="IU13" s="20"/>
      <c r="IV13" s="20"/>
    </row>
    <row r="14" spans="1:256" s="21" customFormat="1" ht="76.5">
      <c r="A14" s="22"/>
      <c r="B14" s="38">
        <v>16</v>
      </c>
      <c r="C14" s="39">
        <v>537413</v>
      </c>
      <c r="D14" s="25">
        <v>44518</v>
      </c>
      <c r="E14" s="26">
        <v>56137</v>
      </c>
      <c r="F14" s="26">
        <v>165106</v>
      </c>
      <c r="G14" s="26">
        <v>33563</v>
      </c>
      <c r="H14" s="27">
        <v>111</v>
      </c>
      <c r="I14" s="27"/>
      <c r="J14" s="27">
        <v>6</v>
      </c>
      <c r="K14" s="27">
        <v>5</v>
      </c>
      <c r="L14" s="27" t="s">
        <v>112</v>
      </c>
      <c r="M14" s="27" t="s">
        <v>113</v>
      </c>
      <c r="N14" s="27" t="s">
        <v>114</v>
      </c>
      <c r="O14" s="27"/>
      <c r="P14" s="27" t="s">
        <v>115</v>
      </c>
      <c r="Q14" s="27" t="s">
        <v>115</v>
      </c>
      <c r="R14" s="27" t="s">
        <v>115</v>
      </c>
      <c r="S14" s="27" t="s">
        <v>100</v>
      </c>
      <c r="T14" s="27"/>
      <c r="U14" s="28">
        <v>1</v>
      </c>
      <c r="V14" s="27"/>
      <c r="W14" s="27"/>
      <c r="X14" s="27" t="s">
        <v>65</v>
      </c>
      <c r="Y14" s="29"/>
      <c r="Z14" s="30">
        <v>1</v>
      </c>
      <c r="AA14" s="31"/>
      <c r="AB14" s="30">
        <f>+Z14+1</f>
        <v>2</v>
      </c>
      <c r="AC14" s="31"/>
      <c r="AD14" s="30">
        <f>+Z14*2</f>
        <v>2</v>
      </c>
      <c r="AE14" s="27"/>
      <c r="AF14" s="27"/>
      <c r="AG14" s="27"/>
      <c r="AH14" s="27"/>
      <c r="AI14" s="28">
        <v>60</v>
      </c>
      <c r="AJ14" s="32"/>
      <c r="AK14" s="33">
        <v>2160</v>
      </c>
      <c r="AL14" s="33">
        <f>+AI14/AK14</f>
        <v>2.7777777777777776E-2</v>
      </c>
      <c r="AM14" s="33">
        <f>+AI14/AK14</f>
        <v>2.7777777777777776E-2</v>
      </c>
      <c r="AN14" s="33"/>
      <c r="AO14" s="33">
        <f>+(9*17546+6*13161+5*8775)/20*AI14</f>
        <v>842265</v>
      </c>
      <c r="AP14" s="34">
        <v>4147.96</v>
      </c>
      <c r="AQ14" s="33" t="s">
        <v>71</v>
      </c>
      <c r="AR14" s="34" t="s">
        <v>116</v>
      </c>
      <c r="AS14" s="35">
        <v>44596</v>
      </c>
      <c r="AT14" s="36"/>
      <c r="AU14" s="37">
        <v>44524</v>
      </c>
      <c r="AV14" s="19"/>
      <c r="AW14" s="19"/>
      <c r="AX14" s="19"/>
      <c r="AY14" s="19"/>
      <c r="AZ14" s="19"/>
      <c r="BA14" s="19"/>
      <c r="BB14" s="19"/>
      <c r="BC14" s="19"/>
      <c r="BD14" s="19"/>
      <c r="BE14" s="19"/>
      <c r="BF14" s="19"/>
      <c r="BG14" s="20"/>
      <c r="BH14" s="20"/>
      <c r="BI14" s="20"/>
      <c r="BJ14" s="20"/>
      <c r="BK14" s="20"/>
      <c r="BL14" s="20"/>
      <c r="BM14" s="20"/>
      <c r="BN14" s="20"/>
      <c r="BO14" s="20"/>
      <c r="BP14" s="20"/>
      <c r="BQ14" s="20"/>
      <c r="BR14" s="20"/>
      <c r="BS14" s="20"/>
      <c r="BT14" s="20"/>
      <c r="BU14" s="20"/>
      <c r="BV14" s="20"/>
      <c r="IP14" s="20"/>
      <c r="IQ14" s="20"/>
      <c r="IR14" s="20"/>
      <c r="IS14" s="20"/>
      <c r="IT14" s="20"/>
      <c r="IU14" s="20"/>
      <c r="IV14" s="20"/>
    </row>
    <row r="15" spans="1:256" s="21" customFormat="1" ht="114.75">
      <c r="A15" s="22"/>
      <c r="B15" s="23">
        <v>12</v>
      </c>
      <c r="C15" s="24" t="s">
        <v>117</v>
      </c>
      <c r="D15" s="25">
        <v>44566</v>
      </c>
      <c r="E15" s="26">
        <v>30869</v>
      </c>
      <c r="F15" s="26">
        <v>1463</v>
      </c>
      <c r="G15" s="26">
        <v>4695</v>
      </c>
      <c r="H15" s="27"/>
      <c r="I15" s="27"/>
      <c r="J15" s="27">
        <v>113</v>
      </c>
      <c r="K15" s="27">
        <v>9</v>
      </c>
      <c r="L15" s="27" t="s">
        <v>31</v>
      </c>
      <c r="M15" s="27" t="s">
        <v>118</v>
      </c>
      <c r="N15" s="27" t="s">
        <v>119</v>
      </c>
      <c r="O15" s="27"/>
      <c r="P15" s="27" t="s">
        <v>120</v>
      </c>
      <c r="Q15" s="27"/>
      <c r="R15" s="27"/>
      <c r="S15" s="27"/>
      <c r="T15" s="27">
        <f>1+1+1</f>
        <v>3</v>
      </c>
      <c r="U15" s="28"/>
      <c r="V15" s="27"/>
      <c r="W15" s="27"/>
      <c r="X15" s="27" t="s">
        <v>77</v>
      </c>
      <c r="Y15" s="29">
        <f>1+1+2</f>
        <v>4</v>
      </c>
      <c r="Z15" s="30"/>
      <c r="AA15" s="31">
        <f>+Y15+1</f>
        <v>5</v>
      </c>
      <c r="AB15" s="30"/>
      <c r="AC15" s="31">
        <f>+Y15*2</f>
        <v>8</v>
      </c>
      <c r="AD15" s="30"/>
      <c r="AE15" s="27">
        <f>181.68+45.54/2</f>
        <v>204.45000000000002</v>
      </c>
      <c r="AF15" s="27"/>
      <c r="AG15" s="27">
        <v>37.159999999999997</v>
      </c>
      <c r="AH15" s="27"/>
      <c r="AI15" s="28"/>
      <c r="AJ15" s="32"/>
      <c r="AK15" s="33">
        <v>703.85</v>
      </c>
      <c r="AL15" s="33">
        <f>+(181.68+45.51+37.16)/AK15</f>
        <v>0.37557718263834627</v>
      </c>
      <c r="AM15" s="33">
        <f>+(AE15+AG15)/AK15</f>
        <v>0.34326916246359312</v>
      </c>
      <c r="AN15" s="33"/>
      <c r="AO15" s="33"/>
      <c r="AP15" s="34">
        <v>4283.68</v>
      </c>
      <c r="AQ15" s="33" t="s">
        <v>71</v>
      </c>
      <c r="AR15" s="34" t="s">
        <v>121</v>
      </c>
      <c r="AS15" s="35">
        <v>44586</v>
      </c>
      <c r="AT15" s="36"/>
      <c r="AU15" s="43" t="s">
        <v>122</v>
      </c>
      <c r="AV15" s="19"/>
      <c r="AW15" s="19"/>
      <c r="AX15" s="19"/>
      <c r="AY15" s="19"/>
      <c r="AZ15" s="19"/>
      <c r="BA15" s="19"/>
      <c r="BB15" s="19"/>
      <c r="BC15" s="19"/>
      <c r="BD15" s="19"/>
      <c r="BE15" s="19"/>
      <c r="BF15" s="19"/>
      <c r="BG15" s="20"/>
      <c r="BH15" s="20"/>
      <c r="BI15" s="20"/>
      <c r="BJ15" s="20"/>
      <c r="BK15" s="20"/>
      <c r="BL15" s="20"/>
      <c r="BM15" s="20"/>
      <c r="BN15" s="20"/>
      <c r="BO15" s="20"/>
      <c r="BP15" s="20"/>
      <c r="BQ15" s="20"/>
      <c r="BR15" s="20"/>
      <c r="BS15" s="20"/>
      <c r="BT15" s="20"/>
      <c r="BU15" s="20"/>
      <c r="BV15" s="20"/>
      <c r="IP15" s="20"/>
      <c r="IQ15" s="20"/>
      <c r="IR15" s="20"/>
      <c r="IS15" s="20"/>
      <c r="IT15" s="20"/>
      <c r="IU15" s="20"/>
      <c r="IV15" s="20"/>
    </row>
    <row r="16" spans="1:256" s="21" customFormat="1" ht="63.75">
      <c r="A16" s="22"/>
      <c r="B16" s="23">
        <v>11</v>
      </c>
      <c r="C16" s="24">
        <v>539123</v>
      </c>
      <c r="D16" s="25">
        <v>44575</v>
      </c>
      <c r="E16" s="26">
        <v>33122</v>
      </c>
      <c r="F16" s="26">
        <v>538</v>
      </c>
      <c r="G16" s="26">
        <v>1377</v>
      </c>
      <c r="H16" s="27"/>
      <c r="I16" s="27"/>
      <c r="J16" s="27">
        <v>100</v>
      </c>
      <c r="K16" s="27">
        <v>6</v>
      </c>
      <c r="L16" s="27" t="s">
        <v>31</v>
      </c>
      <c r="M16" s="27" t="s">
        <v>123</v>
      </c>
      <c r="N16" s="27" t="s">
        <v>124</v>
      </c>
      <c r="O16" s="27"/>
      <c r="P16" s="27" t="s">
        <v>125</v>
      </c>
      <c r="Q16" s="27"/>
      <c r="R16" s="27"/>
      <c r="S16" s="27"/>
      <c r="T16" s="27"/>
      <c r="U16" s="28"/>
      <c r="V16" s="27">
        <v>1</v>
      </c>
      <c r="W16" s="27"/>
      <c r="X16" s="27"/>
      <c r="Y16" s="29"/>
      <c r="Z16" s="30"/>
      <c r="AA16" s="31"/>
      <c r="AB16" s="30"/>
      <c r="AC16" s="31"/>
      <c r="AD16" s="30"/>
      <c r="AE16" s="27"/>
      <c r="AF16" s="27"/>
      <c r="AG16" s="27"/>
      <c r="AH16" s="27"/>
      <c r="AI16" s="28">
        <v>0</v>
      </c>
      <c r="AJ16" s="32"/>
      <c r="AK16" s="33">
        <v>359.33</v>
      </c>
      <c r="AL16" s="33"/>
      <c r="AM16" s="33"/>
      <c r="AN16" s="33"/>
      <c r="AO16" s="33">
        <v>445210</v>
      </c>
      <c r="AP16" s="34">
        <v>7235.1</v>
      </c>
      <c r="AQ16" s="33" t="s">
        <v>71</v>
      </c>
      <c r="AR16" s="34" t="s">
        <v>126</v>
      </c>
      <c r="AS16" s="35">
        <v>44585</v>
      </c>
      <c r="AT16" s="36"/>
      <c r="AU16" s="43" t="s">
        <v>127</v>
      </c>
      <c r="AV16" s="19"/>
      <c r="AW16" s="19"/>
      <c r="AX16" s="19"/>
      <c r="AY16" s="19"/>
      <c r="AZ16" s="19"/>
      <c r="BA16" s="19"/>
      <c r="BB16" s="19"/>
      <c r="BC16" s="19"/>
      <c r="BD16" s="19"/>
      <c r="BE16" s="19"/>
      <c r="BF16" s="19"/>
      <c r="BG16" s="20"/>
      <c r="BH16" s="20"/>
      <c r="BI16" s="20"/>
      <c r="BJ16" s="20"/>
      <c r="BK16" s="20"/>
      <c r="BL16" s="20"/>
      <c r="BM16" s="20"/>
      <c r="BN16" s="20"/>
      <c r="BO16" s="20"/>
      <c r="BP16" s="20"/>
      <c r="BQ16" s="20"/>
      <c r="BR16" s="20"/>
      <c r="BS16" s="20"/>
      <c r="BT16" s="20"/>
      <c r="BU16" s="20"/>
      <c r="BV16" s="20"/>
      <c r="IP16" s="20"/>
      <c r="IQ16" s="20"/>
      <c r="IR16" s="20"/>
      <c r="IS16" s="20"/>
      <c r="IT16" s="20"/>
      <c r="IU16" s="20"/>
      <c r="IV16" s="20"/>
    </row>
    <row r="17" spans="1:256" s="21" customFormat="1" ht="76.5">
      <c r="A17" s="22"/>
      <c r="B17" s="38">
        <v>13</v>
      </c>
      <c r="C17" s="39" t="s">
        <v>128</v>
      </c>
      <c r="D17" s="25">
        <v>44536</v>
      </c>
      <c r="E17" s="26">
        <v>58036</v>
      </c>
      <c r="F17" s="26">
        <v>166486</v>
      </c>
      <c r="G17" s="26">
        <v>33780</v>
      </c>
      <c r="H17" s="27">
        <v>227</v>
      </c>
      <c r="I17" s="27"/>
      <c r="J17" s="27">
        <v>6</v>
      </c>
      <c r="K17" s="27">
        <v>2</v>
      </c>
      <c r="L17" s="27" t="s">
        <v>129</v>
      </c>
      <c r="M17" s="27" t="s">
        <v>130</v>
      </c>
      <c r="N17" s="27" t="s">
        <v>131</v>
      </c>
      <c r="O17" s="27"/>
      <c r="P17" s="27" t="s">
        <v>132</v>
      </c>
      <c r="Q17" s="27" t="s">
        <v>132</v>
      </c>
      <c r="R17" s="27" t="s">
        <v>132</v>
      </c>
      <c r="S17" s="27" t="s">
        <v>100</v>
      </c>
      <c r="T17" s="27"/>
      <c r="U17" s="28">
        <v>1</v>
      </c>
      <c r="V17" s="27"/>
      <c r="W17" s="27"/>
      <c r="X17" s="27" t="s">
        <v>65</v>
      </c>
      <c r="Y17" s="29"/>
      <c r="Z17" s="30">
        <v>1</v>
      </c>
      <c r="AA17" s="31"/>
      <c r="AB17" s="30">
        <f>+Z17+1</f>
        <v>2</v>
      </c>
      <c r="AC17" s="31"/>
      <c r="AD17" s="30">
        <f>+Z17*2</f>
        <v>2</v>
      </c>
      <c r="AE17" s="27"/>
      <c r="AF17" s="27"/>
      <c r="AG17" s="27"/>
      <c r="AH17" s="27"/>
      <c r="AI17" s="28">
        <v>60</v>
      </c>
      <c r="AJ17" s="32"/>
      <c r="AK17" s="33">
        <v>1116.3599999999999</v>
      </c>
      <c r="AL17" s="33">
        <f>+AI17/AK17</f>
        <v>5.3746103407502958E-2</v>
      </c>
      <c r="AM17" s="33">
        <f>+AI17/AK17</f>
        <v>5.3746103407502958E-2</v>
      </c>
      <c r="AN17" s="33"/>
      <c r="AO17" s="33">
        <f>+(9*17546+9*13161+2*8775)/20*AI17</f>
        <v>881739</v>
      </c>
      <c r="AP17" s="34">
        <v>14842.87</v>
      </c>
      <c r="AQ17" s="33" t="s">
        <v>71</v>
      </c>
      <c r="AR17" s="34" t="s">
        <v>133</v>
      </c>
      <c r="AS17" s="35">
        <v>44587</v>
      </c>
      <c r="AT17" s="36"/>
      <c r="AU17" s="43" t="s">
        <v>134</v>
      </c>
      <c r="AV17" s="19"/>
      <c r="AW17" s="19"/>
      <c r="AX17" s="19"/>
      <c r="AY17" s="19"/>
      <c r="AZ17" s="19"/>
      <c r="BA17" s="19"/>
      <c r="BB17" s="19"/>
      <c r="BC17" s="19"/>
      <c r="BD17" s="19"/>
      <c r="BE17" s="19"/>
      <c r="BF17" s="19"/>
      <c r="BG17" s="20"/>
      <c r="BH17" s="20"/>
      <c r="BI17" s="20"/>
      <c r="BJ17" s="20"/>
      <c r="BK17" s="20"/>
      <c r="BL17" s="20"/>
      <c r="BM17" s="20"/>
      <c r="BN17" s="20"/>
      <c r="BO17" s="20"/>
      <c r="BP17" s="20"/>
      <c r="BQ17" s="20"/>
      <c r="BR17" s="20"/>
      <c r="BS17" s="20"/>
      <c r="BT17" s="20"/>
      <c r="BU17" s="20"/>
      <c r="BV17" s="20"/>
      <c r="IP17" s="20"/>
      <c r="IQ17" s="20"/>
      <c r="IR17" s="20"/>
      <c r="IS17" s="20"/>
      <c r="IT17" s="20"/>
      <c r="IU17" s="20"/>
      <c r="IV17" s="20"/>
    </row>
    <row r="18" spans="1:256" s="21" customFormat="1" ht="114.75">
      <c r="A18" s="22"/>
      <c r="B18" s="23">
        <v>14</v>
      </c>
      <c r="C18" s="24">
        <v>539124</v>
      </c>
      <c r="D18" s="25">
        <v>44575</v>
      </c>
      <c r="E18" s="26">
        <v>37256</v>
      </c>
      <c r="F18" s="26">
        <v>50143</v>
      </c>
      <c r="G18" s="26">
        <v>2165</v>
      </c>
      <c r="H18" s="27"/>
      <c r="I18" s="27"/>
      <c r="J18" s="27">
        <v>262</v>
      </c>
      <c r="K18" s="27">
        <v>6</v>
      </c>
      <c r="L18" s="27" t="s">
        <v>46</v>
      </c>
      <c r="M18" s="27" t="s">
        <v>135</v>
      </c>
      <c r="N18" s="27" t="s">
        <v>136</v>
      </c>
      <c r="O18" s="27"/>
      <c r="P18" s="27" t="s">
        <v>137</v>
      </c>
      <c r="Q18" s="27" t="s">
        <v>137</v>
      </c>
      <c r="R18" s="27" t="s">
        <v>137</v>
      </c>
      <c r="S18" s="27" t="s">
        <v>138</v>
      </c>
      <c r="T18" s="27"/>
      <c r="U18" s="28">
        <v>1</v>
      </c>
      <c r="V18" s="27"/>
      <c r="W18" s="27"/>
      <c r="X18" s="27" t="s">
        <v>65</v>
      </c>
      <c r="Y18" s="29"/>
      <c r="Z18" s="30">
        <v>2</v>
      </c>
      <c r="AA18" s="31"/>
      <c r="AB18" s="30">
        <f>+Z18+1</f>
        <v>3</v>
      </c>
      <c r="AC18" s="31"/>
      <c r="AD18" s="30">
        <f>+Z18*2</f>
        <v>4</v>
      </c>
      <c r="AE18" s="27"/>
      <c r="AF18" s="27"/>
      <c r="AG18" s="27"/>
      <c r="AH18" s="27"/>
      <c r="AI18" s="28">
        <f>60+30/2</f>
        <v>75</v>
      </c>
      <c r="AJ18" s="32"/>
      <c r="AK18" s="33">
        <v>437.4</v>
      </c>
      <c r="AL18" s="33">
        <f>+(60+30)/AK18</f>
        <v>0.20576131687242799</v>
      </c>
      <c r="AM18" s="33">
        <f>+AI18/AK18</f>
        <v>0.17146776406035666</v>
      </c>
      <c r="AN18" s="33">
        <f>+(3+36)/(1+9)</f>
        <v>3.9</v>
      </c>
      <c r="AO18" s="33">
        <f>+(4*17546+13161*11+5*8775)/20*AI18</f>
        <v>970612.5</v>
      </c>
      <c r="AP18" s="34">
        <v>14862.36</v>
      </c>
      <c r="AQ18" s="33" t="s">
        <v>71</v>
      </c>
      <c r="AR18" s="34" t="s">
        <v>139</v>
      </c>
      <c r="AS18" s="35">
        <v>44588</v>
      </c>
      <c r="AT18" s="36"/>
      <c r="AU18" s="43" t="s">
        <v>140</v>
      </c>
      <c r="AV18" s="19"/>
      <c r="AW18" s="19"/>
      <c r="AX18" s="19"/>
      <c r="AY18" s="19"/>
      <c r="AZ18" s="19"/>
      <c r="BA18" s="19"/>
      <c r="BB18" s="19"/>
      <c r="BC18" s="19"/>
      <c r="BD18" s="19"/>
      <c r="BE18" s="19"/>
      <c r="BF18" s="19"/>
      <c r="BG18" s="20"/>
      <c r="BH18" s="20"/>
      <c r="BI18" s="20"/>
      <c r="BJ18" s="20"/>
      <c r="BK18" s="20"/>
      <c r="BL18" s="20"/>
      <c r="BM18" s="20"/>
      <c r="BN18" s="20"/>
      <c r="BO18" s="20"/>
      <c r="BP18" s="20"/>
      <c r="BQ18" s="20"/>
      <c r="BR18" s="20"/>
      <c r="BS18" s="20"/>
      <c r="BT18" s="20"/>
      <c r="BU18" s="20"/>
      <c r="BV18" s="20"/>
      <c r="IP18" s="20"/>
      <c r="IQ18" s="20"/>
      <c r="IR18" s="20"/>
      <c r="IS18" s="20"/>
      <c r="IT18" s="20"/>
      <c r="IU18" s="20"/>
      <c r="IV18" s="20"/>
    </row>
    <row r="19" spans="1:256" s="21" customFormat="1" ht="51">
      <c r="A19" s="22"/>
      <c r="B19" s="23">
        <v>18</v>
      </c>
      <c r="C19" s="24">
        <v>538677</v>
      </c>
      <c r="D19" s="25">
        <v>44557</v>
      </c>
      <c r="E19" s="26">
        <v>54699</v>
      </c>
      <c r="F19" s="26">
        <v>139683</v>
      </c>
      <c r="G19" s="26">
        <v>31843</v>
      </c>
      <c r="H19" s="27">
        <v>327</v>
      </c>
      <c r="I19" s="27"/>
      <c r="J19" s="27">
        <v>1</v>
      </c>
      <c r="K19" s="27">
        <v>3</v>
      </c>
      <c r="L19" s="27" t="s">
        <v>74</v>
      </c>
      <c r="M19" s="27" t="s">
        <v>141</v>
      </c>
      <c r="N19" s="27" t="s">
        <v>142</v>
      </c>
      <c r="O19" s="27"/>
      <c r="P19" s="27" t="s">
        <v>143</v>
      </c>
      <c r="Q19" s="27"/>
      <c r="R19" s="27"/>
      <c r="S19" s="27"/>
      <c r="T19" s="27"/>
      <c r="U19" s="28">
        <v>1</v>
      </c>
      <c r="V19" s="27"/>
      <c r="W19" s="27"/>
      <c r="X19" s="27" t="s">
        <v>65</v>
      </c>
      <c r="Y19" s="29"/>
      <c r="Z19" s="30">
        <v>1</v>
      </c>
      <c r="AA19" s="31"/>
      <c r="AB19" s="30">
        <f>+Z19+1</f>
        <v>2</v>
      </c>
      <c r="AC19" s="31"/>
      <c r="AD19" s="30">
        <f>+Z19*2</f>
        <v>2</v>
      </c>
      <c r="AE19" s="27"/>
      <c r="AF19" s="27"/>
      <c r="AG19" s="27"/>
      <c r="AH19" s="27"/>
      <c r="AI19" s="28">
        <v>30.31</v>
      </c>
      <c r="AJ19" s="32"/>
      <c r="AK19" s="33">
        <v>321</v>
      </c>
      <c r="AL19" s="33">
        <f>+AI19/AK19</f>
        <v>9.4423676012461058E-2</v>
      </c>
      <c r="AM19" s="33">
        <f>+AI19/AK19</f>
        <v>9.4423676012461058E-2</v>
      </c>
      <c r="AN19" s="33"/>
      <c r="AO19" s="33">
        <v>15000</v>
      </c>
      <c r="AP19" s="34">
        <v>6561.93</v>
      </c>
      <c r="AQ19" s="33" t="s">
        <v>51</v>
      </c>
      <c r="AR19" s="34" t="s">
        <v>144</v>
      </c>
      <c r="AS19" s="35">
        <v>44593</v>
      </c>
      <c r="AT19" s="36"/>
      <c r="AU19" s="43" t="s">
        <v>145</v>
      </c>
      <c r="AV19" s="19"/>
      <c r="AW19" s="19"/>
      <c r="AX19" s="19"/>
      <c r="AY19" s="19"/>
      <c r="AZ19" s="19"/>
      <c r="BA19" s="19"/>
      <c r="BB19" s="19"/>
      <c r="BC19" s="19"/>
      <c r="BD19" s="19"/>
      <c r="BE19" s="19"/>
      <c r="BF19" s="19"/>
      <c r="BG19" s="20"/>
      <c r="BH19" s="20"/>
      <c r="BI19" s="20"/>
      <c r="BJ19" s="20"/>
      <c r="BK19" s="20"/>
      <c r="BL19" s="20"/>
      <c r="BM19" s="20"/>
      <c r="BN19" s="20"/>
      <c r="BO19" s="20"/>
      <c r="BP19" s="20"/>
      <c r="BQ19" s="20"/>
      <c r="BR19" s="20"/>
      <c r="BS19" s="20"/>
      <c r="BT19" s="20"/>
      <c r="BU19" s="20"/>
      <c r="BV19" s="20"/>
      <c r="IP19" s="20"/>
      <c r="IQ19" s="20"/>
      <c r="IR19" s="20"/>
      <c r="IS19" s="20"/>
      <c r="IT19" s="20"/>
      <c r="IU19" s="20"/>
      <c r="IV19" s="20"/>
    </row>
    <row r="20" spans="1:256" s="21" customFormat="1" ht="76.5">
      <c r="A20" s="22"/>
      <c r="B20" s="68">
        <v>24</v>
      </c>
      <c r="C20" s="1">
        <v>535061</v>
      </c>
      <c r="D20" s="63" t="s">
        <v>146</v>
      </c>
      <c r="E20" s="26">
        <v>20163</v>
      </c>
      <c r="F20" s="26">
        <v>109696</v>
      </c>
      <c r="G20" s="26">
        <v>3534</v>
      </c>
      <c r="H20" s="27"/>
      <c r="I20" s="27"/>
      <c r="J20" s="72">
        <v>83</v>
      </c>
      <c r="K20" s="27">
        <v>10</v>
      </c>
      <c r="L20" s="72" t="s">
        <v>88</v>
      </c>
      <c r="M20" s="27" t="s">
        <v>147</v>
      </c>
      <c r="N20" s="27" t="s">
        <v>148</v>
      </c>
      <c r="O20" s="27"/>
      <c r="P20" s="27" t="s">
        <v>149</v>
      </c>
      <c r="Q20" s="27" t="s">
        <v>149</v>
      </c>
      <c r="R20" s="27" t="s">
        <v>149</v>
      </c>
      <c r="S20" s="27" t="s">
        <v>150</v>
      </c>
      <c r="T20" s="27">
        <v>1</v>
      </c>
      <c r="U20" s="28">
        <v>1</v>
      </c>
      <c r="V20" s="27"/>
      <c r="W20" s="27"/>
      <c r="X20" s="27" t="s">
        <v>151</v>
      </c>
      <c r="Y20" s="29"/>
      <c r="Z20" s="30"/>
      <c r="AA20" s="31"/>
      <c r="AB20" s="30"/>
      <c r="AC20" s="31"/>
      <c r="AD20" s="30"/>
      <c r="AE20" s="27"/>
      <c r="AF20" s="27"/>
      <c r="AG20" s="27">
        <f>137.5+106.65+26.27</f>
        <v>270.42</v>
      </c>
      <c r="AH20" s="27"/>
      <c r="AI20" s="28"/>
      <c r="AJ20" s="32">
        <v>89.76</v>
      </c>
      <c r="AK20" s="33">
        <v>285.8</v>
      </c>
      <c r="AL20" s="27">
        <f>+(137.5+89.76)/AK20</f>
        <v>0.79517144856543032</v>
      </c>
      <c r="AM20" s="33">
        <f>+AL20</f>
        <v>0.79517144856543032</v>
      </c>
      <c r="AN20" s="33"/>
      <c r="AO20" s="33">
        <f>+AJ20*17546</f>
        <v>1574928.9600000002</v>
      </c>
      <c r="AP20" s="72">
        <v>14591.58</v>
      </c>
      <c r="AQ20" s="78" t="s">
        <v>43</v>
      </c>
      <c r="AR20" s="34" t="s">
        <v>152</v>
      </c>
      <c r="AS20" s="80">
        <v>44602</v>
      </c>
      <c r="AT20" s="36"/>
      <c r="AU20" s="235" t="s">
        <v>153</v>
      </c>
      <c r="AV20" s="19"/>
      <c r="AW20" s="19"/>
      <c r="AX20" s="19"/>
      <c r="AY20" s="19"/>
      <c r="AZ20" s="19"/>
      <c r="BA20" s="19"/>
      <c r="BB20" s="19"/>
      <c r="BC20" s="19"/>
      <c r="BD20" s="19"/>
      <c r="BE20" s="19"/>
      <c r="BF20" s="19"/>
      <c r="BG20" s="20"/>
      <c r="BH20" s="20"/>
      <c r="BI20" s="20"/>
      <c r="BJ20" s="20"/>
      <c r="BK20" s="20"/>
      <c r="BL20" s="20"/>
      <c r="BM20" s="20"/>
      <c r="BN20" s="20"/>
      <c r="BO20" s="20"/>
      <c r="BP20" s="20"/>
      <c r="BQ20" s="20"/>
      <c r="BR20" s="20"/>
      <c r="BS20" s="20"/>
      <c r="BT20" s="20"/>
      <c r="BU20" s="20"/>
      <c r="BV20" s="20"/>
      <c r="IP20" s="20"/>
      <c r="IQ20" s="20"/>
      <c r="IR20" s="20"/>
      <c r="IS20" s="20"/>
      <c r="IT20" s="20"/>
      <c r="IU20" s="20"/>
      <c r="IV20" s="20"/>
    </row>
    <row r="21" spans="1:256" s="21" customFormat="1" ht="51">
      <c r="A21" s="22"/>
      <c r="B21" s="38"/>
      <c r="C21" s="39"/>
      <c r="D21" s="63"/>
      <c r="E21" s="26">
        <v>38957</v>
      </c>
      <c r="F21" s="26">
        <v>1270</v>
      </c>
      <c r="G21" s="26">
        <v>4776</v>
      </c>
      <c r="H21" s="27"/>
      <c r="I21" s="27"/>
      <c r="J21" s="102"/>
      <c r="K21" s="27">
        <v>11</v>
      </c>
      <c r="L21" s="102"/>
      <c r="M21" s="27" t="s">
        <v>154</v>
      </c>
      <c r="N21" s="27"/>
      <c r="O21" s="27"/>
      <c r="P21" s="27"/>
      <c r="Q21" s="27"/>
      <c r="R21" s="27"/>
      <c r="S21" s="27"/>
      <c r="T21" s="27"/>
      <c r="U21" s="28"/>
      <c r="V21" s="27"/>
      <c r="W21" s="27"/>
      <c r="X21" s="27"/>
      <c r="Y21" s="29">
        <v>3</v>
      </c>
      <c r="Z21" s="30"/>
      <c r="AA21" s="31">
        <f>+Y21+2</f>
        <v>5</v>
      </c>
      <c r="AB21" s="30"/>
      <c r="AC21" s="31">
        <f>+Y21*2</f>
        <v>6</v>
      </c>
      <c r="AD21" s="30"/>
      <c r="AE21" s="27"/>
      <c r="AF21" s="27"/>
      <c r="AG21" s="27"/>
      <c r="AH21" s="27"/>
      <c r="AI21" s="28"/>
      <c r="AJ21" s="32">
        <f>63.36+45.3</f>
        <v>108.66</v>
      </c>
      <c r="AK21" s="33">
        <v>285.10000000000002</v>
      </c>
      <c r="AL21" s="33">
        <f>+(63.36)/AK21</f>
        <v>0.22223781129428269</v>
      </c>
      <c r="AM21" s="33">
        <f>+(63.36+45.3)/AK21</f>
        <v>0.38112942827078217</v>
      </c>
      <c r="AN21" s="33"/>
      <c r="AO21" s="33">
        <f>+AJ21*17546</f>
        <v>1906548.3599999999</v>
      </c>
      <c r="AP21" s="102"/>
      <c r="AQ21" s="236"/>
      <c r="AR21" s="34" t="s">
        <v>155</v>
      </c>
      <c r="AS21" s="237"/>
      <c r="AT21" s="36"/>
      <c r="AU21" s="238"/>
      <c r="AV21" s="19"/>
      <c r="AW21" s="19"/>
      <c r="AX21" s="19"/>
      <c r="AY21" s="19"/>
      <c r="AZ21" s="19"/>
      <c r="BA21" s="19"/>
      <c r="BB21" s="19"/>
      <c r="BC21" s="19"/>
      <c r="BD21" s="19"/>
      <c r="BE21" s="19"/>
      <c r="BF21" s="19"/>
      <c r="BG21" s="20"/>
      <c r="BH21" s="20"/>
      <c r="BI21" s="20"/>
      <c r="BJ21" s="20"/>
      <c r="BK21" s="20"/>
      <c r="BL21" s="20"/>
      <c r="BM21" s="20"/>
      <c r="BN21" s="20"/>
      <c r="BO21" s="20"/>
      <c r="BP21" s="20"/>
      <c r="BQ21" s="20"/>
      <c r="BR21" s="20"/>
      <c r="BS21" s="20"/>
      <c r="BT21" s="20"/>
      <c r="BU21" s="20"/>
      <c r="BV21" s="20"/>
      <c r="IP21" s="20"/>
      <c r="IQ21" s="20"/>
      <c r="IR21" s="20"/>
      <c r="IS21" s="20"/>
      <c r="IT21" s="20"/>
      <c r="IU21" s="20"/>
      <c r="IV21" s="20"/>
    </row>
    <row r="22" spans="1:256" s="21" customFormat="1" ht="89.25">
      <c r="A22" s="22"/>
      <c r="B22" s="23">
        <v>15</v>
      </c>
      <c r="C22" s="24" t="s">
        <v>156</v>
      </c>
      <c r="D22" s="25">
        <v>44558</v>
      </c>
      <c r="E22" s="26">
        <v>17670</v>
      </c>
      <c r="F22" s="26">
        <v>107814</v>
      </c>
      <c r="G22" s="26">
        <v>2081</v>
      </c>
      <c r="H22" s="27"/>
      <c r="I22" s="27"/>
      <c r="J22" s="27">
        <v>298</v>
      </c>
      <c r="K22" s="27">
        <v>3</v>
      </c>
      <c r="L22" s="27" t="s">
        <v>157</v>
      </c>
      <c r="M22" s="27" t="s">
        <v>158</v>
      </c>
      <c r="N22" s="27" t="s">
        <v>159</v>
      </c>
      <c r="O22" s="27"/>
      <c r="P22" s="27" t="s">
        <v>160</v>
      </c>
      <c r="Q22" s="27" t="s">
        <v>160</v>
      </c>
      <c r="R22" s="27" t="s">
        <v>160</v>
      </c>
      <c r="S22" s="27" t="s">
        <v>161</v>
      </c>
      <c r="T22" s="27">
        <v>1</v>
      </c>
      <c r="U22" s="28"/>
      <c r="V22" s="27"/>
      <c r="W22" s="27">
        <v>1</v>
      </c>
      <c r="X22" s="27" t="s">
        <v>77</v>
      </c>
      <c r="Y22" s="29">
        <v>3</v>
      </c>
      <c r="Z22" s="30">
        <v>2</v>
      </c>
      <c r="AA22" s="31">
        <f>+Y22+1+1+1</f>
        <v>6</v>
      </c>
      <c r="AB22" s="30">
        <f>+Z22</f>
        <v>2</v>
      </c>
      <c r="AC22" s="31">
        <f>+Y22*2</f>
        <v>6</v>
      </c>
      <c r="AD22" s="30">
        <f>+Z22*2</f>
        <v>4</v>
      </c>
      <c r="AE22" s="27"/>
      <c r="AF22" s="27"/>
      <c r="AG22" s="27">
        <f>141.33+75.23/2</f>
        <v>178.94500000000002</v>
      </c>
      <c r="AH22" s="27"/>
      <c r="AI22" s="28">
        <v>35.85</v>
      </c>
      <c r="AJ22" s="32"/>
      <c r="AK22" s="33">
        <v>300</v>
      </c>
      <c r="AL22" s="33">
        <f>+(141.33+75.23)/AK22</f>
        <v>0.72186666666666666</v>
      </c>
      <c r="AM22" s="33">
        <f>+(AG22+AI22)/AK22</f>
        <v>0.71598333333333342</v>
      </c>
      <c r="AN22" s="33">
        <f>+(9+28+12)/(3+7+2)</f>
        <v>4.083333333333333</v>
      </c>
      <c r="AO22" s="33">
        <f>+(21938+17546*8+13161*5+6*8775)/20*(AI22+AG22)</f>
        <v>3015302.9497500001</v>
      </c>
      <c r="AP22" s="34">
        <v>39736.53</v>
      </c>
      <c r="AQ22" s="33" t="s">
        <v>71</v>
      </c>
      <c r="AR22" s="34" t="s">
        <v>162</v>
      </c>
      <c r="AS22" s="35">
        <v>44589</v>
      </c>
      <c r="AT22" s="36"/>
      <c r="AU22" s="43" t="s">
        <v>163</v>
      </c>
      <c r="AV22" s="19"/>
      <c r="AW22" s="19"/>
      <c r="AX22" s="19"/>
      <c r="AY22" s="19"/>
      <c r="AZ22" s="19"/>
      <c r="BA22" s="19"/>
      <c r="BB22" s="19"/>
      <c r="BC22" s="19"/>
      <c r="BD22" s="19"/>
      <c r="BE22" s="19"/>
      <c r="BF22" s="19"/>
      <c r="BG22" s="20"/>
      <c r="BH22" s="20"/>
      <c r="BI22" s="20"/>
      <c r="BJ22" s="20"/>
      <c r="BK22" s="20"/>
      <c r="BL22" s="20"/>
      <c r="BM22" s="20"/>
      <c r="BN22" s="20"/>
      <c r="BO22" s="20"/>
      <c r="BP22" s="20"/>
      <c r="BQ22" s="20"/>
      <c r="BR22" s="20"/>
      <c r="BS22" s="20"/>
      <c r="BT22" s="20"/>
      <c r="BU22" s="20"/>
      <c r="BV22" s="20"/>
      <c r="IP22" s="20"/>
      <c r="IQ22" s="20"/>
      <c r="IR22" s="20"/>
      <c r="IS22" s="20"/>
      <c r="IT22" s="20"/>
      <c r="IU22" s="20"/>
      <c r="IV22" s="20"/>
    </row>
    <row r="23" spans="1:256" s="21" customFormat="1" ht="51">
      <c r="A23" s="22"/>
      <c r="B23" s="38">
        <v>17</v>
      </c>
      <c r="C23" s="39">
        <v>537981</v>
      </c>
      <c r="D23" s="25">
        <v>44533</v>
      </c>
      <c r="E23" s="26">
        <v>53828</v>
      </c>
      <c r="F23" s="26">
        <v>164619</v>
      </c>
      <c r="G23" s="26">
        <v>33526</v>
      </c>
      <c r="H23" s="27">
        <v>310</v>
      </c>
      <c r="I23" s="27"/>
      <c r="J23" s="27">
        <v>1</v>
      </c>
      <c r="K23" s="27">
        <v>18</v>
      </c>
      <c r="L23" s="27" t="s">
        <v>129</v>
      </c>
      <c r="M23" s="27" t="s">
        <v>164</v>
      </c>
      <c r="N23" s="27" t="s">
        <v>165</v>
      </c>
      <c r="O23" s="27"/>
      <c r="P23" s="27" t="s">
        <v>166</v>
      </c>
      <c r="Q23" s="27" t="s">
        <v>166</v>
      </c>
      <c r="R23" s="27" t="s">
        <v>166</v>
      </c>
      <c r="S23" s="27" t="s">
        <v>167</v>
      </c>
      <c r="T23" s="27"/>
      <c r="U23" s="28">
        <v>1</v>
      </c>
      <c r="V23" s="27"/>
      <c r="W23" s="27"/>
      <c r="X23" s="27" t="s">
        <v>65</v>
      </c>
      <c r="Y23" s="29"/>
      <c r="Z23" s="30">
        <v>1</v>
      </c>
      <c r="AA23" s="31"/>
      <c r="AB23" s="30">
        <f>+Z23+1</f>
        <v>2</v>
      </c>
      <c r="AC23" s="31"/>
      <c r="AD23" s="30">
        <f>+Z23*2</f>
        <v>2</v>
      </c>
      <c r="AE23" s="27"/>
      <c r="AF23" s="27"/>
      <c r="AG23" s="27"/>
      <c r="AH23" s="27"/>
      <c r="AI23" s="28">
        <f>59.34+54.96/2</f>
        <v>86.820000000000007</v>
      </c>
      <c r="AJ23" s="32"/>
      <c r="AK23" s="33">
        <v>450</v>
      </c>
      <c r="AL23" s="33">
        <f>+(59.34+54.96)/AK23</f>
        <v>0.254</v>
      </c>
      <c r="AM23" s="33">
        <f>+AI23/AK23</f>
        <v>0.19293333333333335</v>
      </c>
      <c r="AN23" s="33">
        <f>+(15+16)/(5+4)</f>
        <v>3.4444444444444446</v>
      </c>
      <c r="AO23" s="33">
        <f>+(5*21938+7*17546+6*13161+8775*2)/20*AI23</f>
        <v>1428310.5480000002</v>
      </c>
      <c r="AP23" s="34">
        <v>6346.58</v>
      </c>
      <c r="AQ23" s="33" t="s">
        <v>71</v>
      </c>
      <c r="AR23" s="34" t="s">
        <v>168</v>
      </c>
      <c r="AS23" s="35">
        <v>44593</v>
      </c>
      <c r="AT23" s="35">
        <v>44910</v>
      </c>
      <c r="AU23" s="43" t="s">
        <v>169</v>
      </c>
      <c r="AV23" s="19"/>
      <c r="AW23" s="19"/>
      <c r="AX23" s="19"/>
      <c r="AY23" s="19"/>
      <c r="AZ23" s="19"/>
      <c r="BA23" s="19"/>
      <c r="BB23" s="19"/>
      <c r="BC23" s="19"/>
      <c r="BD23" s="19"/>
      <c r="BE23" s="19"/>
      <c r="BF23" s="19"/>
      <c r="BG23" s="20"/>
      <c r="BH23" s="20"/>
      <c r="BI23" s="20"/>
      <c r="BJ23" s="20"/>
      <c r="BK23" s="20"/>
      <c r="BL23" s="20"/>
      <c r="BM23" s="20"/>
      <c r="BN23" s="20"/>
      <c r="BO23" s="20"/>
      <c r="BP23" s="20"/>
      <c r="BQ23" s="20"/>
      <c r="BR23" s="20"/>
      <c r="BS23" s="20"/>
      <c r="BT23" s="20"/>
      <c r="BU23" s="20"/>
      <c r="BV23" s="20"/>
      <c r="IP23" s="20"/>
      <c r="IQ23" s="20"/>
      <c r="IR23" s="20"/>
      <c r="IS23" s="20"/>
      <c r="IT23" s="20"/>
      <c r="IU23" s="20"/>
      <c r="IV23" s="20"/>
    </row>
    <row r="24" spans="1:256" s="21" customFormat="1" ht="63.75">
      <c r="A24" s="22"/>
      <c r="B24" s="23">
        <v>21</v>
      </c>
      <c r="C24" s="24">
        <v>539462</v>
      </c>
      <c r="D24" s="25">
        <v>44588</v>
      </c>
      <c r="E24" s="26">
        <v>35875</v>
      </c>
      <c r="F24" s="26">
        <v>135505</v>
      </c>
      <c r="G24" s="26">
        <v>31406</v>
      </c>
      <c r="H24" s="27">
        <v>310</v>
      </c>
      <c r="I24" s="27"/>
      <c r="J24" s="27">
        <v>4</v>
      </c>
      <c r="K24" s="27">
        <v>7</v>
      </c>
      <c r="L24" s="27" t="s">
        <v>129</v>
      </c>
      <c r="M24" s="27" t="s">
        <v>170</v>
      </c>
      <c r="N24" s="27" t="s">
        <v>171</v>
      </c>
      <c r="O24" s="27"/>
      <c r="P24" s="27" t="s">
        <v>99</v>
      </c>
      <c r="Q24" s="27"/>
      <c r="R24" s="27"/>
      <c r="S24" s="27"/>
      <c r="T24" s="27">
        <v>1</v>
      </c>
      <c r="U24" s="28"/>
      <c r="V24" s="27"/>
      <c r="W24" s="27"/>
      <c r="X24" s="27" t="s">
        <v>172</v>
      </c>
      <c r="Y24" s="29">
        <v>3</v>
      </c>
      <c r="Z24" s="30"/>
      <c r="AA24" s="31">
        <f>+Y24+1</f>
        <v>4</v>
      </c>
      <c r="AB24" s="30"/>
      <c r="AC24" s="31">
        <f>+Y24*2</f>
        <v>6</v>
      </c>
      <c r="AD24" s="30"/>
      <c r="AE24" s="27"/>
      <c r="AF24" s="27"/>
      <c r="AG24" s="27">
        <f>151.25+93.71/2+13.4</f>
        <v>211.505</v>
      </c>
      <c r="AH24" s="27"/>
      <c r="AI24" s="28"/>
      <c r="AJ24" s="32"/>
      <c r="AK24" s="33">
        <v>4032</v>
      </c>
      <c r="AL24" s="33">
        <f>+(151.25+93.71)/AK24</f>
        <v>6.0753968253968248E-2</v>
      </c>
      <c r="AM24" s="33">
        <f>+(AG24/AK24)</f>
        <v>5.245659722222222E-2</v>
      </c>
      <c r="AN24" s="33">
        <f>+(8+12+4)/(4+4+1)</f>
        <v>2.6666666666666665</v>
      </c>
      <c r="AO24" s="33">
        <f>+(8*21938+17546*9+13161*6+1*8775)/24*AG24</f>
        <v>3711551.4289583336</v>
      </c>
      <c r="AP24" s="34">
        <v>54915.4</v>
      </c>
      <c r="AQ24" s="33" t="s">
        <v>71</v>
      </c>
      <c r="AR24" s="34" t="s">
        <v>173</v>
      </c>
      <c r="AS24" s="35">
        <v>44599</v>
      </c>
      <c r="AT24" s="36"/>
      <c r="AU24" s="37" t="s">
        <v>174</v>
      </c>
      <c r="AV24" s="19"/>
      <c r="AW24" s="19"/>
      <c r="AX24" s="19"/>
      <c r="AY24" s="19"/>
      <c r="AZ24" s="19"/>
      <c r="BA24" s="19"/>
      <c r="BB24" s="19"/>
      <c r="BC24" s="19"/>
      <c r="BD24" s="19"/>
      <c r="BE24" s="19"/>
      <c r="BF24" s="19"/>
      <c r="BG24" s="20"/>
      <c r="BH24" s="20"/>
      <c r="BI24" s="20"/>
      <c r="BJ24" s="20"/>
      <c r="BK24" s="20"/>
      <c r="BL24" s="20"/>
      <c r="BM24" s="20"/>
      <c r="BN24" s="20"/>
      <c r="BO24" s="20"/>
      <c r="BP24" s="20"/>
      <c r="BQ24" s="20"/>
      <c r="BR24" s="20"/>
      <c r="BS24" s="20"/>
      <c r="BT24" s="20"/>
      <c r="BU24" s="20"/>
      <c r="BV24" s="20"/>
      <c r="IP24" s="20"/>
      <c r="IQ24" s="20"/>
      <c r="IR24" s="20"/>
      <c r="IS24" s="20"/>
      <c r="IT24" s="20"/>
      <c r="IU24" s="20"/>
      <c r="IV24" s="20"/>
    </row>
    <row r="25" spans="1:256" s="21" customFormat="1" ht="76.5">
      <c r="A25" s="22"/>
      <c r="B25" s="38">
        <v>19</v>
      </c>
      <c r="C25" s="39">
        <v>537970</v>
      </c>
      <c r="D25" s="25">
        <v>44533</v>
      </c>
      <c r="E25" s="26">
        <v>45635</v>
      </c>
      <c r="F25" s="26">
        <v>319</v>
      </c>
      <c r="G25" s="26">
        <v>4212</v>
      </c>
      <c r="H25" s="27"/>
      <c r="I25" s="27"/>
      <c r="J25" s="27">
        <v>176</v>
      </c>
      <c r="K25" s="27">
        <v>2</v>
      </c>
      <c r="L25" s="27" t="s">
        <v>60</v>
      </c>
      <c r="M25" s="27" t="s">
        <v>175</v>
      </c>
      <c r="N25" s="27" t="s">
        <v>176</v>
      </c>
      <c r="O25" s="27"/>
      <c r="P25" s="27" t="s">
        <v>177</v>
      </c>
      <c r="Q25" s="27"/>
      <c r="R25" s="27"/>
      <c r="S25" s="27" t="s">
        <v>178</v>
      </c>
      <c r="T25" s="27">
        <v>1</v>
      </c>
      <c r="U25" s="28"/>
      <c r="V25" s="27"/>
      <c r="W25" s="27"/>
      <c r="X25" s="27" t="s">
        <v>179</v>
      </c>
      <c r="Y25" s="29"/>
      <c r="Z25" s="30"/>
      <c r="AA25" s="31"/>
      <c r="AB25" s="30"/>
      <c r="AC25" s="31"/>
      <c r="AD25" s="30"/>
      <c r="AE25" s="27"/>
      <c r="AF25" s="27"/>
      <c r="AG25" s="27">
        <f>73.38+18.77/2</f>
        <v>82.765000000000001</v>
      </c>
      <c r="AH25" s="27">
        <v>242.36</v>
      </c>
      <c r="AI25" s="28"/>
      <c r="AJ25" s="32"/>
      <c r="AK25" s="33">
        <v>1226.45</v>
      </c>
      <c r="AL25" s="33">
        <f>+(242.36+73.38+18.77)/AK25</f>
        <v>0.27274654490602956</v>
      </c>
      <c r="AM25" s="33">
        <f>+(AG25+AH25)/AK25</f>
        <v>0.26509437808308534</v>
      </c>
      <c r="AN25" s="33"/>
      <c r="AO25" s="33">
        <f>+(AH25*13161)+((5*21938+4*13161+11*8775)/20*AG25)</f>
        <v>4260923.2167499997</v>
      </c>
      <c r="AP25" s="34">
        <v>62950.879999999997</v>
      </c>
      <c r="AQ25" s="33" t="s">
        <v>36</v>
      </c>
      <c r="AR25" s="34" t="s">
        <v>180</v>
      </c>
      <c r="AS25" s="35">
        <v>44594</v>
      </c>
      <c r="AT25" s="36"/>
      <c r="AU25" s="43" t="s">
        <v>181</v>
      </c>
      <c r="AV25" s="19"/>
      <c r="AW25" s="19"/>
      <c r="AX25" s="19"/>
      <c r="AY25" s="19"/>
      <c r="AZ25" s="19"/>
      <c r="BA25" s="19"/>
      <c r="BB25" s="19"/>
      <c r="BC25" s="19"/>
      <c r="BD25" s="19"/>
      <c r="BE25" s="19"/>
      <c r="BF25" s="19"/>
      <c r="BG25" s="20"/>
      <c r="BH25" s="20"/>
      <c r="BI25" s="20"/>
      <c r="BJ25" s="20"/>
      <c r="BK25" s="20"/>
      <c r="BL25" s="20"/>
      <c r="BM25" s="20"/>
      <c r="BN25" s="20"/>
      <c r="BO25" s="20"/>
      <c r="BP25" s="20"/>
      <c r="BQ25" s="20"/>
      <c r="BR25" s="20"/>
      <c r="BS25" s="20"/>
      <c r="BT25" s="20"/>
      <c r="BU25" s="20"/>
      <c r="BV25" s="20"/>
      <c r="IP25" s="20"/>
      <c r="IQ25" s="20"/>
      <c r="IR25" s="20"/>
      <c r="IS25" s="20"/>
      <c r="IT25" s="20"/>
      <c r="IU25" s="20"/>
      <c r="IV25" s="20"/>
    </row>
    <row r="26" spans="1:256" s="21" customFormat="1" ht="51">
      <c r="A26" s="22"/>
      <c r="B26" s="23">
        <v>20</v>
      </c>
      <c r="C26" s="24">
        <v>524417</v>
      </c>
      <c r="D26" s="25">
        <v>44110</v>
      </c>
      <c r="E26" s="26">
        <v>57004</v>
      </c>
      <c r="F26" s="26">
        <v>141620</v>
      </c>
      <c r="G26" s="26">
        <v>32069</v>
      </c>
      <c r="H26" s="27">
        <v>327</v>
      </c>
      <c r="I26" s="27"/>
      <c r="J26" s="27">
        <v>2</v>
      </c>
      <c r="K26" s="27">
        <v>17</v>
      </c>
      <c r="L26" s="27" t="s">
        <v>74</v>
      </c>
      <c r="M26" s="27" t="s">
        <v>182</v>
      </c>
      <c r="N26" s="27" t="s">
        <v>183</v>
      </c>
      <c r="O26" s="27"/>
      <c r="P26" s="27" t="s">
        <v>184</v>
      </c>
      <c r="Q26" s="27" t="s">
        <v>184</v>
      </c>
      <c r="R26" s="27" t="s">
        <v>184</v>
      </c>
      <c r="S26" s="27" t="s">
        <v>185</v>
      </c>
      <c r="T26" s="27"/>
      <c r="U26" s="28">
        <v>1</v>
      </c>
      <c r="V26" s="27"/>
      <c r="W26" s="27"/>
      <c r="X26" s="27" t="s">
        <v>186</v>
      </c>
      <c r="Y26" s="29"/>
      <c r="Z26" s="30"/>
      <c r="AA26" s="31"/>
      <c r="AB26" s="30"/>
      <c r="AC26" s="31"/>
      <c r="AD26" s="30"/>
      <c r="AE26" s="27"/>
      <c r="AF26" s="27"/>
      <c r="AG26" s="27"/>
      <c r="AH26" s="27"/>
      <c r="AI26" s="28"/>
      <c r="AJ26" s="32">
        <v>45.15</v>
      </c>
      <c r="AK26" s="33">
        <v>374.5</v>
      </c>
      <c r="AL26" s="33">
        <f>+AJ26/AK26</f>
        <v>0.1205607476635514</v>
      </c>
      <c r="AM26" s="33">
        <f>+AL26</f>
        <v>0.1205607476635514</v>
      </c>
      <c r="AN26" s="33"/>
      <c r="AO26" s="33">
        <f>+AJ26*17546</f>
        <v>792201.9</v>
      </c>
      <c r="AP26" s="34">
        <v>4786.2700000000004</v>
      </c>
      <c r="AQ26" s="33"/>
      <c r="AR26" s="34" t="s">
        <v>187</v>
      </c>
      <c r="AS26" s="35">
        <v>44594</v>
      </c>
      <c r="AT26" s="36"/>
      <c r="AU26" s="43" t="s">
        <v>188</v>
      </c>
      <c r="AV26" s="19"/>
      <c r="AW26" s="19"/>
      <c r="AX26" s="19"/>
      <c r="AY26" s="19"/>
      <c r="AZ26" s="19"/>
      <c r="BA26" s="19"/>
      <c r="BB26" s="19"/>
      <c r="BC26" s="19"/>
      <c r="BD26" s="19"/>
      <c r="BE26" s="19"/>
      <c r="BF26" s="19"/>
      <c r="BG26" s="20"/>
      <c r="BH26" s="20"/>
      <c r="BI26" s="20"/>
      <c r="BJ26" s="20"/>
      <c r="BK26" s="20"/>
      <c r="BL26" s="20"/>
      <c r="BM26" s="20"/>
      <c r="BN26" s="20"/>
      <c r="BO26" s="20"/>
      <c r="BP26" s="20"/>
      <c r="BQ26" s="20"/>
      <c r="BR26" s="20"/>
      <c r="BS26" s="20"/>
      <c r="BT26" s="20"/>
      <c r="BU26" s="20"/>
      <c r="BV26" s="20"/>
      <c r="IP26" s="20"/>
      <c r="IQ26" s="20"/>
      <c r="IR26" s="20"/>
      <c r="IS26" s="20"/>
      <c r="IT26" s="20"/>
      <c r="IU26" s="20"/>
      <c r="IV26" s="20"/>
    </row>
    <row r="27" spans="1:256" s="21" customFormat="1" ht="76.5">
      <c r="A27" s="22"/>
      <c r="B27" s="38">
        <v>31</v>
      </c>
      <c r="C27" s="39">
        <v>536786</v>
      </c>
      <c r="D27" s="25">
        <v>44502</v>
      </c>
      <c r="E27" s="26">
        <v>47440</v>
      </c>
      <c r="F27" s="26">
        <v>150267</v>
      </c>
      <c r="G27" s="26">
        <v>9289</v>
      </c>
      <c r="H27" s="27"/>
      <c r="I27" s="27"/>
      <c r="J27" s="27">
        <v>517</v>
      </c>
      <c r="K27" s="27">
        <v>12</v>
      </c>
      <c r="L27" s="27" t="s">
        <v>46</v>
      </c>
      <c r="M27" s="27" t="s">
        <v>189</v>
      </c>
      <c r="N27" s="27" t="s">
        <v>190</v>
      </c>
      <c r="O27" s="27"/>
      <c r="P27" s="27" t="s">
        <v>191</v>
      </c>
      <c r="Q27" s="27"/>
      <c r="R27" s="27"/>
      <c r="S27" s="27"/>
      <c r="T27" s="27">
        <v>4</v>
      </c>
      <c r="U27" s="28"/>
      <c r="V27" s="27"/>
      <c r="W27" s="27"/>
      <c r="X27" s="27" t="s">
        <v>192</v>
      </c>
      <c r="Y27" s="29">
        <v>4</v>
      </c>
      <c r="Z27" s="30"/>
      <c r="AA27" s="31">
        <f>+Y27+4</f>
        <v>8</v>
      </c>
      <c r="AB27" s="30"/>
      <c r="AC27" s="31">
        <f>+Y27*2</f>
        <v>8</v>
      </c>
      <c r="AD27" s="30"/>
      <c r="AE27" s="27"/>
      <c r="AF27" s="27"/>
      <c r="AG27" s="27">
        <f>74.66+74.66</f>
        <v>149.32</v>
      </c>
      <c r="AH27" s="27"/>
      <c r="AI27" s="28"/>
      <c r="AJ27" s="32"/>
      <c r="AK27" s="33">
        <v>194.4</v>
      </c>
      <c r="AL27" s="33">
        <f>74.66/AK27</f>
        <v>0.3840534979423868</v>
      </c>
      <c r="AM27" s="33">
        <f>+AG27/AK27</f>
        <v>0.7681069958847736</v>
      </c>
      <c r="AN27" s="33"/>
      <c r="AO27" s="33">
        <v>855000</v>
      </c>
      <c r="AP27" s="34">
        <v>7267.92</v>
      </c>
      <c r="AQ27" s="33" t="s">
        <v>71</v>
      </c>
      <c r="AR27" s="34" t="s">
        <v>193</v>
      </c>
      <c r="AS27" s="35">
        <v>44606</v>
      </c>
      <c r="AT27" s="36"/>
      <c r="AU27" s="43" t="s">
        <v>194</v>
      </c>
      <c r="AV27" s="19"/>
      <c r="AW27" s="19"/>
      <c r="AX27" s="19"/>
      <c r="AY27" s="19"/>
      <c r="AZ27" s="19"/>
      <c r="BA27" s="19"/>
      <c r="BB27" s="19"/>
      <c r="BC27" s="19"/>
      <c r="BD27" s="19"/>
      <c r="BE27" s="19"/>
      <c r="BF27" s="19"/>
      <c r="BG27" s="20"/>
      <c r="BH27" s="20"/>
      <c r="BI27" s="20"/>
      <c r="BJ27" s="20"/>
      <c r="BK27" s="20"/>
      <c r="BL27" s="20"/>
      <c r="BM27" s="20"/>
      <c r="BN27" s="20"/>
      <c r="BO27" s="20"/>
      <c r="BP27" s="20"/>
      <c r="BQ27" s="20"/>
      <c r="BR27" s="20"/>
      <c r="BS27" s="20"/>
      <c r="BT27" s="20"/>
      <c r="BU27" s="20"/>
      <c r="BV27" s="20"/>
      <c r="IP27" s="20"/>
      <c r="IQ27" s="20"/>
      <c r="IR27" s="20"/>
      <c r="IS27" s="20"/>
      <c r="IT27" s="20"/>
      <c r="IU27" s="20"/>
      <c r="IV27" s="20"/>
    </row>
    <row r="28" spans="1:256" s="21" customFormat="1" ht="51">
      <c r="A28" s="22"/>
      <c r="B28" s="38">
        <v>30</v>
      </c>
      <c r="C28" s="39">
        <v>536787</v>
      </c>
      <c r="D28" s="25">
        <v>44502</v>
      </c>
      <c r="E28" s="26">
        <v>47659</v>
      </c>
      <c r="F28" s="26">
        <v>158341</v>
      </c>
      <c r="G28" s="26">
        <v>9306</v>
      </c>
      <c r="H28" s="27"/>
      <c r="I28" s="27"/>
      <c r="J28" s="27">
        <v>517</v>
      </c>
      <c r="K28" s="27">
        <v>16</v>
      </c>
      <c r="L28" s="27" t="s">
        <v>46</v>
      </c>
      <c r="M28" s="27" t="s">
        <v>195</v>
      </c>
      <c r="N28" s="27" t="s">
        <v>190</v>
      </c>
      <c r="O28" s="27"/>
      <c r="P28" s="27" t="s">
        <v>191</v>
      </c>
      <c r="Q28" s="27"/>
      <c r="R28" s="27"/>
      <c r="S28" s="27"/>
      <c r="T28" s="27">
        <v>1</v>
      </c>
      <c r="U28" s="28"/>
      <c r="V28" s="27"/>
      <c r="W28" s="27"/>
      <c r="X28" s="27" t="s">
        <v>65</v>
      </c>
      <c r="Y28" s="29">
        <v>1</v>
      </c>
      <c r="Z28" s="30"/>
      <c r="AA28" s="31">
        <f>+Y28+1</f>
        <v>2</v>
      </c>
      <c r="AB28" s="30"/>
      <c r="AC28" s="31">
        <f>+Y28*2</f>
        <v>2</v>
      </c>
      <c r="AD28" s="30"/>
      <c r="AE28" s="27"/>
      <c r="AF28" s="27"/>
      <c r="AG28" s="27">
        <v>61.49</v>
      </c>
      <c r="AH28" s="27"/>
      <c r="AI28" s="28"/>
      <c r="AJ28" s="32"/>
      <c r="AK28" s="33">
        <v>247.68</v>
      </c>
      <c r="AL28" s="33">
        <f>+AG28/AK28</f>
        <v>0.2482638888888889</v>
      </c>
      <c r="AM28" s="33">
        <f>+AL28</f>
        <v>0.2482638888888889</v>
      </c>
      <c r="AN28" s="33"/>
      <c r="AO28" s="33">
        <v>855000</v>
      </c>
      <c r="AP28" s="34">
        <v>4802.95</v>
      </c>
      <c r="AQ28" s="33" t="s">
        <v>71</v>
      </c>
      <c r="AR28" s="34" t="s">
        <v>196</v>
      </c>
      <c r="AS28" s="35">
        <v>44606</v>
      </c>
      <c r="AT28" s="36"/>
      <c r="AU28" s="43" t="s">
        <v>197</v>
      </c>
      <c r="AV28" s="19"/>
      <c r="AW28" s="19"/>
      <c r="AX28" s="19"/>
      <c r="AY28" s="19"/>
      <c r="AZ28" s="19"/>
      <c r="BA28" s="19"/>
      <c r="BB28" s="19"/>
      <c r="BC28" s="19"/>
      <c r="BD28" s="19"/>
      <c r="BE28" s="19"/>
      <c r="BF28" s="19"/>
      <c r="BG28" s="20"/>
      <c r="BH28" s="20"/>
      <c r="BI28" s="20"/>
      <c r="BJ28" s="20"/>
      <c r="BK28" s="20"/>
      <c r="BL28" s="20"/>
      <c r="BM28" s="20"/>
      <c r="BN28" s="20"/>
      <c r="BO28" s="20"/>
      <c r="BP28" s="20"/>
      <c r="BQ28" s="20"/>
      <c r="BR28" s="20"/>
      <c r="BS28" s="20"/>
      <c r="BT28" s="20"/>
      <c r="BU28" s="20"/>
      <c r="BV28" s="20"/>
      <c r="IP28" s="20"/>
      <c r="IQ28" s="20"/>
      <c r="IR28" s="20"/>
      <c r="IS28" s="20"/>
      <c r="IT28" s="20"/>
      <c r="IU28" s="20"/>
      <c r="IV28" s="20"/>
    </row>
    <row r="29" spans="1:256" s="21" customFormat="1" ht="63.75">
      <c r="A29" s="22"/>
      <c r="B29" s="23">
        <v>23</v>
      </c>
      <c r="C29" s="24">
        <v>534967</v>
      </c>
      <c r="D29" s="25">
        <v>44475</v>
      </c>
      <c r="E29" s="26">
        <v>52777</v>
      </c>
      <c r="F29" s="26">
        <v>162266</v>
      </c>
      <c r="G29" s="26">
        <v>33149</v>
      </c>
      <c r="H29" s="27">
        <v>3</v>
      </c>
      <c r="I29" s="27"/>
      <c r="J29" s="27">
        <v>4</v>
      </c>
      <c r="K29" s="27">
        <v>30</v>
      </c>
      <c r="L29" s="27" t="s">
        <v>198</v>
      </c>
      <c r="M29" s="27" t="s">
        <v>199</v>
      </c>
      <c r="N29" s="27" t="s">
        <v>200</v>
      </c>
      <c r="O29" s="27"/>
      <c r="P29" s="27" t="s">
        <v>201</v>
      </c>
      <c r="Q29" s="27" t="s">
        <v>201</v>
      </c>
      <c r="R29" s="27" t="s">
        <v>201</v>
      </c>
      <c r="S29" s="27" t="s">
        <v>64</v>
      </c>
      <c r="T29" s="27"/>
      <c r="U29" s="28">
        <v>1</v>
      </c>
      <c r="V29" s="27"/>
      <c r="W29" s="27"/>
      <c r="X29" s="27" t="s">
        <v>65</v>
      </c>
      <c r="Y29" s="29"/>
      <c r="Z29" s="30">
        <v>3</v>
      </c>
      <c r="AA29" s="31"/>
      <c r="AB29" s="30">
        <f>+Z29+1</f>
        <v>4</v>
      </c>
      <c r="AC29" s="31"/>
      <c r="AD29" s="30">
        <f>+Z29*2</f>
        <v>6</v>
      </c>
      <c r="AE29" s="27"/>
      <c r="AF29" s="27"/>
      <c r="AG29" s="27"/>
      <c r="AH29" s="27"/>
      <c r="AI29" s="28">
        <f>133.65+70.1/2</f>
        <v>168.7</v>
      </c>
      <c r="AJ29" s="32"/>
      <c r="AK29" s="33">
        <v>925.38</v>
      </c>
      <c r="AL29" s="27">
        <f>+(133.65+22.15+47.95)/AK29</f>
        <v>0.22017981802070502</v>
      </c>
      <c r="AM29" s="33">
        <f>+AI29/AK29</f>
        <v>0.18230348613542544</v>
      </c>
      <c r="AN29" s="33"/>
      <c r="AO29" s="33">
        <f>+((11*21938+17546*7+5*13161)/23*AI29)+(2000000)</f>
        <v>5153553.1086956523</v>
      </c>
      <c r="AP29" s="34">
        <v>121954.73</v>
      </c>
      <c r="AQ29" s="33" t="s">
        <v>71</v>
      </c>
      <c r="AR29" s="34" t="s">
        <v>202</v>
      </c>
      <c r="AS29" s="35">
        <v>44601</v>
      </c>
      <c r="AT29" s="35">
        <v>45037</v>
      </c>
      <c r="AU29" s="43" t="s">
        <v>203</v>
      </c>
      <c r="AV29" s="19"/>
      <c r="AW29" s="19"/>
      <c r="AX29" s="19"/>
      <c r="AY29" s="19"/>
      <c r="AZ29" s="19"/>
      <c r="BA29" s="19"/>
      <c r="BB29" s="19"/>
      <c r="BC29" s="19"/>
      <c r="BD29" s="19"/>
      <c r="BE29" s="19"/>
      <c r="BF29" s="19"/>
      <c r="BG29" s="20"/>
      <c r="BH29" s="20"/>
      <c r="BI29" s="20"/>
      <c r="BJ29" s="20"/>
      <c r="BK29" s="20"/>
      <c r="BL29" s="20"/>
      <c r="BM29" s="20"/>
      <c r="BN29" s="20"/>
      <c r="BO29" s="20"/>
      <c r="BP29" s="20"/>
      <c r="BQ29" s="20"/>
      <c r="BR29" s="20"/>
      <c r="BS29" s="20"/>
      <c r="BT29" s="20"/>
      <c r="BU29" s="20"/>
      <c r="BV29" s="20"/>
      <c r="IP29" s="20"/>
      <c r="IQ29" s="20"/>
      <c r="IR29" s="20"/>
      <c r="IS29" s="20"/>
      <c r="IT29" s="20"/>
      <c r="IU29" s="20"/>
      <c r="IV29" s="20"/>
    </row>
    <row r="30" spans="1:256" s="21" customFormat="1" ht="89.25">
      <c r="A30" s="22"/>
      <c r="B30" s="23">
        <v>22</v>
      </c>
      <c r="C30" s="24" t="s">
        <v>204</v>
      </c>
      <c r="D30" s="25">
        <v>44557</v>
      </c>
      <c r="E30" s="26">
        <v>-36136</v>
      </c>
      <c r="F30" s="26">
        <v>135653</v>
      </c>
      <c r="G30" s="26">
        <v>7576</v>
      </c>
      <c r="H30" s="27"/>
      <c r="I30" s="27"/>
      <c r="J30" s="27">
        <v>30</v>
      </c>
      <c r="K30" s="27">
        <v>17</v>
      </c>
      <c r="L30" s="27" t="s">
        <v>205</v>
      </c>
      <c r="M30" s="27" t="s">
        <v>206</v>
      </c>
      <c r="N30" s="27" t="s">
        <v>207</v>
      </c>
      <c r="O30" s="27"/>
      <c r="P30" s="27" t="s">
        <v>160</v>
      </c>
      <c r="Q30" s="27"/>
      <c r="R30" s="27"/>
      <c r="S30" s="27"/>
      <c r="T30" s="27">
        <v>2</v>
      </c>
      <c r="U30" s="28"/>
      <c r="V30" s="27"/>
      <c r="W30" s="27"/>
      <c r="X30" s="27" t="s">
        <v>77</v>
      </c>
      <c r="Y30" s="29">
        <f>1+4</f>
        <v>5</v>
      </c>
      <c r="Z30" s="30"/>
      <c r="AA30" s="31">
        <f>+Y30+1+3</f>
        <v>9</v>
      </c>
      <c r="AB30" s="30"/>
      <c r="AC30" s="31">
        <f>+Y30*2</f>
        <v>10</v>
      </c>
      <c r="AD30" s="30"/>
      <c r="AE30" s="27"/>
      <c r="AF30" s="27"/>
      <c r="AG30" s="27">
        <f>218.6+27.4/2+25.75</f>
        <v>258.04999999999995</v>
      </c>
      <c r="AH30" s="27"/>
      <c r="AI30" s="28"/>
      <c r="AJ30" s="32"/>
      <c r="AK30" s="33">
        <v>413.32</v>
      </c>
      <c r="AL30" s="33">
        <f>+(218.6+27.4)/AK30</f>
        <v>0.59518048969321591</v>
      </c>
      <c r="AM30" s="33">
        <f>+AG30/AK30</f>
        <v>0.62433465595664361</v>
      </c>
      <c r="AN30" s="33"/>
      <c r="AO30" s="33">
        <f>+(8*21938+4*17546+8*13161+2*8775)/22*AG30</f>
        <v>4322642.4681818178</v>
      </c>
      <c r="AP30" s="34">
        <v>62767.62</v>
      </c>
      <c r="AQ30" s="33" t="s">
        <v>71</v>
      </c>
      <c r="AR30" s="34" t="s">
        <v>208</v>
      </c>
      <c r="AS30" s="35">
        <v>44602</v>
      </c>
      <c r="AT30" s="36"/>
      <c r="AU30" s="43" t="s">
        <v>209</v>
      </c>
      <c r="AV30" s="19"/>
      <c r="AW30" s="19"/>
      <c r="AX30" s="19"/>
      <c r="AY30" s="19"/>
      <c r="AZ30" s="19"/>
      <c r="BA30" s="19"/>
      <c r="BB30" s="19"/>
      <c r="BC30" s="19"/>
      <c r="BD30" s="19"/>
      <c r="BE30" s="19"/>
      <c r="BF30" s="19"/>
      <c r="BG30" s="20"/>
      <c r="BH30" s="20"/>
      <c r="BI30" s="20"/>
      <c r="BJ30" s="20"/>
      <c r="BK30" s="20"/>
      <c r="BL30" s="20"/>
      <c r="BM30" s="20"/>
      <c r="BN30" s="20"/>
      <c r="BO30" s="20"/>
      <c r="BP30" s="20"/>
      <c r="BQ30" s="20"/>
      <c r="BR30" s="20"/>
      <c r="BS30" s="20"/>
      <c r="BT30" s="20"/>
      <c r="BU30" s="20"/>
      <c r="BV30" s="20"/>
      <c r="IP30" s="20"/>
      <c r="IQ30" s="20"/>
      <c r="IR30" s="20"/>
      <c r="IS30" s="20"/>
      <c r="IT30" s="20"/>
      <c r="IU30" s="20"/>
      <c r="IV30" s="20"/>
    </row>
    <row r="31" spans="1:256" s="21" customFormat="1" ht="89.25">
      <c r="A31" s="22"/>
      <c r="B31" s="38">
        <v>25</v>
      </c>
      <c r="C31" s="39" t="s">
        <v>210</v>
      </c>
      <c r="D31" s="25">
        <v>44518</v>
      </c>
      <c r="E31" s="26">
        <v>36509</v>
      </c>
      <c r="F31" s="26">
        <v>135988</v>
      </c>
      <c r="G31" s="26">
        <v>7899</v>
      </c>
      <c r="H31" s="27"/>
      <c r="I31" s="27"/>
      <c r="J31" s="27">
        <v>818</v>
      </c>
      <c r="K31" s="27">
        <v>10</v>
      </c>
      <c r="L31" s="27" t="s">
        <v>211</v>
      </c>
      <c r="M31" s="27" t="s">
        <v>212</v>
      </c>
      <c r="N31" s="27" t="s">
        <v>213</v>
      </c>
      <c r="O31" s="27"/>
      <c r="P31" s="27" t="s">
        <v>49</v>
      </c>
      <c r="Q31" s="27"/>
      <c r="R31" s="27"/>
      <c r="S31" s="27"/>
      <c r="T31" s="27"/>
      <c r="U31" s="28"/>
      <c r="V31" s="27"/>
      <c r="W31" s="27"/>
      <c r="X31" s="27" t="s">
        <v>77</v>
      </c>
      <c r="Y31" s="29"/>
      <c r="Z31" s="30"/>
      <c r="AA31" s="31"/>
      <c r="AB31" s="30"/>
      <c r="AC31" s="31"/>
      <c r="AD31" s="30"/>
      <c r="AE31" s="27">
        <f>102+56.4+161.8+33</f>
        <v>353.20000000000005</v>
      </c>
      <c r="AF31" s="27"/>
      <c r="AG31" s="27"/>
      <c r="AH31" s="27"/>
      <c r="AI31" s="28"/>
      <c r="AJ31" s="32"/>
      <c r="AK31" s="33">
        <v>210.5</v>
      </c>
      <c r="AL31" s="33">
        <f>+(102+56.4)/AK31</f>
        <v>0.75249406175771971</v>
      </c>
      <c r="AM31" s="33">
        <f>+AE31/AK31</f>
        <v>1.6779097387173398</v>
      </c>
      <c r="AN31" s="33"/>
      <c r="AO31" s="33">
        <v>380000</v>
      </c>
      <c r="AP31" s="34">
        <v>8368</v>
      </c>
      <c r="AQ31" s="33" t="s">
        <v>51</v>
      </c>
      <c r="AR31" s="34" t="s">
        <v>214</v>
      </c>
      <c r="AS31" s="35">
        <v>44602</v>
      </c>
      <c r="AT31" s="36"/>
      <c r="AU31" s="37">
        <v>44598</v>
      </c>
      <c r="AV31" s="19"/>
      <c r="AW31" s="19"/>
      <c r="AX31" s="19"/>
      <c r="AY31" s="19"/>
      <c r="AZ31" s="19"/>
      <c r="BA31" s="19"/>
      <c r="BB31" s="19"/>
      <c r="BC31" s="19"/>
      <c r="BD31" s="19"/>
      <c r="BE31" s="19"/>
      <c r="BF31" s="19"/>
      <c r="BG31" s="20"/>
      <c r="BH31" s="20"/>
      <c r="BI31" s="20"/>
      <c r="BJ31" s="20"/>
      <c r="BK31" s="20"/>
      <c r="BL31" s="20"/>
      <c r="BM31" s="20"/>
      <c r="BN31" s="20"/>
      <c r="BO31" s="20"/>
      <c r="BP31" s="20"/>
      <c r="BQ31" s="20"/>
      <c r="BR31" s="20"/>
      <c r="BS31" s="20"/>
      <c r="BT31" s="20"/>
      <c r="BU31" s="20"/>
      <c r="BV31" s="20"/>
      <c r="IP31" s="20"/>
      <c r="IQ31" s="20"/>
      <c r="IR31" s="20"/>
      <c r="IS31" s="20"/>
      <c r="IT31" s="20"/>
      <c r="IU31" s="20"/>
      <c r="IV31" s="20"/>
    </row>
    <row r="32" spans="1:256" s="21" customFormat="1" ht="76.5">
      <c r="A32" s="22"/>
      <c r="B32" s="38">
        <v>26</v>
      </c>
      <c r="C32" s="39" t="s">
        <v>215</v>
      </c>
      <c r="D32" s="25">
        <v>44531</v>
      </c>
      <c r="E32" s="26">
        <v>51214</v>
      </c>
      <c r="F32" s="26">
        <v>161071</v>
      </c>
      <c r="G32" s="26">
        <v>32894</v>
      </c>
      <c r="H32" s="27">
        <v>127</v>
      </c>
      <c r="I32" s="27"/>
      <c r="J32" s="27">
        <v>10</v>
      </c>
      <c r="K32" s="27">
        <v>18</v>
      </c>
      <c r="L32" s="27" t="s">
        <v>74</v>
      </c>
      <c r="M32" s="27" t="s">
        <v>216</v>
      </c>
      <c r="N32" s="27" t="s">
        <v>217</v>
      </c>
      <c r="O32" s="27"/>
      <c r="P32" s="27" t="s">
        <v>218</v>
      </c>
      <c r="Q32" s="27"/>
      <c r="R32" s="27"/>
      <c r="S32" s="27"/>
      <c r="T32" s="27">
        <v>2</v>
      </c>
      <c r="U32" s="28"/>
      <c r="V32" s="27"/>
      <c r="W32" s="27"/>
      <c r="X32" s="27" t="s">
        <v>77</v>
      </c>
      <c r="Y32" s="29">
        <f>3+1</f>
        <v>4</v>
      </c>
      <c r="Z32" s="30"/>
      <c r="AA32" s="31">
        <f>+Y32+1+1</f>
        <v>6</v>
      </c>
      <c r="AB32" s="30"/>
      <c r="AC32" s="31">
        <f>+Y32*2</f>
        <v>8</v>
      </c>
      <c r="AD32" s="30"/>
      <c r="AE32" s="27"/>
      <c r="AF32" s="27"/>
      <c r="AG32" s="27">
        <f>180.315+35.5/2</f>
        <v>198.065</v>
      </c>
      <c r="AH32" s="27"/>
      <c r="AI32" s="28"/>
      <c r="AJ32" s="32"/>
      <c r="AK32" s="33">
        <v>346.5</v>
      </c>
      <c r="AL32" s="33">
        <f>+(180.315+35.5)/AK32</f>
        <v>0.62284271284271286</v>
      </c>
      <c r="AM32" s="33">
        <f>+AG32/AK32</f>
        <v>0.57161616161616158</v>
      </c>
      <c r="AN32" s="33"/>
      <c r="AO32" s="33">
        <f>+(5*17546+12*13161+3*8775)/20*AG32</f>
        <v>2693555.2577499999</v>
      </c>
      <c r="AP32" s="34">
        <v>43650.65</v>
      </c>
      <c r="AQ32" s="33" t="s">
        <v>71</v>
      </c>
      <c r="AR32" s="34" t="s">
        <v>219</v>
      </c>
      <c r="AS32" s="35">
        <v>44602</v>
      </c>
      <c r="AT32" s="36"/>
      <c r="AU32" s="37">
        <v>44594</v>
      </c>
      <c r="AV32" s="19"/>
      <c r="AW32" s="19"/>
      <c r="AX32" s="19"/>
      <c r="AY32" s="19"/>
      <c r="AZ32" s="19"/>
      <c r="BA32" s="19"/>
      <c r="BB32" s="19"/>
      <c r="BC32" s="19"/>
      <c r="BD32" s="19"/>
      <c r="BE32" s="19"/>
      <c r="BF32" s="19"/>
      <c r="BG32" s="20"/>
      <c r="BH32" s="20"/>
      <c r="BI32" s="20"/>
      <c r="BJ32" s="20"/>
      <c r="BK32" s="20"/>
      <c r="BL32" s="20"/>
      <c r="BM32" s="20"/>
      <c r="BN32" s="20"/>
      <c r="BO32" s="20"/>
      <c r="BP32" s="20"/>
      <c r="BQ32" s="20"/>
      <c r="BR32" s="20"/>
      <c r="BS32" s="20"/>
      <c r="BT32" s="20"/>
      <c r="BU32" s="20"/>
      <c r="BV32" s="20"/>
      <c r="IP32" s="20"/>
      <c r="IQ32" s="20"/>
      <c r="IR32" s="20"/>
      <c r="IS32" s="20"/>
      <c r="IT32" s="20"/>
      <c r="IU32" s="20"/>
      <c r="IV32" s="20"/>
    </row>
    <row r="33" spans="1:256" s="21" customFormat="1" ht="76.5">
      <c r="A33" s="22"/>
      <c r="B33" s="64">
        <v>35</v>
      </c>
      <c r="C33" s="65">
        <v>538421</v>
      </c>
      <c r="D33" s="66">
        <v>44546</v>
      </c>
      <c r="E33" s="26">
        <v>55854</v>
      </c>
      <c r="F33" s="26">
        <v>163178</v>
      </c>
      <c r="G33" s="26">
        <v>9905</v>
      </c>
      <c r="H33" s="27"/>
      <c r="I33" s="27"/>
      <c r="J33" s="27">
        <v>76</v>
      </c>
      <c r="K33" s="27">
        <v>15</v>
      </c>
      <c r="L33" s="27" t="s">
        <v>31</v>
      </c>
      <c r="M33" s="27" t="s">
        <v>220</v>
      </c>
      <c r="N33" s="27" t="s">
        <v>221</v>
      </c>
      <c r="O33" s="27"/>
      <c r="P33" s="27" t="s">
        <v>222</v>
      </c>
      <c r="Q33" s="27" t="s">
        <v>222</v>
      </c>
      <c r="R33" s="27" t="s">
        <v>222</v>
      </c>
      <c r="S33" s="27" t="s">
        <v>150</v>
      </c>
      <c r="T33" s="27"/>
      <c r="U33" s="28"/>
      <c r="V33" s="27">
        <v>1</v>
      </c>
      <c r="W33" s="27"/>
      <c r="X33" s="27" t="s">
        <v>35</v>
      </c>
      <c r="Y33" s="29"/>
      <c r="Z33" s="30"/>
      <c r="AA33" s="31"/>
      <c r="AB33" s="30"/>
      <c r="AC33" s="31"/>
      <c r="AD33" s="30"/>
      <c r="AE33" s="27"/>
      <c r="AF33" s="27">
        <f>170.6+5/2</f>
        <v>173.1</v>
      </c>
      <c r="AG33" s="27"/>
      <c r="AH33" s="27">
        <v>29.4</v>
      </c>
      <c r="AI33" s="28"/>
      <c r="AJ33" s="32">
        <v>91.27</v>
      </c>
      <c r="AK33" s="33">
        <v>177.28</v>
      </c>
      <c r="AL33" s="33">
        <f>+(170.8+5)/AK33</f>
        <v>0.99165162454873657</v>
      </c>
      <c r="AM33" s="33">
        <f>+(AF33+AJ33)/AK33</f>
        <v>1.4912567689530687</v>
      </c>
      <c r="AN33" s="33"/>
      <c r="AO33" s="33">
        <f>+(AJ33+AH33)*17546</f>
        <v>2117275.8199999998</v>
      </c>
      <c r="AP33" s="34">
        <v>30849.7</v>
      </c>
      <c r="AQ33" s="33" t="s">
        <v>71</v>
      </c>
      <c r="AR33" s="34" t="s">
        <v>223</v>
      </c>
      <c r="AS33" s="35">
        <v>44607</v>
      </c>
      <c r="AT33" s="36"/>
      <c r="AU33" s="67" t="s">
        <v>224</v>
      </c>
      <c r="AV33" s="19"/>
      <c r="AW33" s="19"/>
      <c r="AX33" s="19"/>
      <c r="AY33" s="19"/>
      <c r="AZ33" s="19"/>
      <c r="BA33" s="19"/>
      <c r="BB33" s="19"/>
      <c r="BC33" s="19"/>
      <c r="BD33" s="19"/>
      <c r="BE33" s="19"/>
      <c r="BF33" s="19"/>
      <c r="BG33" s="20"/>
      <c r="BH33" s="20"/>
      <c r="BI33" s="20"/>
      <c r="BJ33" s="20"/>
      <c r="BK33" s="20"/>
      <c r="BL33" s="20"/>
      <c r="BM33" s="20"/>
      <c r="BN33" s="20"/>
      <c r="BO33" s="20"/>
      <c r="BP33" s="20"/>
      <c r="BQ33" s="20"/>
      <c r="BR33" s="20"/>
      <c r="BS33" s="20"/>
      <c r="BT33" s="20"/>
      <c r="BU33" s="20"/>
      <c r="BV33" s="20"/>
      <c r="IP33" s="20"/>
      <c r="IQ33" s="20"/>
      <c r="IR33" s="20"/>
      <c r="IS33" s="20"/>
      <c r="IT33" s="20"/>
      <c r="IU33" s="20"/>
      <c r="IV33" s="20"/>
    </row>
    <row r="34" spans="1:256" s="21" customFormat="1" ht="127.5">
      <c r="A34" s="22"/>
      <c r="B34" s="23">
        <v>28</v>
      </c>
      <c r="C34" s="24">
        <v>539541</v>
      </c>
      <c r="D34" s="25">
        <v>44592</v>
      </c>
      <c r="E34" s="26">
        <v>-25016</v>
      </c>
      <c r="F34" s="26">
        <v>60507</v>
      </c>
      <c r="G34" s="26">
        <v>30305</v>
      </c>
      <c r="H34" s="27">
        <v>307</v>
      </c>
      <c r="I34" s="27"/>
      <c r="J34" s="27"/>
      <c r="K34" s="27">
        <v>3</v>
      </c>
      <c r="L34" s="27" t="s">
        <v>129</v>
      </c>
      <c r="M34" s="27" t="s">
        <v>225</v>
      </c>
      <c r="N34" s="27" t="s">
        <v>226</v>
      </c>
      <c r="O34" s="27"/>
      <c r="P34" s="27" t="s">
        <v>227</v>
      </c>
      <c r="Q34" s="27"/>
      <c r="R34" s="27"/>
      <c r="S34" s="27"/>
      <c r="T34" s="27">
        <v>4</v>
      </c>
      <c r="U34" s="28"/>
      <c r="V34" s="27"/>
      <c r="W34" s="27"/>
      <c r="X34" s="27" t="s">
        <v>77</v>
      </c>
      <c r="Y34" s="29">
        <f>3+2+2+1</f>
        <v>8</v>
      </c>
      <c r="Z34" s="30"/>
      <c r="AA34" s="31">
        <f>+Y34+1+1+1+1</f>
        <v>12</v>
      </c>
      <c r="AB34" s="30"/>
      <c r="AC34" s="31">
        <f>+Y34*2</f>
        <v>16</v>
      </c>
      <c r="AD34" s="30"/>
      <c r="AE34" s="27"/>
      <c r="AF34" s="27"/>
      <c r="AG34" s="27">
        <f>69.77/2+29.9+17.75/2+277.25</f>
        <v>350.90999999999997</v>
      </c>
      <c r="AH34" s="27"/>
      <c r="AI34" s="28"/>
      <c r="AJ34" s="32"/>
      <c r="AK34" s="33">
        <v>32819</v>
      </c>
      <c r="AL34" s="33">
        <f>+(277.25+69.77+17.75)/AK34</f>
        <v>1.1114598251013132E-2</v>
      </c>
      <c r="AM34" s="33">
        <f>+(277.25+69.77/2+17.75/2)/AK34</f>
        <v>9.7812242908071542E-3</v>
      </c>
      <c r="AN34" s="33"/>
      <c r="AO34" s="33">
        <f>+(6*17546+4*13161+8775*10)/20*AG34</f>
        <v>4310402.9849999994</v>
      </c>
      <c r="AP34" s="34">
        <v>78647.55</v>
      </c>
      <c r="AQ34" s="33" t="s">
        <v>36</v>
      </c>
      <c r="AR34" s="34" t="s">
        <v>228</v>
      </c>
      <c r="AS34" s="35">
        <v>44606</v>
      </c>
      <c r="AT34" s="36"/>
      <c r="AU34" s="37" t="s">
        <v>229</v>
      </c>
      <c r="AV34" s="19"/>
      <c r="AW34" s="19"/>
      <c r="AX34" s="19"/>
      <c r="AY34" s="19"/>
      <c r="AZ34" s="19"/>
      <c r="BA34" s="19"/>
      <c r="BB34" s="19"/>
      <c r="BC34" s="19"/>
      <c r="BD34" s="19"/>
      <c r="BE34" s="19"/>
      <c r="BF34" s="19"/>
      <c r="BG34" s="20"/>
      <c r="BH34" s="20"/>
      <c r="BI34" s="20"/>
      <c r="BJ34" s="20"/>
      <c r="BK34" s="20"/>
      <c r="BL34" s="20"/>
      <c r="BM34" s="20"/>
      <c r="BN34" s="20"/>
      <c r="BO34" s="20"/>
      <c r="BP34" s="20"/>
      <c r="BQ34" s="20"/>
      <c r="BR34" s="20"/>
      <c r="BS34" s="20"/>
      <c r="BT34" s="20"/>
      <c r="BU34" s="20"/>
      <c r="BV34" s="20"/>
      <c r="IP34" s="20"/>
      <c r="IQ34" s="20"/>
      <c r="IR34" s="20"/>
      <c r="IS34" s="20"/>
      <c r="IT34" s="20"/>
      <c r="IU34" s="20"/>
      <c r="IV34" s="20"/>
    </row>
    <row r="35" spans="1:256" s="21" customFormat="1" ht="63.75">
      <c r="A35" s="22"/>
      <c r="B35" s="23">
        <v>37</v>
      </c>
      <c r="C35" s="24" t="s">
        <v>230</v>
      </c>
      <c r="D35" s="25">
        <v>44473</v>
      </c>
      <c r="E35" s="26">
        <v>29923</v>
      </c>
      <c r="F35" s="26">
        <v>912</v>
      </c>
      <c r="G35" s="26">
        <v>4514</v>
      </c>
      <c r="H35" s="27"/>
      <c r="I35" s="27"/>
      <c r="J35" s="27">
        <v>91</v>
      </c>
      <c r="K35" s="27">
        <v>7</v>
      </c>
      <c r="L35" s="27" t="s">
        <v>31</v>
      </c>
      <c r="M35" s="27" t="s">
        <v>231</v>
      </c>
      <c r="N35" s="27" t="s">
        <v>232</v>
      </c>
      <c r="O35" s="27" t="s">
        <v>233</v>
      </c>
      <c r="P35" s="27" t="s">
        <v>234</v>
      </c>
      <c r="Q35" s="27" t="s">
        <v>234</v>
      </c>
      <c r="R35" s="27" t="s">
        <v>234</v>
      </c>
      <c r="S35" s="27" t="s">
        <v>235</v>
      </c>
      <c r="T35" s="27"/>
      <c r="U35" s="28">
        <f>1+1</f>
        <v>2</v>
      </c>
      <c r="V35" s="27"/>
      <c r="W35" s="27"/>
      <c r="X35" s="27" t="s">
        <v>151</v>
      </c>
      <c r="Y35" s="29"/>
      <c r="Z35" s="30">
        <v>3</v>
      </c>
      <c r="AA35" s="31"/>
      <c r="AB35" s="30">
        <f>+Z35+1</f>
        <v>4</v>
      </c>
      <c r="AC35" s="31"/>
      <c r="AD35" s="30">
        <f>+Z35*2</f>
        <v>6</v>
      </c>
      <c r="AE35" s="27"/>
      <c r="AF35" s="27"/>
      <c r="AG35" s="27"/>
      <c r="AH35" s="27"/>
      <c r="AI35" s="28">
        <v>110.52</v>
      </c>
      <c r="AJ35" s="32">
        <v>178.44</v>
      </c>
      <c r="AK35" s="33">
        <v>225.6</v>
      </c>
      <c r="AL35" s="27">
        <f>+AJ35/AK35</f>
        <v>0.79095744680851066</v>
      </c>
      <c r="AM35" s="33">
        <f>+(AI35+AJ35)/AK35</f>
        <v>1.2808510638297872</v>
      </c>
      <c r="AN35" s="33"/>
      <c r="AO35" s="33">
        <f>+(AJ35*17546)+((11*21938+6*17546+13161*2+3*8775)/22*AI35)</f>
        <v>5136549.8454545448</v>
      </c>
      <c r="AP35" s="34">
        <v>23906.79</v>
      </c>
      <c r="AQ35" s="33" t="s">
        <v>71</v>
      </c>
      <c r="AR35" s="34" t="s">
        <v>236</v>
      </c>
      <c r="AS35" s="35">
        <v>44609</v>
      </c>
      <c r="AT35" s="36"/>
      <c r="AU35" s="43" t="s">
        <v>237</v>
      </c>
      <c r="AV35" s="19"/>
      <c r="AW35" s="19"/>
      <c r="AX35" s="19"/>
      <c r="AY35" s="19"/>
      <c r="AZ35" s="19"/>
      <c r="BA35" s="19"/>
      <c r="BB35" s="19"/>
      <c r="BC35" s="19"/>
      <c r="BD35" s="19"/>
      <c r="BE35" s="19"/>
      <c r="BF35" s="19"/>
      <c r="BG35" s="20"/>
      <c r="BH35" s="20"/>
      <c r="BI35" s="20"/>
      <c r="BJ35" s="20"/>
      <c r="BK35" s="20"/>
      <c r="BL35" s="20"/>
      <c r="BM35" s="20"/>
      <c r="BN35" s="20"/>
      <c r="BO35" s="20"/>
      <c r="BP35" s="20"/>
      <c r="BQ35" s="20"/>
      <c r="BR35" s="20"/>
      <c r="BS35" s="20"/>
      <c r="BT35" s="20"/>
      <c r="BU35" s="20"/>
      <c r="BV35" s="20"/>
      <c r="IP35" s="20"/>
      <c r="IQ35" s="20"/>
      <c r="IR35" s="20"/>
      <c r="IS35" s="20"/>
      <c r="IT35" s="20"/>
      <c r="IU35" s="20"/>
      <c r="IV35" s="20"/>
    </row>
    <row r="36" spans="1:256" s="21" customFormat="1" ht="51">
      <c r="A36" s="22"/>
      <c r="B36" s="23" t="s">
        <v>238</v>
      </c>
      <c r="C36" s="25">
        <v>44572</v>
      </c>
      <c r="D36" s="63" t="s">
        <v>239</v>
      </c>
      <c r="E36" s="26">
        <v>42808</v>
      </c>
      <c r="F36" s="26">
        <v>140851</v>
      </c>
      <c r="G36" s="26">
        <v>31958</v>
      </c>
      <c r="H36" s="27">
        <v>227</v>
      </c>
      <c r="I36" s="27"/>
      <c r="J36" s="27">
        <v>4</v>
      </c>
      <c r="K36" s="27">
        <v>3</v>
      </c>
      <c r="L36" s="27" t="s">
        <v>240</v>
      </c>
      <c r="M36" s="27" t="s">
        <v>241</v>
      </c>
      <c r="N36" s="27" t="s">
        <v>242</v>
      </c>
      <c r="O36" s="27"/>
      <c r="P36" s="27" t="s">
        <v>243</v>
      </c>
      <c r="Q36" s="27"/>
      <c r="R36" s="27"/>
      <c r="S36" s="27"/>
      <c r="T36" s="27">
        <v>3</v>
      </c>
      <c r="U36" s="28"/>
      <c r="V36" s="27"/>
      <c r="W36" s="27"/>
      <c r="X36" s="27" t="s">
        <v>77</v>
      </c>
      <c r="Y36" s="29"/>
      <c r="Z36" s="30"/>
      <c r="AA36" s="31"/>
      <c r="AB36" s="30"/>
      <c r="AC36" s="31"/>
      <c r="AD36" s="30"/>
      <c r="AE36" s="27"/>
      <c r="AF36" s="27"/>
      <c r="AG36" s="27"/>
      <c r="AH36" s="27"/>
      <c r="AI36" s="28"/>
      <c r="AJ36" s="32"/>
      <c r="AK36" s="33">
        <v>2360</v>
      </c>
      <c r="AL36" s="33"/>
      <c r="AM36" s="33"/>
      <c r="AN36" s="33"/>
      <c r="AO36" s="33"/>
      <c r="AP36" s="34"/>
      <c r="AQ36" s="33"/>
      <c r="AR36" s="34"/>
      <c r="AS36" s="35"/>
      <c r="AT36" s="36"/>
      <c r="AU36" s="43"/>
      <c r="AV36" s="19"/>
      <c r="AW36" s="19"/>
      <c r="AX36" s="19"/>
      <c r="AY36" s="19"/>
      <c r="AZ36" s="19"/>
      <c r="BA36" s="19"/>
      <c r="BB36" s="19"/>
      <c r="BC36" s="19"/>
      <c r="BD36" s="19"/>
      <c r="BE36" s="19"/>
      <c r="BF36" s="19"/>
      <c r="BG36" s="20"/>
      <c r="BH36" s="20"/>
      <c r="BI36" s="20"/>
      <c r="BJ36" s="20"/>
      <c r="BK36" s="20"/>
      <c r="BL36" s="20"/>
      <c r="BM36" s="20"/>
      <c r="BN36" s="20"/>
      <c r="BO36" s="20"/>
      <c r="BP36" s="20"/>
      <c r="BQ36" s="20"/>
      <c r="BR36" s="20"/>
      <c r="BS36" s="20"/>
      <c r="BT36" s="20"/>
      <c r="BU36" s="20"/>
      <c r="BV36" s="20"/>
      <c r="IP36" s="20"/>
      <c r="IQ36" s="20"/>
      <c r="IR36" s="20"/>
      <c r="IS36" s="20"/>
      <c r="IT36" s="20"/>
      <c r="IU36" s="20"/>
      <c r="IV36" s="20"/>
    </row>
    <row r="37" spans="1:256" s="21" customFormat="1" ht="38.25">
      <c r="A37" s="22"/>
      <c r="B37" s="23">
        <v>29</v>
      </c>
      <c r="C37" s="24">
        <v>539706</v>
      </c>
      <c r="D37" s="25">
        <v>44596</v>
      </c>
      <c r="E37" s="26">
        <v>57680</v>
      </c>
      <c r="F37" s="26">
        <v>166273</v>
      </c>
      <c r="G37" s="26">
        <v>21389</v>
      </c>
      <c r="H37" s="27">
        <v>34</v>
      </c>
      <c r="I37" s="27"/>
      <c r="J37" s="27">
        <v>352</v>
      </c>
      <c r="K37" s="27">
        <v>16</v>
      </c>
      <c r="L37" s="27" t="s">
        <v>129</v>
      </c>
      <c r="M37" s="27" t="s">
        <v>244</v>
      </c>
      <c r="N37" s="27" t="s">
        <v>245</v>
      </c>
      <c r="O37" s="27"/>
      <c r="P37" s="27" t="s">
        <v>246</v>
      </c>
      <c r="Q37" s="27" t="s">
        <v>246</v>
      </c>
      <c r="R37" s="27" t="s">
        <v>246</v>
      </c>
      <c r="S37" s="27" t="s">
        <v>100</v>
      </c>
      <c r="T37" s="27"/>
      <c r="U37" s="28">
        <v>1</v>
      </c>
      <c r="V37" s="27"/>
      <c r="W37" s="27"/>
      <c r="X37" s="27" t="s">
        <v>65</v>
      </c>
      <c r="Y37" s="29"/>
      <c r="Z37" s="30">
        <v>2</v>
      </c>
      <c r="AA37" s="31"/>
      <c r="AB37" s="30">
        <f>+Z37+1</f>
        <v>3</v>
      </c>
      <c r="AC37" s="31"/>
      <c r="AD37" s="30">
        <f>+Z37*2</f>
        <v>4</v>
      </c>
      <c r="AE37" s="27"/>
      <c r="AF37" s="27"/>
      <c r="AG37" s="27"/>
      <c r="AH37" s="27"/>
      <c r="AI37" s="28">
        <f>102.42+58.42/2</f>
        <v>131.63</v>
      </c>
      <c r="AJ37" s="32"/>
      <c r="AK37" s="33">
        <v>320.10000000000002</v>
      </c>
      <c r="AL37" s="33">
        <f>+(102.42+58.42)/AK37</f>
        <v>0.50246797875663851</v>
      </c>
      <c r="AM37" s="33">
        <f>+AI37/AK37</f>
        <v>0.41121524523586372</v>
      </c>
      <c r="AN37" s="33"/>
      <c r="AO37" s="33">
        <f>+(7*21938+2*17546+13161*9+2*8775)/20*AI37</f>
        <v>2136730.0455</v>
      </c>
      <c r="AP37" s="34">
        <v>7902.97</v>
      </c>
      <c r="AQ37" s="33" t="s">
        <v>36</v>
      </c>
      <c r="AR37" s="34" t="s">
        <v>247</v>
      </c>
      <c r="AS37" s="35">
        <v>44606</v>
      </c>
      <c r="AT37" s="36"/>
      <c r="AU37" s="37" t="s">
        <v>248</v>
      </c>
      <c r="AV37" s="19"/>
      <c r="AW37" s="19"/>
      <c r="AX37" s="19"/>
      <c r="AY37" s="19"/>
      <c r="AZ37" s="19"/>
      <c r="BA37" s="19"/>
      <c r="BB37" s="19"/>
      <c r="BC37" s="19"/>
      <c r="BD37" s="19"/>
      <c r="BE37" s="19"/>
      <c r="BF37" s="19"/>
      <c r="BG37" s="20"/>
      <c r="BH37" s="20"/>
      <c r="BI37" s="20"/>
      <c r="BJ37" s="20"/>
      <c r="BK37" s="20"/>
      <c r="BL37" s="20"/>
      <c r="BM37" s="20"/>
      <c r="BN37" s="20"/>
      <c r="BO37" s="20"/>
      <c r="BP37" s="20"/>
      <c r="BQ37" s="20"/>
      <c r="BR37" s="20"/>
      <c r="BS37" s="20"/>
      <c r="BT37" s="20"/>
      <c r="BU37" s="20"/>
      <c r="BV37" s="20"/>
      <c r="IP37" s="20"/>
      <c r="IQ37" s="20"/>
      <c r="IR37" s="20"/>
      <c r="IS37" s="20"/>
      <c r="IT37" s="20"/>
      <c r="IU37" s="20"/>
      <c r="IV37" s="20"/>
    </row>
    <row r="38" spans="1:256" s="21" customFormat="1" ht="38.25">
      <c r="A38" s="22"/>
      <c r="B38" s="68">
        <v>36</v>
      </c>
      <c r="C38" s="69">
        <v>525845</v>
      </c>
      <c r="D38" s="70">
        <v>44596</v>
      </c>
      <c r="E38" s="71">
        <v>56540</v>
      </c>
      <c r="F38" s="71">
        <v>165337</v>
      </c>
      <c r="G38" s="71">
        <v>21366</v>
      </c>
      <c r="H38" s="72">
        <v>27</v>
      </c>
      <c r="I38" s="72"/>
      <c r="J38" s="72">
        <v>338</v>
      </c>
      <c r="K38" s="72">
        <v>17</v>
      </c>
      <c r="L38" s="72" t="s">
        <v>74</v>
      </c>
      <c r="M38" s="72" t="s">
        <v>249</v>
      </c>
      <c r="N38" s="72" t="s">
        <v>250</v>
      </c>
      <c r="O38" s="72"/>
      <c r="P38" s="72" t="s">
        <v>166</v>
      </c>
      <c r="Q38" s="72" t="s">
        <v>166</v>
      </c>
      <c r="R38" s="72" t="s">
        <v>166</v>
      </c>
      <c r="S38" s="72" t="s">
        <v>251</v>
      </c>
      <c r="T38" s="72"/>
      <c r="U38" s="73">
        <v>1</v>
      </c>
      <c r="V38" s="72"/>
      <c r="W38" s="72"/>
      <c r="X38" s="72" t="s">
        <v>65</v>
      </c>
      <c r="Y38" s="74"/>
      <c r="Z38" s="75">
        <v>2</v>
      </c>
      <c r="AA38" s="76"/>
      <c r="AB38" s="75">
        <f>+Z38+1</f>
        <v>3</v>
      </c>
      <c r="AC38" s="76"/>
      <c r="AD38" s="75">
        <f>+Z38*2</f>
        <v>4</v>
      </c>
      <c r="AE38" s="72"/>
      <c r="AF38" s="72"/>
      <c r="AG38" s="72"/>
      <c r="AH38" s="72"/>
      <c r="AI38" s="73">
        <f>79+1.2/2</f>
        <v>79.599999999999994</v>
      </c>
      <c r="AJ38" s="77"/>
      <c r="AK38" s="78">
        <v>310.49</v>
      </c>
      <c r="AL38" s="78">
        <f>+(79+1.2)/AK38</f>
        <v>0.25830139456987344</v>
      </c>
      <c r="AM38" s="78">
        <f>+AI38/AK38</f>
        <v>0.25636896518406388</v>
      </c>
      <c r="AN38" s="78"/>
      <c r="AO38" s="78">
        <f>+(11*12923+9693*6+3*6462)/20*AI38</f>
        <v>874394.05999999994</v>
      </c>
      <c r="AP38" s="79">
        <v>1126</v>
      </c>
      <c r="AQ38" s="78" t="s">
        <v>71</v>
      </c>
      <c r="AR38" s="79" t="s">
        <v>252</v>
      </c>
      <c r="AS38" s="80">
        <v>44607</v>
      </c>
      <c r="AT38" s="81"/>
      <c r="AU38" s="82" t="s">
        <v>253</v>
      </c>
      <c r="AV38" s="19"/>
      <c r="AW38" s="19"/>
      <c r="AX38" s="19"/>
      <c r="AY38" s="19"/>
      <c r="AZ38" s="19"/>
      <c r="BA38" s="19"/>
      <c r="BB38" s="19"/>
      <c r="BC38" s="19"/>
      <c r="BD38" s="19"/>
      <c r="BE38" s="19"/>
      <c r="BF38" s="19"/>
      <c r="BG38" s="20"/>
      <c r="BH38" s="20"/>
      <c r="BI38" s="20"/>
      <c r="BJ38" s="20"/>
      <c r="BK38" s="20"/>
      <c r="BL38" s="20"/>
      <c r="BM38" s="20"/>
      <c r="BN38" s="20"/>
      <c r="BO38" s="20"/>
      <c r="BP38" s="20"/>
      <c r="BQ38" s="20"/>
      <c r="BR38" s="20"/>
      <c r="BS38" s="20"/>
      <c r="BT38" s="20"/>
      <c r="BU38" s="20"/>
      <c r="BV38" s="20"/>
      <c r="IP38" s="20"/>
      <c r="IQ38" s="20"/>
      <c r="IR38" s="20"/>
      <c r="IS38" s="20"/>
      <c r="IT38" s="20"/>
      <c r="IU38" s="20"/>
      <c r="IV38" s="20"/>
    </row>
    <row r="39" spans="1:256" s="21" customFormat="1" ht="89.25">
      <c r="A39" s="22"/>
      <c r="B39" s="23">
        <v>33</v>
      </c>
      <c r="C39" s="24">
        <v>539704</v>
      </c>
      <c r="D39" s="25">
        <v>44596</v>
      </c>
      <c r="E39" s="26">
        <v>51481</v>
      </c>
      <c r="F39" s="26">
        <v>161095</v>
      </c>
      <c r="G39" s="26">
        <v>32888</v>
      </c>
      <c r="H39" s="27"/>
      <c r="I39" s="27"/>
      <c r="J39" s="27">
        <v>11</v>
      </c>
      <c r="K39" s="27">
        <v>1</v>
      </c>
      <c r="L39" s="27" t="s">
        <v>74</v>
      </c>
      <c r="M39" s="27" t="s">
        <v>254</v>
      </c>
      <c r="N39" s="27" t="s">
        <v>255</v>
      </c>
      <c r="O39" s="27"/>
      <c r="P39" s="27" t="s">
        <v>246</v>
      </c>
      <c r="Q39" s="27"/>
      <c r="R39" s="27"/>
      <c r="S39" s="27"/>
      <c r="T39" s="27">
        <v>2</v>
      </c>
      <c r="U39" s="28"/>
      <c r="V39" s="27"/>
      <c r="W39" s="27"/>
      <c r="X39" s="27" t="s">
        <v>77</v>
      </c>
      <c r="Y39" s="29">
        <f>2+1</f>
        <v>3</v>
      </c>
      <c r="Z39" s="30"/>
      <c r="AA39" s="31">
        <f>+Y39+1+1</f>
        <v>5</v>
      </c>
      <c r="AB39" s="30"/>
      <c r="AC39" s="31">
        <f>+Y39*2</f>
        <v>6</v>
      </c>
      <c r="AD39" s="30"/>
      <c r="AE39" s="27">
        <v>45.4</v>
      </c>
      <c r="AF39" s="27"/>
      <c r="AG39" s="27">
        <v>43.95</v>
      </c>
      <c r="AH39" s="27"/>
      <c r="AI39" s="28"/>
      <c r="AJ39" s="32"/>
      <c r="AK39" s="33">
        <v>176.8</v>
      </c>
      <c r="AL39" s="33">
        <f>+(AE39+AG39)/AK39</f>
        <v>0.5053733031674208</v>
      </c>
      <c r="AM39" s="33">
        <f>+AL39</f>
        <v>0.5053733031674208</v>
      </c>
      <c r="AN39" s="33"/>
      <c r="AO39" s="33">
        <f>+(21938+4*17546+13161*3+12*8775)/20*AG39</f>
        <v>520598.73750000005</v>
      </c>
      <c r="AP39" s="34">
        <v>7690.56</v>
      </c>
      <c r="AQ39" s="33" t="s">
        <v>36</v>
      </c>
      <c r="AR39" s="34" t="s">
        <v>256</v>
      </c>
      <c r="AS39" s="35">
        <v>44606</v>
      </c>
      <c r="AT39" s="36"/>
      <c r="AU39" s="37">
        <v>44600</v>
      </c>
      <c r="AV39" s="19"/>
      <c r="AW39" s="19"/>
      <c r="AX39" s="19"/>
      <c r="AY39" s="19"/>
      <c r="AZ39" s="19"/>
      <c r="BA39" s="19"/>
      <c r="BB39" s="19"/>
      <c r="BC39" s="19"/>
      <c r="BD39" s="19"/>
      <c r="BE39" s="19"/>
      <c r="BF39" s="19"/>
      <c r="BG39" s="20"/>
      <c r="BH39" s="20"/>
      <c r="BI39" s="20"/>
      <c r="BJ39" s="20"/>
      <c r="BK39" s="20"/>
      <c r="BL39" s="20"/>
      <c r="BM39" s="20"/>
      <c r="BN39" s="20"/>
      <c r="BO39" s="20"/>
      <c r="BP39" s="20"/>
      <c r="BQ39" s="20"/>
      <c r="BR39" s="20"/>
      <c r="BS39" s="20"/>
      <c r="BT39" s="20"/>
      <c r="BU39" s="20"/>
      <c r="BV39" s="20"/>
      <c r="IP39" s="20"/>
      <c r="IQ39" s="20"/>
      <c r="IR39" s="20"/>
      <c r="IS39" s="20"/>
      <c r="IT39" s="20"/>
      <c r="IU39" s="20"/>
      <c r="IV39" s="20"/>
    </row>
    <row r="40" spans="1:256" s="21" customFormat="1" ht="38.25">
      <c r="A40" s="22" t="s">
        <v>257</v>
      </c>
      <c r="B40" s="83">
        <v>32</v>
      </c>
      <c r="C40" s="84" t="s">
        <v>258</v>
      </c>
      <c r="D40" s="85">
        <v>44406</v>
      </c>
      <c r="E40" s="86">
        <v>47631</v>
      </c>
      <c r="F40" s="86">
        <v>60448</v>
      </c>
      <c r="G40" s="86">
        <v>30570</v>
      </c>
      <c r="H40" s="87">
        <v>331</v>
      </c>
      <c r="I40" s="87"/>
      <c r="J40" s="87"/>
      <c r="K40" s="87">
        <v>5</v>
      </c>
      <c r="L40" s="87" t="s">
        <v>96</v>
      </c>
      <c r="M40" s="87" t="s">
        <v>259</v>
      </c>
      <c r="N40" s="87" t="s">
        <v>260</v>
      </c>
      <c r="O40" s="87"/>
      <c r="P40" s="87" t="s">
        <v>261</v>
      </c>
      <c r="Q40" s="87" t="s">
        <v>261</v>
      </c>
      <c r="R40" s="87" t="s">
        <v>261</v>
      </c>
      <c r="S40" s="87" t="s">
        <v>262</v>
      </c>
      <c r="T40" s="87"/>
      <c r="U40" s="88"/>
      <c r="V40" s="87"/>
      <c r="W40" s="87"/>
      <c r="X40" s="87" t="s">
        <v>263</v>
      </c>
      <c r="Y40" s="89"/>
      <c r="Z40" s="90"/>
      <c r="AA40" s="89"/>
      <c r="AB40" s="90"/>
      <c r="AC40" s="89"/>
      <c r="AD40" s="90"/>
      <c r="AE40" s="87"/>
      <c r="AF40" s="87"/>
      <c r="AG40" s="87"/>
      <c r="AH40" s="87"/>
      <c r="AI40" s="88"/>
      <c r="AJ40" s="91">
        <v>1636.92</v>
      </c>
      <c r="AK40" s="92">
        <f>206.6*126.08</f>
        <v>26048.128000000001</v>
      </c>
      <c r="AL40" s="92"/>
      <c r="AM40" s="92">
        <f>+AJ40/AK40</f>
        <v>6.2842135910880045E-2</v>
      </c>
      <c r="AN40" s="92"/>
      <c r="AO40" s="92">
        <v>42627797.350000001</v>
      </c>
      <c r="AP40" s="93">
        <v>619405.18999999994</v>
      </c>
      <c r="AQ40" s="92" t="s">
        <v>71</v>
      </c>
      <c r="AR40" s="93" t="s">
        <v>264</v>
      </c>
      <c r="AS40" s="94">
        <v>44607</v>
      </c>
      <c r="AT40" s="95"/>
      <c r="AU40" s="96" t="s">
        <v>265</v>
      </c>
      <c r="AV40" s="97">
        <f>+AP40/4</f>
        <v>154851.29749999999</v>
      </c>
      <c r="AW40" s="19"/>
      <c r="AX40" s="19"/>
      <c r="AY40" s="19"/>
      <c r="AZ40" s="19"/>
      <c r="BA40" s="19"/>
      <c r="BB40" s="19"/>
      <c r="BC40" s="19"/>
      <c r="BD40" s="19"/>
      <c r="BE40" s="19"/>
      <c r="BF40" s="19"/>
      <c r="BG40" s="20"/>
      <c r="BH40" s="20"/>
      <c r="BI40" s="20"/>
      <c r="BJ40" s="20"/>
      <c r="BK40" s="20"/>
      <c r="BL40" s="20"/>
      <c r="BM40" s="20"/>
      <c r="BN40" s="20"/>
      <c r="BO40" s="20"/>
      <c r="BP40" s="20"/>
      <c r="BQ40" s="20"/>
      <c r="BR40" s="20"/>
      <c r="BS40" s="20"/>
      <c r="BT40" s="20"/>
      <c r="BU40" s="20"/>
      <c r="BV40" s="20"/>
      <c r="IP40" s="20"/>
      <c r="IQ40" s="20"/>
      <c r="IR40" s="20"/>
      <c r="IS40" s="20"/>
      <c r="IT40" s="20"/>
      <c r="IU40" s="20"/>
      <c r="IV40" s="20"/>
    </row>
    <row r="41" spans="1:256" s="21" customFormat="1" ht="63.75">
      <c r="A41" s="22"/>
      <c r="B41" s="23">
        <v>34</v>
      </c>
      <c r="C41" s="24">
        <v>539404</v>
      </c>
      <c r="D41" s="25">
        <v>44587</v>
      </c>
      <c r="E41" s="26">
        <v>17426</v>
      </c>
      <c r="F41" s="26">
        <v>50484</v>
      </c>
      <c r="G41" s="26">
        <v>3117</v>
      </c>
      <c r="H41" s="27"/>
      <c r="I41" s="27"/>
      <c r="J41" s="27">
        <v>734</v>
      </c>
      <c r="K41" s="27">
        <v>7</v>
      </c>
      <c r="L41" s="27" t="s">
        <v>60</v>
      </c>
      <c r="M41" s="27" t="s">
        <v>266</v>
      </c>
      <c r="N41" s="27" t="s">
        <v>267</v>
      </c>
      <c r="O41" s="27"/>
      <c r="P41" s="27" t="s">
        <v>261</v>
      </c>
      <c r="Q41" s="27" t="s">
        <v>261</v>
      </c>
      <c r="R41" s="27" t="s">
        <v>261</v>
      </c>
      <c r="S41" s="27" t="s">
        <v>100</v>
      </c>
      <c r="T41" s="27">
        <v>8</v>
      </c>
      <c r="U41" s="28"/>
      <c r="V41" s="27"/>
      <c r="W41" s="27"/>
      <c r="X41" s="27" t="s">
        <v>77</v>
      </c>
      <c r="Y41" s="29">
        <f>+T41*1</f>
        <v>8</v>
      </c>
      <c r="Z41" s="30"/>
      <c r="AA41" s="31">
        <f>+Y41+8</f>
        <v>16</v>
      </c>
      <c r="AB41" s="30"/>
      <c r="AC41" s="31">
        <f>+Y41*2</f>
        <v>16</v>
      </c>
      <c r="AD41" s="30"/>
      <c r="AE41" s="27"/>
      <c r="AF41" s="27"/>
      <c r="AG41" s="27">
        <f>+(177.78+9.75/2+177.78+9.75/2)-AE41</f>
        <v>365.31</v>
      </c>
      <c r="AH41" s="27"/>
      <c r="AI41" s="28"/>
      <c r="AJ41" s="32"/>
      <c r="AK41" s="33">
        <v>457.8</v>
      </c>
      <c r="AL41" s="33">
        <f>+(177.78+9.75)/AK41</f>
        <v>0.40963302752293579</v>
      </c>
      <c r="AM41" s="33">
        <f>+(AE41+AG41)/AK41</f>
        <v>0.7979685452162516</v>
      </c>
      <c r="AN41" s="33"/>
      <c r="AO41" s="33">
        <f>+(2*21938+4*17546+10*13161+5*8775)/21*AG41</f>
        <v>5036842.0928571429</v>
      </c>
      <c r="AP41" s="34">
        <v>2707.1</v>
      </c>
      <c r="AQ41" s="33" t="s">
        <v>71</v>
      </c>
      <c r="AR41" s="34" t="s">
        <v>268</v>
      </c>
      <c r="AS41" s="35">
        <v>44607</v>
      </c>
      <c r="AT41" s="36"/>
      <c r="AU41" s="37">
        <v>44588</v>
      </c>
      <c r="AV41" s="19"/>
      <c r="AW41" s="19"/>
      <c r="AX41" s="19"/>
      <c r="AY41" s="19"/>
      <c r="AZ41" s="19"/>
      <c r="BA41" s="19"/>
      <c r="BB41" s="19"/>
      <c r="BC41" s="19"/>
      <c r="BD41" s="19"/>
      <c r="BE41" s="19"/>
      <c r="BF41" s="19"/>
      <c r="BG41" s="20"/>
      <c r="BH41" s="20"/>
      <c r="BI41" s="20"/>
      <c r="BJ41" s="20"/>
      <c r="BK41" s="20"/>
      <c r="BL41" s="20"/>
      <c r="BM41" s="20"/>
      <c r="BN41" s="20"/>
      <c r="BO41" s="20"/>
      <c r="BP41" s="20"/>
      <c r="BQ41" s="20"/>
      <c r="BR41" s="20"/>
      <c r="BS41" s="20"/>
      <c r="BT41" s="20"/>
      <c r="BU41" s="20"/>
      <c r="BV41" s="20"/>
      <c r="IP41" s="20"/>
      <c r="IQ41" s="20"/>
      <c r="IR41" s="20"/>
      <c r="IS41" s="20"/>
      <c r="IT41" s="20"/>
      <c r="IU41" s="20"/>
      <c r="IV41" s="20"/>
    </row>
    <row r="42" spans="1:256" s="21" customFormat="1" ht="51">
      <c r="A42" s="22"/>
      <c r="B42" s="23">
        <v>38</v>
      </c>
      <c r="C42" s="24">
        <v>538651</v>
      </c>
      <c r="D42" s="25">
        <v>44557</v>
      </c>
      <c r="E42" s="26">
        <v>52517</v>
      </c>
      <c r="F42" s="26">
        <v>138500</v>
      </c>
      <c r="G42" s="26">
        <v>31733</v>
      </c>
      <c r="H42" s="27">
        <v>3</v>
      </c>
      <c r="I42" s="27"/>
      <c r="J42" s="27">
        <v>4</v>
      </c>
      <c r="K42" s="27">
        <v>5</v>
      </c>
      <c r="L42" s="27" t="s">
        <v>269</v>
      </c>
      <c r="M42" s="27" t="s">
        <v>270</v>
      </c>
      <c r="N42" s="27" t="s">
        <v>271</v>
      </c>
      <c r="O42" s="27"/>
      <c r="P42" s="27" t="s">
        <v>132</v>
      </c>
      <c r="Q42" s="27"/>
      <c r="R42" s="27"/>
      <c r="S42" s="27"/>
      <c r="T42" s="27"/>
      <c r="U42" s="28"/>
      <c r="V42" s="27">
        <v>1</v>
      </c>
      <c r="W42" s="27"/>
      <c r="X42" s="27" t="s">
        <v>65</v>
      </c>
      <c r="Y42" s="29"/>
      <c r="Z42" s="30"/>
      <c r="AA42" s="31"/>
      <c r="AB42" s="30"/>
      <c r="AC42" s="31"/>
      <c r="AD42" s="30"/>
      <c r="AE42" s="27">
        <f>149.5+31.24/2</f>
        <v>165.12</v>
      </c>
      <c r="AF42" s="27"/>
      <c r="AG42" s="27"/>
      <c r="AH42" s="27"/>
      <c r="AI42" s="28"/>
      <c r="AJ42" s="32"/>
      <c r="AK42" s="33">
        <v>800.25</v>
      </c>
      <c r="AL42" s="33">
        <f>0.4-0.22</f>
        <v>0.18000000000000002</v>
      </c>
      <c r="AM42" s="33">
        <f>+AE42/AK42</f>
        <v>0.20633552014995316</v>
      </c>
      <c r="AN42" s="33"/>
      <c r="AO42" s="33">
        <v>410302.29</v>
      </c>
      <c r="AP42" s="34">
        <v>26146.3</v>
      </c>
      <c r="AQ42" s="33" t="s">
        <v>71</v>
      </c>
      <c r="AR42" s="34" t="s">
        <v>272</v>
      </c>
      <c r="AS42" s="35">
        <v>44610</v>
      </c>
      <c r="AT42" s="36"/>
      <c r="AU42" s="37">
        <v>44610</v>
      </c>
      <c r="AV42" s="19"/>
      <c r="AW42" s="19"/>
      <c r="AX42" s="19"/>
      <c r="AY42" s="19"/>
      <c r="AZ42" s="19"/>
      <c r="BA42" s="19"/>
      <c r="BB42" s="19"/>
      <c r="BC42" s="19"/>
      <c r="BD42" s="19"/>
      <c r="BE42" s="19"/>
      <c r="BF42" s="19"/>
      <c r="BG42" s="20"/>
      <c r="BH42" s="20"/>
      <c r="BI42" s="20"/>
      <c r="BJ42" s="20"/>
      <c r="BK42" s="20"/>
      <c r="BL42" s="20"/>
      <c r="BM42" s="20"/>
      <c r="BN42" s="20"/>
      <c r="BO42" s="20"/>
      <c r="BP42" s="20"/>
      <c r="BQ42" s="20"/>
      <c r="BR42" s="20"/>
      <c r="BS42" s="20"/>
      <c r="BT42" s="20"/>
      <c r="BU42" s="20"/>
      <c r="BV42" s="20"/>
      <c r="IP42" s="20"/>
      <c r="IQ42" s="20"/>
      <c r="IR42" s="20"/>
      <c r="IS42" s="20"/>
      <c r="IT42" s="20"/>
      <c r="IU42" s="20"/>
      <c r="IV42" s="20"/>
    </row>
    <row r="43" spans="1:256" s="21" customFormat="1" ht="89.25">
      <c r="A43" s="22"/>
      <c r="B43" s="23">
        <v>40</v>
      </c>
      <c r="C43" s="24" t="s">
        <v>273</v>
      </c>
      <c r="D43" s="25">
        <v>44588</v>
      </c>
      <c r="E43" s="26">
        <v>-51030</v>
      </c>
      <c r="F43" s="26">
        <v>50211</v>
      </c>
      <c r="G43" s="26">
        <v>20160</v>
      </c>
      <c r="H43" s="27">
        <v>64</v>
      </c>
      <c r="I43" s="27"/>
      <c r="J43" s="27">
        <v>0</v>
      </c>
      <c r="K43" s="27">
        <v>1</v>
      </c>
      <c r="L43" s="27" t="s">
        <v>38</v>
      </c>
      <c r="M43" s="27" t="s">
        <v>274</v>
      </c>
      <c r="N43" s="27" t="s">
        <v>275</v>
      </c>
      <c r="O43" s="27"/>
      <c r="P43" s="27" t="s">
        <v>120</v>
      </c>
      <c r="Q43" s="27"/>
      <c r="R43" s="27"/>
      <c r="S43" s="27"/>
      <c r="T43" s="27">
        <v>2</v>
      </c>
      <c r="U43" s="28"/>
      <c r="V43" s="27"/>
      <c r="W43" s="27"/>
      <c r="X43" s="27" t="s">
        <v>77</v>
      </c>
      <c r="Y43" s="29">
        <f>2+1</f>
        <v>3</v>
      </c>
      <c r="Z43" s="30"/>
      <c r="AA43" s="31">
        <f>+Y43+1+1</f>
        <v>5</v>
      </c>
      <c r="AB43" s="30"/>
      <c r="AC43" s="31">
        <f>+Y43*2</f>
        <v>6</v>
      </c>
      <c r="AD43" s="30"/>
      <c r="AE43" s="27"/>
      <c r="AF43" s="27"/>
      <c r="AG43" s="27">
        <f>106.73+8.3/2+26.65+5.88/2</f>
        <v>140.47</v>
      </c>
      <c r="AH43" s="27"/>
      <c r="AI43" s="28"/>
      <c r="AJ43" s="32"/>
      <c r="AK43" s="33">
        <v>5302</v>
      </c>
      <c r="AL43" s="33">
        <f>+(106.73+8.3)/AK43</f>
        <v>2.1695586571105242E-2</v>
      </c>
      <c r="AM43" s="33">
        <f>+AG43/AK43</f>
        <v>2.6493775933609957E-2</v>
      </c>
      <c r="AN43" s="33"/>
      <c r="AO43" s="33">
        <f>+(5*21968+6*17546+13161*8)/19*AG43</f>
        <v>2368797.3621052629</v>
      </c>
      <c r="AP43" s="34">
        <v>26467.759999999998</v>
      </c>
      <c r="AQ43" s="33" t="s">
        <v>71</v>
      </c>
      <c r="AR43" s="34" t="s">
        <v>276</v>
      </c>
      <c r="AS43" s="35">
        <v>44614</v>
      </c>
      <c r="AT43" s="36"/>
      <c r="AU43" s="37">
        <v>44610</v>
      </c>
      <c r="AV43" s="19"/>
      <c r="AW43" s="19"/>
      <c r="AX43" s="19"/>
      <c r="AY43" s="19"/>
      <c r="AZ43" s="19"/>
      <c r="BA43" s="19"/>
      <c r="BB43" s="19"/>
      <c r="BC43" s="19"/>
      <c r="BD43" s="19"/>
      <c r="BE43" s="19"/>
      <c r="BF43" s="19"/>
      <c r="BG43" s="20"/>
      <c r="BH43" s="20"/>
      <c r="BI43" s="20"/>
      <c r="BJ43" s="20"/>
      <c r="BK43" s="20"/>
      <c r="BL43" s="20"/>
      <c r="BM43" s="20"/>
      <c r="BN43" s="20"/>
      <c r="BO43" s="20"/>
      <c r="BP43" s="20"/>
      <c r="BQ43" s="20"/>
      <c r="BR43" s="20"/>
      <c r="BS43" s="20"/>
      <c r="BT43" s="20"/>
      <c r="BU43" s="20"/>
      <c r="BV43" s="20"/>
      <c r="IP43" s="20"/>
      <c r="IQ43" s="20"/>
      <c r="IR43" s="20"/>
      <c r="IS43" s="20"/>
      <c r="IT43" s="20"/>
      <c r="IU43" s="20"/>
      <c r="IV43" s="20"/>
    </row>
    <row r="44" spans="1:256" s="21" customFormat="1" ht="51">
      <c r="A44" s="22"/>
      <c r="B44" s="23">
        <v>41</v>
      </c>
      <c r="C44" s="24" t="s">
        <v>277</v>
      </c>
      <c r="D44" s="25">
        <v>44452</v>
      </c>
      <c r="E44" s="26">
        <v>60129</v>
      </c>
      <c r="F44" s="26">
        <v>168277</v>
      </c>
      <c r="G44" s="26">
        <v>33883</v>
      </c>
      <c r="H44" s="27">
        <v>367</v>
      </c>
      <c r="I44" s="27"/>
      <c r="J44" s="27">
        <v>1</v>
      </c>
      <c r="K44" s="27">
        <v>13</v>
      </c>
      <c r="L44" s="27" t="s">
        <v>278</v>
      </c>
      <c r="M44" s="27" t="s">
        <v>279</v>
      </c>
      <c r="N44" s="27" t="s">
        <v>280</v>
      </c>
      <c r="O44" s="27"/>
      <c r="P44" s="27" t="s">
        <v>120</v>
      </c>
      <c r="Q44" s="27" t="s">
        <v>120</v>
      </c>
      <c r="R44" s="27" t="s">
        <v>120</v>
      </c>
      <c r="S44" s="27" t="s">
        <v>161</v>
      </c>
      <c r="T44" s="27"/>
      <c r="U44" s="28">
        <v>4</v>
      </c>
      <c r="V44" s="27"/>
      <c r="W44" s="27"/>
      <c r="X44" s="27" t="s">
        <v>77</v>
      </c>
      <c r="Y44" s="29"/>
      <c r="Z44" s="30">
        <f>1*U44</f>
        <v>4</v>
      </c>
      <c r="AA44" s="31"/>
      <c r="AB44" s="30">
        <f>+Z44+4</f>
        <v>8</v>
      </c>
      <c r="AC44" s="31"/>
      <c r="AD44" s="30">
        <f>+Z44*2</f>
        <v>8</v>
      </c>
      <c r="AE44" s="27"/>
      <c r="AF44" s="27"/>
      <c r="AG44" s="27"/>
      <c r="AH44" s="27"/>
      <c r="AI44" s="28">
        <f>9.74+172.66/2+149.18+36.48/2</f>
        <v>263.49</v>
      </c>
      <c r="AJ44" s="32"/>
      <c r="AK44" s="33">
        <v>805.6</v>
      </c>
      <c r="AL44" s="33">
        <f>+(149.18+36.48)/AK44</f>
        <v>0.23046176762661369</v>
      </c>
      <c r="AM44" s="33">
        <f>+AI44/AK44</f>
        <v>0.32707298907646476</v>
      </c>
      <c r="AN44" s="33"/>
      <c r="AO44" s="33">
        <f>+(6*21938+17546*6+8*13161+8775*2)/22*AI44</f>
        <v>4308564.5263636364</v>
      </c>
      <c r="AP44" s="34">
        <v>15771.71</v>
      </c>
      <c r="AQ44" s="33" t="s">
        <v>71</v>
      </c>
      <c r="AR44" s="34" t="s">
        <v>281</v>
      </c>
      <c r="AS44" s="35">
        <v>44616</v>
      </c>
      <c r="AT44" s="36"/>
      <c r="AU44" s="43" t="s">
        <v>282</v>
      </c>
      <c r="AV44" s="19"/>
      <c r="AW44" s="19"/>
      <c r="AX44" s="19"/>
      <c r="AY44" s="19"/>
      <c r="AZ44" s="19"/>
      <c r="BA44" s="19"/>
      <c r="BB44" s="19"/>
      <c r="BC44" s="19"/>
      <c r="BD44" s="19"/>
      <c r="BE44" s="19"/>
      <c r="BF44" s="19"/>
      <c r="BG44" s="20"/>
      <c r="BH44" s="20"/>
      <c r="BI44" s="20"/>
      <c r="BJ44" s="20"/>
      <c r="BK44" s="20"/>
      <c r="BL44" s="20"/>
      <c r="BM44" s="20"/>
      <c r="BN44" s="20"/>
      <c r="BO44" s="20"/>
      <c r="BP44" s="20"/>
      <c r="BQ44" s="20"/>
      <c r="BR44" s="20"/>
      <c r="BS44" s="20"/>
      <c r="BT44" s="20"/>
      <c r="BU44" s="20"/>
      <c r="BV44" s="20"/>
      <c r="IP44" s="20"/>
      <c r="IQ44" s="20"/>
      <c r="IR44" s="20"/>
      <c r="IS44" s="20"/>
      <c r="IT44" s="20"/>
      <c r="IU44" s="20"/>
      <c r="IV44" s="20"/>
    </row>
    <row r="45" spans="1:256" s="21" customFormat="1" ht="25.5">
      <c r="A45" s="22"/>
      <c r="B45" s="23">
        <v>45</v>
      </c>
      <c r="C45" s="24">
        <v>539693</v>
      </c>
      <c r="D45" s="25">
        <v>44596</v>
      </c>
      <c r="E45" s="26">
        <v>14000</v>
      </c>
      <c r="F45" s="26">
        <v>105131</v>
      </c>
      <c r="G45" s="26">
        <v>3221</v>
      </c>
      <c r="H45" s="27"/>
      <c r="I45" s="27"/>
      <c r="J45" s="27">
        <v>59</v>
      </c>
      <c r="K45" s="27">
        <v>17</v>
      </c>
      <c r="L45" s="27" t="s">
        <v>88</v>
      </c>
      <c r="M45" s="27" t="s">
        <v>283</v>
      </c>
      <c r="N45" s="27" t="s">
        <v>284</v>
      </c>
      <c r="O45" s="27"/>
      <c r="P45" s="27" t="s">
        <v>285</v>
      </c>
      <c r="Q45" s="27" t="s">
        <v>285</v>
      </c>
      <c r="R45" s="27" t="s">
        <v>285</v>
      </c>
      <c r="S45" s="27" t="s">
        <v>100</v>
      </c>
      <c r="T45" s="27"/>
      <c r="U45" s="28">
        <v>1</v>
      </c>
      <c r="V45" s="27"/>
      <c r="W45" s="27"/>
      <c r="X45" s="27" t="s">
        <v>65</v>
      </c>
      <c r="Y45" s="29"/>
      <c r="Z45" s="30">
        <v>1</v>
      </c>
      <c r="AA45" s="31"/>
      <c r="AB45" s="30">
        <f>+Z45+1</f>
        <v>2</v>
      </c>
      <c r="AC45" s="31"/>
      <c r="AD45" s="30">
        <f>+Z45*2</f>
        <v>2</v>
      </c>
      <c r="AE45" s="27"/>
      <c r="AF45" s="27"/>
      <c r="AG45" s="27"/>
      <c r="AH45" s="27"/>
      <c r="AI45" s="28">
        <f>65.4+1.6/2</f>
        <v>66.2</v>
      </c>
      <c r="AJ45" s="32"/>
      <c r="AK45" s="33">
        <v>259.2</v>
      </c>
      <c r="AL45" s="98">
        <f>(65.4+1.6)/AK45</f>
        <v>0.25848765432098769</v>
      </c>
      <c r="AM45" s="33">
        <f>+AI45/AK45</f>
        <v>0.25540123456790126</v>
      </c>
      <c r="AN45" s="33"/>
      <c r="AO45" s="33">
        <f>71500+((7*24483+19581*3+10*14688+9793*1)/21*AI45)</f>
        <v>1290831.4952380953</v>
      </c>
      <c r="AP45" s="34">
        <v>7794.85</v>
      </c>
      <c r="AQ45" s="33" t="s">
        <v>71</v>
      </c>
      <c r="AR45" s="34" t="s">
        <v>286</v>
      </c>
      <c r="AS45" s="35">
        <v>44630</v>
      </c>
      <c r="AT45" s="36"/>
      <c r="AU45" s="37" t="s">
        <v>287</v>
      </c>
      <c r="AV45" s="19"/>
      <c r="AW45" s="19"/>
      <c r="AX45" s="19"/>
      <c r="AY45" s="19"/>
      <c r="AZ45" s="19"/>
      <c r="BA45" s="19"/>
      <c r="BB45" s="19"/>
      <c r="BC45" s="19"/>
      <c r="BD45" s="19"/>
      <c r="BE45" s="19"/>
      <c r="BF45" s="19"/>
      <c r="BG45" s="20"/>
      <c r="BH45" s="20"/>
      <c r="BI45" s="20"/>
      <c r="BJ45" s="20"/>
      <c r="BK45" s="20"/>
      <c r="BL45" s="20"/>
      <c r="BM45" s="20"/>
      <c r="BN45" s="20"/>
      <c r="BO45" s="20"/>
      <c r="BP45" s="20"/>
      <c r="BQ45" s="20"/>
      <c r="BR45" s="20"/>
      <c r="BS45" s="20"/>
      <c r="BT45" s="20"/>
      <c r="BU45" s="20"/>
      <c r="BV45" s="20"/>
      <c r="IP45" s="20"/>
      <c r="IQ45" s="20"/>
      <c r="IR45" s="20"/>
      <c r="IS45" s="20"/>
      <c r="IT45" s="20"/>
      <c r="IU45" s="20"/>
      <c r="IV45" s="20"/>
    </row>
    <row r="46" spans="1:256" s="21" customFormat="1" ht="76.5">
      <c r="A46" s="22"/>
      <c r="B46" s="23">
        <v>43</v>
      </c>
      <c r="C46" s="24">
        <v>539710</v>
      </c>
      <c r="D46" s="25">
        <v>44596</v>
      </c>
      <c r="E46" s="26">
        <v>-40684</v>
      </c>
      <c r="F46" s="26">
        <v>139147</v>
      </c>
      <c r="G46" s="26">
        <v>31711</v>
      </c>
      <c r="H46" s="27">
        <v>3</v>
      </c>
      <c r="I46" s="27"/>
      <c r="J46" s="27">
        <v>2</v>
      </c>
      <c r="K46" s="27">
        <v>2</v>
      </c>
      <c r="L46" s="27" t="s">
        <v>288</v>
      </c>
      <c r="M46" s="27" t="s">
        <v>270</v>
      </c>
      <c r="N46" s="27" t="s">
        <v>289</v>
      </c>
      <c r="O46" s="27"/>
      <c r="P46" s="27" t="s">
        <v>290</v>
      </c>
      <c r="Q46" s="27" t="s">
        <v>222</v>
      </c>
      <c r="R46" s="27" t="s">
        <v>290</v>
      </c>
      <c r="S46" s="27" t="s">
        <v>150</v>
      </c>
      <c r="T46" s="27"/>
      <c r="U46" s="28">
        <v>1</v>
      </c>
      <c r="V46" s="27"/>
      <c r="W46" s="27"/>
      <c r="X46" s="27" t="s">
        <v>65</v>
      </c>
      <c r="Y46" s="29"/>
      <c r="Z46" s="30">
        <v>3</v>
      </c>
      <c r="AA46" s="31"/>
      <c r="AB46" s="30">
        <f>+Z46+2</f>
        <v>5</v>
      </c>
      <c r="AC46" s="31"/>
      <c r="AD46" s="30">
        <f>+Z46*2</f>
        <v>6</v>
      </c>
      <c r="AE46" s="27"/>
      <c r="AF46" s="27"/>
      <c r="AG46" s="27"/>
      <c r="AH46" s="27"/>
      <c r="AI46" s="28">
        <f>147.5675+27.8479/2+1.4/2+29.47/2</f>
        <v>176.92644999999999</v>
      </c>
      <c r="AJ46" s="32"/>
      <c r="AK46" s="33">
        <v>825.27</v>
      </c>
      <c r="AL46" s="98">
        <f>(147.5675+27.8479+1.4+29.47)/AK46</f>
        <v>0.24996110363880913</v>
      </c>
      <c r="AM46" s="33">
        <f>+AI46/AK46</f>
        <v>0.21438614029347969</v>
      </c>
      <c r="AN46" s="33"/>
      <c r="AO46" s="33">
        <f>+(14*24483+19581*6+14688*2)/22*AI46</f>
        <v>3937610.7343090908</v>
      </c>
      <c r="AP46" s="34">
        <v>11221.98</v>
      </c>
      <c r="AQ46" s="33" t="s">
        <v>71</v>
      </c>
      <c r="AR46" s="34" t="s">
        <v>291</v>
      </c>
      <c r="AS46" s="35">
        <v>44630</v>
      </c>
      <c r="AT46" s="36"/>
      <c r="AU46" s="37" t="s">
        <v>292</v>
      </c>
      <c r="AV46" s="19"/>
      <c r="AW46" s="19"/>
      <c r="AX46" s="19"/>
      <c r="AY46" s="19"/>
      <c r="AZ46" s="19"/>
      <c r="BA46" s="19"/>
      <c r="BB46" s="19"/>
      <c r="BC46" s="19"/>
      <c r="BD46" s="19"/>
      <c r="BE46" s="19"/>
      <c r="BF46" s="19"/>
      <c r="BG46" s="20"/>
      <c r="BH46" s="20"/>
      <c r="BI46" s="20"/>
      <c r="BJ46" s="20"/>
      <c r="BK46" s="20"/>
      <c r="BL46" s="20"/>
      <c r="BM46" s="20"/>
      <c r="BN46" s="20"/>
      <c r="BO46" s="20"/>
      <c r="BP46" s="20"/>
      <c r="BQ46" s="20"/>
      <c r="BR46" s="20"/>
      <c r="BS46" s="20"/>
      <c r="BT46" s="20"/>
      <c r="BU46" s="20"/>
      <c r="BV46" s="20"/>
      <c r="IP46" s="20"/>
      <c r="IQ46" s="20"/>
      <c r="IR46" s="20"/>
      <c r="IS46" s="20"/>
      <c r="IT46" s="20"/>
      <c r="IU46" s="20"/>
      <c r="IV46" s="20"/>
    </row>
    <row r="47" spans="1:256" s="21" customFormat="1" ht="51">
      <c r="A47" s="22"/>
      <c r="B47" s="23">
        <v>44</v>
      </c>
      <c r="C47" s="24">
        <v>539634</v>
      </c>
      <c r="D47" s="25">
        <v>44594</v>
      </c>
      <c r="E47" s="26">
        <v>59315</v>
      </c>
      <c r="F47" s="26">
        <v>158717</v>
      </c>
      <c r="G47" s="26">
        <v>32425</v>
      </c>
      <c r="H47" s="27">
        <v>111</v>
      </c>
      <c r="I47" s="27"/>
      <c r="J47" s="27">
        <v>2</v>
      </c>
      <c r="K47" s="27">
        <v>1</v>
      </c>
      <c r="L47" s="27" t="s">
        <v>293</v>
      </c>
      <c r="M47" s="27" t="s">
        <v>294</v>
      </c>
      <c r="N47" s="27" t="s">
        <v>295</v>
      </c>
      <c r="O47" s="27"/>
      <c r="P47" s="27" t="s">
        <v>296</v>
      </c>
      <c r="Q47" s="27" t="s">
        <v>296</v>
      </c>
      <c r="R47" s="27" t="s">
        <v>296</v>
      </c>
      <c r="S47" s="27" t="s">
        <v>161</v>
      </c>
      <c r="T47" s="27"/>
      <c r="U47" s="28">
        <v>1</v>
      </c>
      <c r="V47" s="27"/>
      <c r="W47" s="27"/>
      <c r="X47" s="27" t="s">
        <v>65</v>
      </c>
      <c r="Y47" s="29"/>
      <c r="Z47" s="30">
        <v>2</v>
      </c>
      <c r="AA47" s="31"/>
      <c r="AB47" s="30">
        <f>+Z47+1</f>
        <v>3</v>
      </c>
      <c r="AC47" s="31"/>
      <c r="AD47" s="30">
        <f>+Z47*2</f>
        <v>4</v>
      </c>
      <c r="AE47" s="27"/>
      <c r="AF47" s="27"/>
      <c r="AG47" s="27"/>
      <c r="AH47" s="27"/>
      <c r="AI47" s="28">
        <v>59.34</v>
      </c>
      <c r="AJ47" s="32"/>
      <c r="AK47" s="33">
        <v>2160</v>
      </c>
      <c r="AL47" s="33">
        <f>+AI47/AK47</f>
        <v>2.7472222222222224E-2</v>
      </c>
      <c r="AM47" s="33">
        <f>+AI47/AK47</f>
        <v>2.7472222222222224E-2</v>
      </c>
      <c r="AN47" s="33">
        <f>+(21+8)/(7+2)</f>
        <v>3.2222222222222223</v>
      </c>
      <c r="AO47" s="33">
        <f>+(5*19581+14688*9+9793*6)/20*AI47</f>
        <v>857032.78500000003</v>
      </c>
      <c r="AP47" s="34">
        <v>4037.22</v>
      </c>
      <c r="AQ47" s="33" t="s">
        <v>71</v>
      </c>
      <c r="AR47" s="34" t="s">
        <v>297</v>
      </c>
      <c r="AS47" s="35">
        <v>44630</v>
      </c>
      <c r="AT47" s="36"/>
      <c r="AU47" s="37" t="s">
        <v>298</v>
      </c>
      <c r="AV47" s="19"/>
      <c r="AW47" s="19"/>
      <c r="AX47" s="19"/>
      <c r="AY47" s="19"/>
      <c r="AZ47" s="19"/>
      <c r="BA47" s="19"/>
      <c r="BB47" s="19"/>
      <c r="BC47" s="19"/>
      <c r="BD47" s="19"/>
      <c r="BE47" s="19"/>
      <c r="BF47" s="19"/>
      <c r="BG47" s="20"/>
      <c r="BH47" s="20"/>
      <c r="BI47" s="20"/>
      <c r="BJ47" s="20"/>
      <c r="BK47" s="20"/>
      <c r="BL47" s="20"/>
      <c r="BM47" s="20"/>
      <c r="BN47" s="20"/>
      <c r="BO47" s="20"/>
      <c r="BP47" s="20"/>
      <c r="BQ47" s="20"/>
      <c r="BR47" s="20"/>
      <c r="BS47" s="20"/>
      <c r="BT47" s="20"/>
      <c r="BU47" s="20"/>
      <c r="BV47" s="20"/>
      <c r="IP47" s="20"/>
      <c r="IQ47" s="20"/>
      <c r="IR47" s="20"/>
      <c r="IS47" s="20"/>
      <c r="IT47" s="20"/>
      <c r="IU47" s="20"/>
      <c r="IV47" s="20"/>
    </row>
    <row r="48" spans="1:256" s="21" customFormat="1" ht="38.25">
      <c r="A48" s="22"/>
      <c r="B48" s="23">
        <v>56</v>
      </c>
      <c r="C48" s="24" t="s">
        <v>299</v>
      </c>
      <c r="D48" s="25">
        <v>44455</v>
      </c>
      <c r="E48" s="26">
        <v>53336</v>
      </c>
      <c r="F48" s="26"/>
      <c r="G48" s="26">
        <v>9866</v>
      </c>
      <c r="H48" s="27">
        <v>156</v>
      </c>
      <c r="I48" s="27"/>
      <c r="J48" s="27">
        <v>802</v>
      </c>
      <c r="K48" s="27">
        <v>3</v>
      </c>
      <c r="L48" s="27" t="s">
        <v>300</v>
      </c>
      <c r="M48" s="27" t="s">
        <v>301</v>
      </c>
      <c r="N48" s="27" t="s">
        <v>302</v>
      </c>
      <c r="O48" s="27"/>
      <c r="P48" s="27" t="s">
        <v>132</v>
      </c>
      <c r="Q48" s="27"/>
      <c r="R48" s="27"/>
      <c r="S48" s="27"/>
      <c r="T48" s="27"/>
      <c r="U48" s="28"/>
      <c r="V48" s="27">
        <v>1</v>
      </c>
      <c r="W48" s="27"/>
      <c r="X48" s="27" t="s">
        <v>303</v>
      </c>
      <c r="Y48" s="29"/>
      <c r="Z48" s="30"/>
      <c r="AA48" s="31"/>
      <c r="AB48" s="30"/>
      <c r="AC48" s="31"/>
      <c r="AD48" s="30"/>
      <c r="AE48" s="27">
        <f>3.86+40.01+4.86/2+243.99*3+(27.96*3)/2+200.23+71.54/2</f>
        <v>1056.21</v>
      </c>
      <c r="AF48" s="27"/>
      <c r="AG48" s="27">
        <v>64.2</v>
      </c>
      <c r="AH48" s="27"/>
      <c r="AI48" s="28"/>
      <c r="AJ48" s="32"/>
      <c r="AK48" s="33">
        <v>775</v>
      </c>
      <c r="AL48" s="33">
        <f>+(AG48+243.99+27.95)/AK48</f>
        <v>0.43372903225806447</v>
      </c>
      <c r="AM48" s="33">
        <f>+(AE48+AG48)/AK48</f>
        <v>1.4456903225806452</v>
      </c>
      <c r="AN48" s="33"/>
      <c r="AO48" s="33">
        <f>56832.77+5696920.3</f>
        <v>5753753.0699999994</v>
      </c>
      <c r="AP48" s="34">
        <v>73899.839999999997</v>
      </c>
      <c r="AQ48" s="33" t="s">
        <v>71</v>
      </c>
      <c r="AR48" s="34" t="s">
        <v>304</v>
      </c>
      <c r="AS48" s="35">
        <v>44642</v>
      </c>
      <c r="AT48" s="36"/>
      <c r="AU48" s="43" t="s">
        <v>305</v>
      </c>
      <c r="AV48" s="99">
        <v>118901.95</v>
      </c>
      <c r="AW48" s="19"/>
      <c r="AX48" s="19"/>
      <c r="AY48" s="19"/>
      <c r="AZ48" s="19"/>
      <c r="BA48" s="19"/>
      <c r="BB48" s="19"/>
      <c r="BC48" s="19"/>
      <c r="BD48" s="19"/>
      <c r="BE48" s="19"/>
      <c r="BF48" s="19"/>
      <c r="BG48" s="20"/>
      <c r="BH48" s="20"/>
      <c r="BI48" s="20"/>
      <c r="BJ48" s="20"/>
      <c r="BK48" s="20"/>
      <c r="BL48" s="20"/>
      <c r="BM48" s="20"/>
      <c r="BN48" s="20"/>
      <c r="BO48" s="20"/>
      <c r="BP48" s="20"/>
      <c r="BQ48" s="20"/>
      <c r="BR48" s="20"/>
      <c r="BS48" s="20"/>
      <c r="BT48" s="20"/>
      <c r="BU48" s="20"/>
      <c r="BV48" s="20"/>
      <c r="IP48" s="20"/>
      <c r="IQ48" s="20"/>
      <c r="IR48" s="20"/>
      <c r="IS48" s="20"/>
      <c r="IT48" s="20"/>
      <c r="IU48" s="20"/>
      <c r="IV48" s="20"/>
    </row>
    <row r="49" spans="1:256" s="21" customFormat="1" ht="51">
      <c r="A49" s="22"/>
      <c r="B49" s="23">
        <v>46</v>
      </c>
      <c r="C49" s="24" t="s">
        <v>306</v>
      </c>
      <c r="D49" s="25">
        <v>44550</v>
      </c>
      <c r="E49" s="26">
        <v>55272</v>
      </c>
      <c r="F49" s="26">
        <v>164322</v>
      </c>
      <c r="G49" s="26">
        <v>10036</v>
      </c>
      <c r="H49" s="27"/>
      <c r="I49" s="27"/>
      <c r="J49" s="27">
        <v>294</v>
      </c>
      <c r="K49" s="27">
        <v>19</v>
      </c>
      <c r="L49" s="27" t="s">
        <v>38</v>
      </c>
      <c r="M49" s="27" t="s">
        <v>307</v>
      </c>
      <c r="N49" s="27" t="s">
        <v>308</v>
      </c>
      <c r="O49" s="27"/>
      <c r="P49" s="27" t="s">
        <v>309</v>
      </c>
      <c r="Q49" s="27"/>
      <c r="R49" s="27"/>
      <c r="S49" s="27"/>
      <c r="T49" s="27">
        <v>1</v>
      </c>
      <c r="U49" s="28"/>
      <c r="V49" s="27"/>
      <c r="W49" s="27"/>
      <c r="X49" s="27" t="s">
        <v>65</v>
      </c>
      <c r="Y49" s="29">
        <v>2</v>
      </c>
      <c r="Z49" s="30"/>
      <c r="AA49" s="31">
        <f>+Y49+1</f>
        <v>3</v>
      </c>
      <c r="AB49" s="30"/>
      <c r="AC49" s="31">
        <f>+Y49*2</f>
        <v>4</v>
      </c>
      <c r="AD49" s="30"/>
      <c r="AE49" s="27"/>
      <c r="AF49" s="27"/>
      <c r="AG49" s="27">
        <f>85+5.04/2</f>
        <v>87.52</v>
      </c>
      <c r="AH49" s="27"/>
      <c r="AI49" s="28"/>
      <c r="AJ49" s="32"/>
      <c r="AK49" s="33">
        <v>162</v>
      </c>
      <c r="AL49" s="33">
        <f>+(85+5.04/2)/AK49</f>
        <v>0.5402469135802469</v>
      </c>
      <c r="AM49" s="33">
        <f>+AG49/AK49</f>
        <v>0.5402469135802469</v>
      </c>
      <c r="AN49" s="33"/>
      <c r="AO49" s="33">
        <f>+(5*24483+19581*6+6*14688+9793*3)/20*AG49</f>
        <v>1564017.4080000001</v>
      </c>
      <c r="AP49" s="34">
        <v>24411.95</v>
      </c>
      <c r="AQ49" s="33" t="s">
        <v>71</v>
      </c>
      <c r="AR49" s="34" t="s">
        <v>310</v>
      </c>
      <c r="AS49" s="35">
        <v>44636</v>
      </c>
      <c r="AT49" s="36"/>
      <c r="AU49" s="43"/>
      <c r="AV49" s="19"/>
      <c r="AW49" s="19"/>
      <c r="AX49" s="19"/>
      <c r="AY49" s="19"/>
      <c r="AZ49" s="19"/>
      <c r="BA49" s="19"/>
      <c r="BB49" s="19"/>
      <c r="BC49" s="19"/>
      <c r="BD49" s="19"/>
      <c r="BE49" s="19"/>
      <c r="BF49" s="19"/>
      <c r="BG49" s="20"/>
      <c r="BH49" s="20"/>
      <c r="BI49" s="20"/>
      <c r="BJ49" s="20"/>
      <c r="BK49" s="20"/>
      <c r="BL49" s="20"/>
      <c r="BM49" s="20"/>
      <c r="BN49" s="20"/>
      <c r="BO49" s="20"/>
      <c r="BP49" s="20"/>
      <c r="BQ49" s="20"/>
      <c r="BR49" s="20"/>
      <c r="BS49" s="20"/>
      <c r="BT49" s="20"/>
      <c r="BU49" s="20"/>
      <c r="BV49" s="20"/>
      <c r="IP49" s="20"/>
      <c r="IQ49" s="20"/>
      <c r="IR49" s="20"/>
      <c r="IS49" s="20"/>
      <c r="IT49" s="20"/>
      <c r="IU49" s="20"/>
      <c r="IV49" s="20"/>
    </row>
    <row r="50" spans="1:256" s="21" customFormat="1" ht="38.25">
      <c r="A50" s="22"/>
      <c r="B50" s="38">
        <v>42</v>
      </c>
      <c r="C50" s="39">
        <v>537314</v>
      </c>
      <c r="D50" s="25">
        <v>44516</v>
      </c>
      <c r="E50" s="26">
        <v>57943</v>
      </c>
      <c r="F50" s="26">
        <v>166398</v>
      </c>
      <c r="G50" s="26">
        <v>21395</v>
      </c>
      <c r="H50" s="27">
        <v>81</v>
      </c>
      <c r="I50" s="27"/>
      <c r="J50" s="27">
        <v>523</v>
      </c>
      <c r="K50" s="27">
        <v>9</v>
      </c>
      <c r="L50" s="27" t="s">
        <v>46</v>
      </c>
      <c r="M50" s="27" t="s">
        <v>311</v>
      </c>
      <c r="N50" s="27" t="s">
        <v>312</v>
      </c>
      <c r="O50" s="27"/>
      <c r="P50" s="27" t="s">
        <v>166</v>
      </c>
      <c r="Q50" s="27" t="s">
        <v>166</v>
      </c>
      <c r="R50" s="27" t="s">
        <v>166</v>
      </c>
      <c r="S50" s="27" t="s">
        <v>251</v>
      </c>
      <c r="T50" s="27"/>
      <c r="U50" s="28">
        <v>1</v>
      </c>
      <c r="V50" s="27"/>
      <c r="W50" s="27"/>
      <c r="X50" s="27" t="s">
        <v>65</v>
      </c>
      <c r="Y50" s="29"/>
      <c r="Z50" s="30">
        <v>2</v>
      </c>
      <c r="AA50" s="31"/>
      <c r="AB50" s="30">
        <f>+Z50+1</f>
        <v>3</v>
      </c>
      <c r="AC50" s="31"/>
      <c r="AD50" s="30">
        <f>+Z50*2</f>
        <v>4</v>
      </c>
      <c r="AE50" s="27"/>
      <c r="AF50" s="27"/>
      <c r="AG50" s="27"/>
      <c r="AH50" s="27"/>
      <c r="AI50" s="28">
        <f>60+29.86/2</f>
        <v>74.930000000000007</v>
      </c>
      <c r="AJ50" s="32"/>
      <c r="AK50" s="33">
        <v>300</v>
      </c>
      <c r="AL50" s="33">
        <f>+(60+11.7+17.44)/AK50</f>
        <v>0.29713333333333336</v>
      </c>
      <c r="AM50" s="33">
        <f>+AI50/AK50</f>
        <v>0.24976666666666669</v>
      </c>
      <c r="AN50" s="33">
        <f>+(21+4)/(7+1)</f>
        <v>3.125</v>
      </c>
      <c r="AO50" s="33">
        <f>+(6*24483+19581*5+14688*8+3*9793)/22*AI50</f>
        <v>1334046.9081818184</v>
      </c>
      <c r="AP50" s="34">
        <v>4488.51</v>
      </c>
      <c r="AQ50" s="33" t="s">
        <v>71</v>
      </c>
      <c r="AR50" s="34" t="s">
        <v>313</v>
      </c>
      <c r="AS50" s="35">
        <v>44629</v>
      </c>
      <c r="AT50" s="36"/>
      <c r="AU50" s="43" t="s">
        <v>314</v>
      </c>
      <c r="AV50" s="19"/>
      <c r="AW50" s="19"/>
      <c r="AX50" s="19"/>
      <c r="AY50" s="19"/>
      <c r="AZ50" s="19"/>
      <c r="BA50" s="19"/>
      <c r="BB50" s="19"/>
      <c r="BC50" s="19"/>
      <c r="BD50" s="19"/>
      <c r="BE50" s="19"/>
      <c r="BF50" s="19"/>
      <c r="BG50" s="20"/>
      <c r="BH50" s="20"/>
      <c r="BI50" s="20"/>
      <c r="BJ50" s="20"/>
      <c r="BK50" s="20"/>
      <c r="BL50" s="20"/>
      <c r="BM50" s="20"/>
      <c r="BN50" s="20"/>
      <c r="BO50" s="20"/>
      <c r="BP50" s="20"/>
      <c r="BQ50" s="20"/>
      <c r="BR50" s="20"/>
      <c r="BS50" s="20"/>
      <c r="BT50" s="20"/>
      <c r="BU50" s="20"/>
      <c r="BV50" s="20"/>
      <c r="IP50" s="20"/>
      <c r="IQ50" s="20"/>
      <c r="IR50" s="20"/>
      <c r="IS50" s="20"/>
      <c r="IT50" s="20"/>
      <c r="IU50" s="20"/>
      <c r="IV50" s="20"/>
    </row>
    <row r="51" spans="1:256" s="21" customFormat="1" ht="89.25">
      <c r="A51" s="22"/>
      <c r="B51" s="23">
        <v>48</v>
      </c>
      <c r="C51" s="24">
        <v>538554</v>
      </c>
      <c r="D51" s="25">
        <v>44551</v>
      </c>
      <c r="E51" s="26">
        <v>46679</v>
      </c>
      <c r="F51" s="26">
        <v>149696</v>
      </c>
      <c r="G51" s="26">
        <v>32312</v>
      </c>
      <c r="H51" s="27">
        <v>310</v>
      </c>
      <c r="I51" s="27"/>
      <c r="J51" s="27">
        <v>1</v>
      </c>
      <c r="K51" s="27">
        <v>8</v>
      </c>
      <c r="L51" s="27" t="s">
        <v>129</v>
      </c>
      <c r="M51" s="27" t="s">
        <v>315</v>
      </c>
      <c r="N51" s="27" t="s">
        <v>316</v>
      </c>
      <c r="O51" s="27"/>
      <c r="P51" s="27" t="s">
        <v>317</v>
      </c>
      <c r="Q51" s="27" t="s">
        <v>317</v>
      </c>
      <c r="R51" s="27" t="s">
        <v>317</v>
      </c>
      <c r="S51" s="27" t="s">
        <v>318</v>
      </c>
      <c r="T51" s="27"/>
      <c r="U51" s="28">
        <v>1</v>
      </c>
      <c r="V51" s="27"/>
      <c r="W51" s="27"/>
      <c r="X51" s="27" t="s">
        <v>65</v>
      </c>
      <c r="Y51" s="29"/>
      <c r="Z51" s="30">
        <v>2</v>
      </c>
      <c r="AA51" s="31"/>
      <c r="AB51" s="30">
        <f>+Z51+1</f>
        <v>3</v>
      </c>
      <c r="AC51" s="31"/>
      <c r="AD51" s="30">
        <f>+Z51*2</f>
        <v>4</v>
      </c>
      <c r="AE51" s="27"/>
      <c r="AF51" s="27"/>
      <c r="AG51" s="27"/>
      <c r="AH51" s="27"/>
      <c r="AI51" s="28">
        <v>60</v>
      </c>
      <c r="AJ51" s="32"/>
      <c r="AK51" s="33">
        <v>446.23</v>
      </c>
      <c r="AL51" s="33">
        <f>+AI51/AK51</f>
        <v>0.13445980772247496</v>
      </c>
      <c r="AM51" s="33">
        <f>+AI51/AK51</f>
        <v>0.13445980772247496</v>
      </c>
      <c r="AN51" s="33"/>
      <c r="AO51" s="33">
        <f>+(2*24483+19581*8+14688*3+3*9793)/19*AI51</f>
        <v>881232.63157894742</v>
      </c>
      <c r="AP51" s="56">
        <v>16184</v>
      </c>
      <c r="AQ51" s="33" t="s">
        <v>71</v>
      </c>
      <c r="AR51" s="34" t="s">
        <v>319</v>
      </c>
      <c r="AS51" s="35">
        <v>44638</v>
      </c>
      <c r="AT51" s="36"/>
      <c r="AU51" s="43" t="s">
        <v>320</v>
      </c>
      <c r="AV51" s="19"/>
      <c r="AW51" s="19"/>
      <c r="AX51" s="19"/>
      <c r="AY51" s="19"/>
      <c r="AZ51" s="19"/>
      <c r="BA51" s="19"/>
      <c r="BB51" s="19"/>
      <c r="BC51" s="19"/>
      <c r="BD51" s="19"/>
      <c r="BE51" s="19"/>
      <c r="BF51" s="19"/>
      <c r="BG51" s="20"/>
      <c r="BH51" s="20"/>
      <c r="BI51" s="20"/>
      <c r="BJ51" s="20"/>
      <c r="BK51" s="20"/>
      <c r="BL51" s="20"/>
      <c r="BM51" s="20"/>
      <c r="BN51" s="20"/>
      <c r="BO51" s="20"/>
      <c r="BP51" s="20"/>
      <c r="BQ51" s="20"/>
      <c r="BR51" s="20"/>
      <c r="BS51" s="20"/>
      <c r="BT51" s="20"/>
      <c r="BU51" s="20"/>
      <c r="BV51" s="20"/>
      <c r="IP51" s="20"/>
      <c r="IQ51" s="20"/>
      <c r="IR51" s="20"/>
      <c r="IS51" s="20"/>
      <c r="IT51" s="20"/>
      <c r="IU51" s="20"/>
      <c r="IV51" s="20"/>
    </row>
    <row r="52" spans="1:256" s="21" customFormat="1" ht="114.75">
      <c r="A52" s="22"/>
      <c r="B52" s="68">
        <v>49</v>
      </c>
      <c r="C52" s="1">
        <v>540132</v>
      </c>
      <c r="D52" s="239">
        <v>44610</v>
      </c>
      <c r="E52" s="26">
        <v>44157</v>
      </c>
      <c r="F52" s="26">
        <v>141815</v>
      </c>
      <c r="G52" s="26">
        <v>20745</v>
      </c>
      <c r="H52" s="27">
        <v>8</v>
      </c>
      <c r="I52" s="27"/>
      <c r="J52" s="81">
        <v>258</v>
      </c>
      <c r="K52" s="27">
        <v>8</v>
      </c>
      <c r="L52" s="81" t="s">
        <v>74</v>
      </c>
      <c r="M52" s="27" t="s">
        <v>321</v>
      </c>
      <c r="N52" s="72" t="s">
        <v>322</v>
      </c>
      <c r="O52" s="27"/>
      <c r="P52" s="27" t="s">
        <v>41</v>
      </c>
      <c r="Q52" s="27" t="s">
        <v>41</v>
      </c>
      <c r="R52" s="27" t="s">
        <v>41</v>
      </c>
      <c r="S52" s="27" t="s">
        <v>161</v>
      </c>
      <c r="T52" s="27"/>
      <c r="U52" s="28">
        <v>1</v>
      </c>
      <c r="V52" s="27"/>
      <c r="W52" s="27"/>
      <c r="X52" s="27" t="s">
        <v>77</v>
      </c>
      <c r="Y52" s="29"/>
      <c r="Z52" s="30">
        <f>1+3</f>
        <v>4</v>
      </c>
      <c r="AA52" s="31"/>
      <c r="AB52" s="30">
        <f>+Z52+1+1</f>
        <v>6</v>
      </c>
      <c r="AC52" s="31"/>
      <c r="AD52" s="30">
        <f>++Z52*2</f>
        <v>8</v>
      </c>
      <c r="AE52" s="27">
        <f>96.72+8.05+94.52</f>
        <v>199.29</v>
      </c>
      <c r="AF52" s="27">
        <v>99.4</v>
      </c>
      <c r="AG52" s="27"/>
      <c r="AH52" s="27"/>
      <c r="AI52" s="28">
        <f>67.42+41.38/2+76.46+9.65/2</f>
        <v>169.39499999999998</v>
      </c>
      <c r="AJ52" s="32"/>
      <c r="AK52" s="33">
        <v>430</v>
      </c>
      <c r="AL52" s="33">
        <f>+(78.48+3.215+99.4+34.48+66.72+8.05)/AK52</f>
        <v>0.67522093023255825</v>
      </c>
      <c r="AM52" s="33">
        <f>+(AE52+AF52+AI52)/AK52</f>
        <v>1.0885697674418604</v>
      </c>
      <c r="AN52" s="33">
        <f>+(32+5)/(8+1)</f>
        <v>4.1111111111111107</v>
      </c>
      <c r="AO52" s="33">
        <f>+(207000)+((6*24483+7*19581+6*14688+3*9793)/22*AI52)</f>
        <v>3298243.1563636358</v>
      </c>
      <c r="AP52" s="34">
        <v>22523.45</v>
      </c>
      <c r="AQ52" s="33" t="s">
        <v>323</v>
      </c>
      <c r="AR52" s="34" t="s">
        <v>324</v>
      </c>
      <c r="AS52" s="35">
        <v>44638</v>
      </c>
      <c r="AT52" s="36"/>
      <c r="AU52" s="37" t="s">
        <v>325</v>
      </c>
      <c r="AV52" s="19"/>
      <c r="AW52" s="19"/>
      <c r="AX52" s="19"/>
      <c r="AY52" s="19"/>
      <c r="AZ52" s="19"/>
      <c r="BA52" s="19"/>
      <c r="BB52" s="19"/>
      <c r="BC52" s="19"/>
      <c r="BD52" s="19"/>
      <c r="BE52" s="19"/>
      <c r="BF52" s="19"/>
      <c r="BG52" s="20"/>
      <c r="BH52" s="20"/>
      <c r="BI52" s="20"/>
      <c r="BJ52" s="20"/>
      <c r="BK52" s="20"/>
      <c r="BL52" s="20"/>
      <c r="BM52" s="20"/>
      <c r="BN52" s="20"/>
      <c r="BO52" s="20"/>
      <c r="BP52" s="20"/>
      <c r="BQ52" s="20"/>
      <c r="BR52" s="20"/>
      <c r="BS52" s="20"/>
      <c r="BT52" s="20"/>
      <c r="BU52" s="20"/>
      <c r="BV52" s="20"/>
      <c r="IP52" s="20"/>
      <c r="IQ52" s="20"/>
      <c r="IR52" s="20"/>
      <c r="IS52" s="20"/>
      <c r="IT52" s="20"/>
      <c r="IU52" s="20"/>
      <c r="IV52" s="20"/>
    </row>
    <row r="53" spans="1:256" s="21" customFormat="1" ht="51">
      <c r="A53" s="22"/>
      <c r="B53" s="38"/>
      <c r="C53" s="39"/>
      <c r="D53" s="240"/>
      <c r="E53" s="26">
        <v>55790</v>
      </c>
      <c r="F53" s="26">
        <v>164672</v>
      </c>
      <c r="G53" s="26">
        <v>21342</v>
      </c>
      <c r="H53" s="27">
        <v>16</v>
      </c>
      <c r="I53" s="27"/>
      <c r="J53" s="101"/>
      <c r="K53" s="27">
        <v>16</v>
      </c>
      <c r="L53" s="101"/>
      <c r="M53" s="27" t="s">
        <v>326</v>
      </c>
      <c r="N53" s="102"/>
      <c r="O53" s="27"/>
      <c r="P53" s="27"/>
      <c r="Q53" s="27"/>
      <c r="R53" s="27"/>
      <c r="S53" s="27"/>
      <c r="T53" s="27">
        <v>1</v>
      </c>
      <c r="U53" s="28"/>
      <c r="V53" s="27"/>
      <c r="W53" s="27"/>
      <c r="X53" s="27" t="s">
        <v>77</v>
      </c>
      <c r="Y53" s="29">
        <v>2</v>
      </c>
      <c r="Z53" s="30"/>
      <c r="AA53" s="31">
        <f>+Y53+1</f>
        <v>3</v>
      </c>
      <c r="AB53" s="30"/>
      <c r="AC53" s="31">
        <f>+Y53*2</f>
        <v>4</v>
      </c>
      <c r="AD53" s="30"/>
      <c r="AE53" s="27">
        <f>57.32+25.9/2</f>
        <v>70.27</v>
      </c>
      <c r="AF53" s="27"/>
      <c r="AG53" s="27"/>
      <c r="AH53" s="27">
        <v>70.8</v>
      </c>
      <c r="AI53" s="28"/>
      <c r="AJ53" s="32"/>
      <c r="AK53" s="33">
        <v>430</v>
      </c>
      <c r="AL53" s="33">
        <f>+(AE53+AH53)/AK53</f>
        <v>0.32806976744186045</v>
      </c>
      <c r="AM53" s="33">
        <f>+(AH53+AE53)/AK53</f>
        <v>0.32806976744186045</v>
      </c>
      <c r="AN53" s="33"/>
      <c r="AO53" s="33"/>
      <c r="AP53" s="34"/>
      <c r="AQ53" s="33"/>
      <c r="AR53" s="34" t="s">
        <v>327</v>
      </c>
      <c r="AS53" s="35"/>
      <c r="AT53" s="36"/>
      <c r="AU53" s="37"/>
      <c r="AV53" s="19"/>
      <c r="AW53" s="19"/>
      <c r="AX53" s="19"/>
      <c r="AY53" s="19"/>
      <c r="AZ53" s="19"/>
      <c r="BA53" s="19"/>
      <c r="BB53" s="19"/>
      <c r="BC53" s="19"/>
      <c r="BD53" s="19"/>
      <c r="BE53" s="19"/>
      <c r="BF53" s="19"/>
      <c r="BG53" s="20"/>
      <c r="BH53" s="20"/>
      <c r="BI53" s="20"/>
      <c r="BJ53" s="20"/>
      <c r="BK53" s="20"/>
      <c r="BL53" s="20"/>
      <c r="BM53" s="20"/>
      <c r="BN53" s="20"/>
      <c r="BO53" s="20"/>
      <c r="BP53" s="20"/>
      <c r="BQ53" s="20"/>
      <c r="BR53" s="20"/>
      <c r="BS53" s="20"/>
      <c r="BT53" s="20"/>
      <c r="BU53" s="20"/>
      <c r="BV53" s="20"/>
      <c r="IP53" s="20"/>
      <c r="IQ53" s="20"/>
      <c r="IR53" s="20"/>
      <c r="IS53" s="20"/>
      <c r="IT53" s="20"/>
      <c r="IU53" s="20"/>
      <c r="IV53" s="20"/>
    </row>
    <row r="54" spans="1:256" s="21" customFormat="1" ht="76.5">
      <c r="A54" s="22"/>
      <c r="B54" s="64">
        <v>54</v>
      </c>
      <c r="C54" s="65">
        <v>538647</v>
      </c>
      <c r="D54" s="66">
        <v>44553</v>
      </c>
      <c r="E54" s="26">
        <v>-40684</v>
      </c>
      <c r="F54" s="26">
        <v>139147</v>
      </c>
      <c r="G54" s="26">
        <v>31711</v>
      </c>
      <c r="H54" s="27">
        <v>3</v>
      </c>
      <c r="I54" s="27"/>
      <c r="J54" s="27">
        <v>2</v>
      </c>
      <c r="K54" s="27">
        <v>2</v>
      </c>
      <c r="L54" s="27" t="s">
        <v>328</v>
      </c>
      <c r="M54" s="27" t="s">
        <v>270</v>
      </c>
      <c r="N54" s="27" t="s">
        <v>329</v>
      </c>
      <c r="O54" s="27"/>
      <c r="P54" s="27" t="s">
        <v>330</v>
      </c>
      <c r="Q54" s="27" t="s">
        <v>330</v>
      </c>
      <c r="R54" s="27" t="s">
        <v>330</v>
      </c>
      <c r="S54" s="27" t="s">
        <v>64</v>
      </c>
      <c r="T54" s="27"/>
      <c r="U54" s="28">
        <v>1</v>
      </c>
      <c r="V54" s="27"/>
      <c r="W54" s="27"/>
      <c r="X54" s="27" t="s">
        <v>65</v>
      </c>
      <c r="Y54" s="29"/>
      <c r="Z54" s="30">
        <v>3</v>
      </c>
      <c r="AA54" s="31"/>
      <c r="AB54" s="30">
        <f>+Z54+1</f>
        <v>4</v>
      </c>
      <c r="AC54" s="31"/>
      <c r="AD54" s="30">
        <f>+Z54*2</f>
        <v>6</v>
      </c>
      <c r="AE54" s="27"/>
      <c r="AF54" s="27"/>
      <c r="AG54" s="27"/>
      <c r="AH54" s="27"/>
      <c r="AI54" s="28">
        <f>89+7.22/2+120.79+10.48/2+71.56/2</f>
        <v>254.42000000000002</v>
      </c>
      <c r="AJ54" s="32"/>
      <c r="AK54" s="33">
        <v>801.5</v>
      </c>
      <c r="AL54" s="33">
        <f>+(120.78+10.48+71.56)/AK54</f>
        <v>0.2530505302557704</v>
      </c>
      <c r="AM54" s="33">
        <f>+AI54/AK54</f>
        <v>0.31742981908920775</v>
      </c>
      <c r="AN54" s="33"/>
      <c r="AO54" s="34">
        <f>+(12*24483+6*19581+14688*4)/22*AI54</f>
        <v>5435729.5581818186</v>
      </c>
      <c r="AP54" s="34">
        <v>20429.2</v>
      </c>
      <c r="AQ54" s="33" t="s">
        <v>71</v>
      </c>
      <c r="AR54" s="34" t="s">
        <v>331</v>
      </c>
      <c r="AS54" s="35">
        <v>44641</v>
      </c>
      <c r="AT54" s="36"/>
      <c r="AU54" s="67" t="s">
        <v>332</v>
      </c>
      <c r="AV54" s="19"/>
      <c r="AW54" s="19"/>
      <c r="AX54" s="19"/>
      <c r="AY54" s="19"/>
      <c r="AZ54" s="19"/>
      <c r="BA54" s="19"/>
      <c r="BB54" s="19"/>
      <c r="BC54" s="19"/>
      <c r="BD54" s="19"/>
      <c r="BE54" s="19"/>
      <c r="BF54" s="19"/>
      <c r="BG54" s="20"/>
      <c r="BH54" s="20"/>
      <c r="BI54" s="20"/>
      <c r="BJ54" s="20"/>
      <c r="BK54" s="20"/>
      <c r="BL54" s="20"/>
      <c r="BM54" s="20"/>
      <c r="BN54" s="20"/>
      <c r="BO54" s="20"/>
      <c r="BP54" s="20"/>
      <c r="BQ54" s="20"/>
      <c r="BR54" s="20"/>
      <c r="BS54" s="20"/>
      <c r="BT54" s="20"/>
      <c r="BU54" s="20"/>
      <c r="BV54" s="20"/>
      <c r="IP54" s="20"/>
      <c r="IQ54" s="20"/>
      <c r="IR54" s="20"/>
      <c r="IS54" s="20"/>
      <c r="IT54" s="20"/>
      <c r="IU54" s="20"/>
      <c r="IV54" s="20"/>
    </row>
    <row r="55" spans="1:256" s="21" customFormat="1" ht="63.75">
      <c r="A55" s="22"/>
      <c r="B55" s="38">
        <v>55</v>
      </c>
      <c r="C55" s="39">
        <v>535331</v>
      </c>
      <c r="D55" s="25">
        <v>44489</v>
      </c>
      <c r="E55" s="26">
        <v>8844</v>
      </c>
      <c r="F55" s="26">
        <v>101924</v>
      </c>
      <c r="G55" s="26">
        <v>359</v>
      </c>
      <c r="H55" s="27"/>
      <c r="I55" s="27"/>
      <c r="J55" s="27">
        <v>187</v>
      </c>
      <c r="K55" s="27">
        <v>11</v>
      </c>
      <c r="L55" s="27" t="s">
        <v>31</v>
      </c>
      <c r="M55" s="27" t="s">
        <v>333</v>
      </c>
      <c r="N55" s="27" t="s">
        <v>334</v>
      </c>
      <c r="O55" s="27"/>
      <c r="P55" s="27" t="s">
        <v>56</v>
      </c>
      <c r="Q55" s="27"/>
      <c r="R55" s="27"/>
      <c r="S55" s="27"/>
      <c r="T55" s="27">
        <f>1+1</f>
        <v>2</v>
      </c>
      <c r="U55" s="28"/>
      <c r="V55" s="27"/>
      <c r="W55" s="27"/>
      <c r="X55" s="27" t="s">
        <v>335</v>
      </c>
      <c r="Y55" s="29">
        <v>1</v>
      </c>
      <c r="Z55" s="30"/>
      <c r="AA55" s="31">
        <f>+Y55+1</f>
        <v>2</v>
      </c>
      <c r="AB55" s="30"/>
      <c r="AC55" s="31">
        <f>+Y55*2</f>
        <v>2</v>
      </c>
      <c r="AD55" s="30"/>
      <c r="AE55" s="27">
        <f>32.7+16.55/2</f>
        <v>40.975000000000001</v>
      </c>
      <c r="AF55" s="27">
        <v>92.4</v>
      </c>
      <c r="AG55" s="27"/>
      <c r="AH55" s="27">
        <f>45.7/2</f>
        <v>22.85</v>
      </c>
      <c r="AI55" s="28"/>
      <c r="AJ55" s="32"/>
      <c r="AK55" s="33">
        <v>138.05000000000001</v>
      </c>
      <c r="AL55" s="33">
        <f>+(45.7+92.4)/AK55</f>
        <v>1.0003621876131836</v>
      </c>
      <c r="AM55" s="33">
        <f>+(AE55+AF55+AH55)/AK55</f>
        <v>1.1316551973922491</v>
      </c>
      <c r="AN55" s="33"/>
      <c r="AO55" s="33">
        <f>+AH55*19581</f>
        <v>447425.85000000003</v>
      </c>
      <c r="AP55" s="34">
        <v>13757.75</v>
      </c>
      <c r="AQ55" s="33" t="s">
        <v>51</v>
      </c>
      <c r="AR55" s="34" t="s">
        <v>336</v>
      </c>
      <c r="AS55" s="35">
        <v>44642</v>
      </c>
      <c r="AT55" s="36"/>
      <c r="AU55" s="43" t="s">
        <v>111</v>
      </c>
      <c r="AV55" s="19"/>
      <c r="AW55" s="19"/>
      <c r="AX55" s="19"/>
      <c r="AY55" s="19"/>
      <c r="AZ55" s="19"/>
      <c r="BA55" s="19"/>
      <c r="BB55" s="19"/>
      <c r="BC55" s="19"/>
      <c r="BD55" s="19"/>
      <c r="BE55" s="19"/>
      <c r="BF55" s="19"/>
      <c r="BG55" s="20"/>
      <c r="BH55" s="20"/>
      <c r="BI55" s="20"/>
      <c r="BJ55" s="20"/>
      <c r="BK55" s="20"/>
      <c r="BL55" s="20"/>
      <c r="BM55" s="20"/>
      <c r="BN55" s="20"/>
      <c r="BO55" s="20"/>
      <c r="BP55" s="20"/>
      <c r="BQ55" s="20"/>
      <c r="BR55" s="20"/>
      <c r="BS55" s="20"/>
      <c r="BT55" s="20"/>
      <c r="BU55" s="20"/>
      <c r="BV55" s="20"/>
      <c r="IP55" s="20"/>
      <c r="IQ55" s="20"/>
      <c r="IR55" s="20"/>
      <c r="IS55" s="20"/>
      <c r="IT55" s="20"/>
      <c r="IU55" s="20"/>
      <c r="IV55" s="20"/>
    </row>
    <row r="56" spans="1:256" s="21" customFormat="1" ht="76.5">
      <c r="A56" s="22"/>
      <c r="B56" s="23">
        <v>51</v>
      </c>
      <c r="C56" s="24">
        <v>539547</v>
      </c>
      <c r="D56" s="25">
        <v>44592</v>
      </c>
      <c r="E56" s="26">
        <v>59628</v>
      </c>
      <c r="F56" s="26">
        <v>160045</v>
      </c>
      <c r="G56" s="26">
        <v>32697</v>
      </c>
      <c r="H56" s="27">
        <v>111</v>
      </c>
      <c r="I56" s="27"/>
      <c r="J56" s="27">
        <v>2</v>
      </c>
      <c r="K56" s="27">
        <v>5</v>
      </c>
      <c r="L56" s="27" t="s">
        <v>337</v>
      </c>
      <c r="M56" s="27" t="s">
        <v>241</v>
      </c>
      <c r="N56" s="27" t="s">
        <v>338</v>
      </c>
      <c r="O56" s="27"/>
      <c r="P56" s="27" t="s">
        <v>115</v>
      </c>
      <c r="Q56" s="27" t="s">
        <v>115</v>
      </c>
      <c r="R56" s="27" t="s">
        <v>115</v>
      </c>
      <c r="S56" s="27" t="s">
        <v>100</v>
      </c>
      <c r="T56" s="27"/>
      <c r="U56" s="28">
        <v>1</v>
      </c>
      <c r="V56" s="27"/>
      <c r="W56" s="27"/>
      <c r="X56" s="27" t="s">
        <v>65</v>
      </c>
      <c r="Y56" s="29"/>
      <c r="Z56" s="30">
        <v>2</v>
      </c>
      <c r="AA56" s="31"/>
      <c r="AB56" s="30">
        <f>+Z56+1</f>
        <v>3</v>
      </c>
      <c r="AC56" s="31"/>
      <c r="AD56" s="30">
        <f>+Z56*2</f>
        <v>4</v>
      </c>
      <c r="AE56" s="27"/>
      <c r="AF56" s="27"/>
      <c r="AG56" s="27"/>
      <c r="AH56" s="27"/>
      <c r="AI56" s="28">
        <v>60</v>
      </c>
      <c r="AJ56" s="32"/>
      <c r="AK56" s="33">
        <v>2160</v>
      </c>
      <c r="AL56" s="33">
        <f>+AI56/AK56</f>
        <v>2.7777777777777776E-2</v>
      </c>
      <c r="AM56" s="33">
        <f>+AI56/AK56</f>
        <v>2.7777777777777776E-2</v>
      </c>
      <c r="AN56" s="33"/>
      <c r="AO56" s="33">
        <f>+(5*19581+14688*11+5*9793)/21*AI56</f>
        <v>881251.42857142852</v>
      </c>
      <c r="AP56" s="34">
        <v>4047.13</v>
      </c>
      <c r="AQ56" s="33" t="s">
        <v>71</v>
      </c>
      <c r="AR56" s="34" t="s">
        <v>339</v>
      </c>
      <c r="AS56" s="35">
        <v>44641</v>
      </c>
      <c r="AT56" s="36"/>
      <c r="AU56" s="37" t="s">
        <v>340</v>
      </c>
      <c r="AV56" s="19"/>
      <c r="AW56" s="19"/>
      <c r="AX56" s="19"/>
      <c r="AY56" s="19"/>
      <c r="AZ56" s="19"/>
      <c r="BA56" s="19"/>
      <c r="BB56" s="19"/>
      <c r="BC56" s="19"/>
      <c r="BD56" s="19"/>
      <c r="BE56" s="19"/>
      <c r="BF56" s="19"/>
      <c r="BG56" s="20"/>
      <c r="BH56" s="20"/>
      <c r="BI56" s="20"/>
      <c r="BJ56" s="20"/>
      <c r="BK56" s="20"/>
      <c r="BL56" s="20"/>
      <c r="BM56" s="20"/>
      <c r="BN56" s="20"/>
      <c r="BO56" s="20"/>
      <c r="BP56" s="20"/>
      <c r="BQ56" s="20"/>
      <c r="BR56" s="20"/>
      <c r="BS56" s="20"/>
      <c r="BT56" s="20"/>
      <c r="BU56" s="20"/>
      <c r="BV56" s="20"/>
      <c r="IP56" s="20"/>
      <c r="IQ56" s="20"/>
      <c r="IR56" s="20"/>
      <c r="IS56" s="20"/>
      <c r="IT56" s="20"/>
      <c r="IU56" s="20"/>
      <c r="IV56" s="20"/>
    </row>
    <row r="57" spans="1:256" s="21" customFormat="1" ht="63.75">
      <c r="A57" s="22"/>
      <c r="B57" s="23">
        <v>50</v>
      </c>
      <c r="C57" s="24">
        <v>539697</v>
      </c>
      <c r="D57" s="25">
        <v>44596</v>
      </c>
      <c r="E57" s="26">
        <v>35077</v>
      </c>
      <c r="F57" s="26">
        <v>135004</v>
      </c>
      <c r="G57" s="26">
        <v>7419</v>
      </c>
      <c r="H57" s="27"/>
      <c r="I57" s="27"/>
      <c r="J57" s="27">
        <v>347</v>
      </c>
      <c r="K57" s="27">
        <v>9</v>
      </c>
      <c r="L57" s="27" t="s">
        <v>38</v>
      </c>
      <c r="M57" s="27" t="s">
        <v>341</v>
      </c>
      <c r="N57" s="27" t="s">
        <v>342</v>
      </c>
      <c r="O57" s="27"/>
      <c r="P57" s="27" t="s">
        <v>115</v>
      </c>
      <c r="Q57" s="27"/>
      <c r="R57" s="27"/>
      <c r="S57" s="27"/>
      <c r="T57" s="27">
        <v>1</v>
      </c>
      <c r="U57" s="28"/>
      <c r="V57" s="27"/>
      <c r="W57" s="27"/>
      <c r="X57" s="27" t="s">
        <v>65</v>
      </c>
      <c r="Y57" s="29">
        <v>3</v>
      </c>
      <c r="Z57" s="30"/>
      <c r="AA57" s="31">
        <f>+Y57+1</f>
        <v>4</v>
      </c>
      <c r="AB57" s="30"/>
      <c r="AC57" s="31">
        <f>+Y57*2</f>
        <v>6</v>
      </c>
      <c r="AD57" s="30"/>
      <c r="AE57" s="27"/>
      <c r="AF57" s="27"/>
      <c r="AG57" s="27">
        <f>100.15+52.4+18.44/2</f>
        <v>161.77000000000001</v>
      </c>
      <c r="AH57" s="27"/>
      <c r="AI57" s="28"/>
      <c r="AJ57" s="32"/>
      <c r="AK57" s="33">
        <v>756.9</v>
      </c>
      <c r="AL57" s="33"/>
      <c r="AM57" s="33">
        <f>+AG57/AK57</f>
        <v>0.21372704452371519</v>
      </c>
      <c r="AN57" s="33"/>
      <c r="AO57" s="33">
        <f>+(5*24483+19581*4+6*14688+5*9793)/20*AG57</f>
        <v>2732554.1319999998</v>
      </c>
      <c r="AP57" s="34">
        <v>39800.019999999997</v>
      </c>
      <c r="AQ57" s="33" t="s">
        <v>71</v>
      </c>
      <c r="AR57" s="34" t="s">
        <v>343</v>
      </c>
      <c r="AS57" s="35">
        <v>44641</v>
      </c>
      <c r="AT57" s="36"/>
      <c r="AU57" s="37" t="s">
        <v>344</v>
      </c>
      <c r="AV57" s="19"/>
      <c r="AW57" s="19"/>
      <c r="AX57" s="19"/>
      <c r="AY57" s="19"/>
      <c r="AZ57" s="19"/>
      <c r="BA57" s="19"/>
      <c r="BB57" s="19"/>
      <c r="BC57" s="19"/>
      <c r="BD57" s="19"/>
      <c r="BE57" s="19"/>
      <c r="BF57" s="19"/>
      <c r="BG57" s="20"/>
      <c r="BH57" s="20"/>
      <c r="BI57" s="20"/>
      <c r="BJ57" s="20"/>
      <c r="BK57" s="20"/>
      <c r="BL57" s="20"/>
      <c r="BM57" s="20"/>
      <c r="BN57" s="20"/>
      <c r="BO57" s="20"/>
      <c r="BP57" s="20"/>
      <c r="BQ57" s="20"/>
      <c r="BR57" s="20"/>
      <c r="BS57" s="20"/>
      <c r="BT57" s="20"/>
      <c r="BU57" s="20"/>
      <c r="BV57" s="20"/>
      <c r="IP57" s="20"/>
      <c r="IQ57" s="20"/>
      <c r="IR57" s="20"/>
      <c r="IS57" s="20"/>
      <c r="IT57" s="20"/>
      <c r="IU57" s="20"/>
      <c r="IV57" s="20"/>
    </row>
    <row r="58" spans="1:256" s="21" customFormat="1" ht="114.75">
      <c r="A58" s="22"/>
      <c r="B58" s="23">
        <v>53</v>
      </c>
      <c r="C58" s="24">
        <v>538645</v>
      </c>
      <c r="D58" s="25">
        <v>44553</v>
      </c>
      <c r="E58" s="26">
        <v>36339</v>
      </c>
      <c r="F58" s="26">
        <v>135365</v>
      </c>
      <c r="G58" s="26">
        <v>7550</v>
      </c>
      <c r="H58" s="27"/>
      <c r="I58" s="27"/>
      <c r="J58" s="27">
        <v>512</v>
      </c>
      <c r="K58" s="27">
        <v>13</v>
      </c>
      <c r="L58" s="27" t="s">
        <v>38</v>
      </c>
      <c r="M58" s="27" t="s">
        <v>345</v>
      </c>
      <c r="N58" s="27" t="s">
        <v>346</v>
      </c>
      <c r="O58" s="27"/>
      <c r="P58" s="27" t="s">
        <v>347</v>
      </c>
      <c r="Q58" s="27"/>
      <c r="R58" s="27"/>
      <c r="S58" s="27"/>
      <c r="T58" s="27">
        <v>2</v>
      </c>
      <c r="U58" s="28"/>
      <c r="V58" s="27"/>
      <c r="W58" s="27"/>
      <c r="X58" s="27" t="s">
        <v>77</v>
      </c>
      <c r="Y58" s="29">
        <f>1+2</f>
        <v>3</v>
      </c>
      <c r="Z58" s="30"/>
      <c r="AA58" s="31">
        <f>+Y58+1+1</f>
        <v>5</v>
      </c>
      <c r="AB58" s="30"/>
      <c r="AC58" s="31">
        <f>+Y58*2</f>
        <v>6</v>
      </c>
      <c r="AD58" s="30"/>
      <c r="AE58" s="27"/>
      <c r="AF58" s="27"/>
      <c r="AG58" s="27">
        <f>35.38+23.89+108.98+35.38</f>
        <v>203.63</v>
      </c>
      <c r="AH58" s="27"/>
      <c r="AI58" s="28"/>
      <c r="AJ58" s="32"/>
      <c r="AK58" s="33">
        <v>180</v>
      </c>
      <c r="AL58" s="33">
        <f>+(35.38+23.89+108.98)/AK58</f>
        <v>0.93472222222222223</v>
      </c>
      <c r="AM58" s="33">
        <f>+(AG58/AK58)</f>
        <v>1.1312777777777778</v>
      </c>
      <c r="AN58" s="33"/>
      <c r="AO58" s="33">
        <f>+(1*24483+19581*4+4*14688+9793*12)/21*AG58</f>
        <v>2706097.25</v>
      </c>
      <c r="AP58" s="34">
        <v>37427.65</v>
      </c>
      <c r="AQ58" s="33" t="s">
        <v>71</v>
      </c>
      <c r="AR58" s="34" t="s">
        <v>348</v>
      </c>
      <c r="AS58" s="35">
        <v>44642</v>
      </c>
      <c r="AT58" s="36"/>
      <c r="AU58" s="37">
        <v>44565</v>
      </c>
      <c r="AV58" s="19"/>
      <c r="AW58" s="19"/>
      <c r="AX58" s="19"/>
      <c r="AY58" s="19"/>
      <c r="AZ58" s="19"/>
      <c r="BA58" s="19"/>
      <c r="BB58" s="19"/>
      <c r="BC58" s="19"/>
      <c r="BD58" s="19"/>
      <c r="BE58" s="19"/>
      <c r="BF58" s="19"/>
      <c r="BG58" s="20"/>
      <c r="BH58" s="20"/>
      <c r="BI58" s="20"/>
      <c r="BJ58" s="20"/>
      <c r="BK58" s="20"/>
      <c r="BL58" s="20"/>
      <c r="BM58" s="20"/>
      <c r="BN58" s="20"/>
      <c r="BO58" s="20"/>
      <c r="BP58" s="20"/>
      <c r="BQ58" s="20"/>
      <c r="BR58" s="20"/>
      <c r="BS58" s="20"/>
      <c r="BT58" s="20"/>
      <c r="BU58" s="20"/>
      <c r="BV58" s="20"/>
      <c r="IP58" s="20"/>
      <c r="IQ58" s="20"/>
      <c r="IR58" s="20"/>
      <c r="IS58" s="20"/>
      <c r="IT58" s="20"/>
      <c r="IU58" s="20"/>
      <c r="IV58" s="20"/>
    </row>
    <row r="59" spans="1:256" s="21" customFormat="1" ht="38.25">
      <c r="A59" s="44"/>
      <c r="B59" s="68">
        <v>72</v>
      </c>
      <c r="C59" s="68">
        <v>540455</v>
      </c>
      <c r="D59" s="241">
        <v>44627</v>
      </c>
      <c r="E59" s="26">
        <v>34023</v>
      </c>
      <c r="F59" s="26">
        <v>133596</v>
      </c>
      <c r="G59" s="26">
        <v>20221</v>
      </c>
      <c r="H59" s="27"/>
      <c r="I59" s="27"/>
      <c r="J59" s="72">
        <v>364</v>
      </c>
      <c r="K59" s="27">
        <v>14</v>
      </c>
      <c r="L59" s="72" t="s">
        <v>74</v>
      </c>
      <c r="M59" s="27" t="s">
        <v>349</v>
      </c>
      <c r="N59" s="27" t="s">
        <v>350</v>
      </c>
      <c r="O59" s="27" t="s">
        <v>351</v>
      </c>
      <c r="P59" s="72" t="s">
        <v>352</v>
      </c>
      <c r="Q59" s="27"/>
      <c r="R59" s="27"/>
      <c r="S59" s="27"/>
      <c r="T59" s="27">
        <v>1</v>
      </c>
      <c r="U59" s="28"/>
      <c r="V59" s="27"/>
      <c r="W59" s="27"/>
      <c r="X59" s="27" t="s">
        <v>353</v>
      </c>
      <c r="Y59" s="29">
        <v>1</v>
      </c>
      <c r="Z59" s="30"/>
      <c r="AA59" s="31">
        <f>+Y59+1</f>
        <v>2</v>
      </c>
      <c r="AB59" s="30"/>
      <c r="AC59" s="31">
        <f>+Y59*2</f>
        <v>2</v>
      </c>
      <c r="AD59" s="30"/>
      <c r="AE59" s="27"/>
      <c r="AF59" s="27"/>
      <c r="AG59" s="27">
        <f>31.56/2+3.8*9</f>
        <v>49.98</v>
      </c>
      <c r="AH59" s="27"/>
      <c r="AI59" s="28"/>
      <c r="AJ59" s="32"/>
      <c r="AK59" s="33">
        <v>312</v>
      </c>
      <c r="AL59" s="33">
        <f>(31.56+3.8*9)/AK59</f>
        <v>0.21076923076923074</v>
      </c>
      <c r="AM59" s="33">
        <f>+AG59/AK59</f>
        <v>0.16019230769230769</v>
      </c>
      <c r="AN59" s="33"/>
      <c r="AO59" s="33">
        <v>410000</v>
      </c>
      <c r="AP59" s="34">
        <v>23042.36</v>
      </c>
      <c r="AQ59" s="33" t="s">
        <v>71</v>
      </c>
      <c r="AR59" s="34" t="s">
        <v>354</v>
      </c>
      <c r="AS59" s="80">
        <v>44662</v>
      </c>
      <c r="AT59" s="36"/>
      <c r="AU59" s="37">
        <v>44631</v>
      </c>
      <c r="AV59" s="19"/>
      <c r="AW59" s="19"/>
      <c r="AX59" s="19"/>
      <c r="AY59" s="19"/>
      <c r="AZ59" s="19"/>
      <c r="BA59" s="19"/>
      <c r="BB59" s="19"/>
      <c r="BC59" s="19"/>
      <c r="BD59" s="19"/>
      <c r="BE59" s="19"/>
      <c r="BF59" s="19"/>
      <c r="BG59" s="20"/>
      <c r="BH59" s="20"/>
      <c r="BI59" s="20"/>
      <c r="BJ59" s="20"/>
      <c r="BK59" s="20"/>
      <c r="BL59" s="20"/>
      <c r="BM59" s="20"/>
      <c r="BN59" s="20"/>
      <c r="BO59" s="20"/>
      <c r="BP59" s="20"/>
      <c r="BQ59" s="20"/>
      <c r="BR59" s="20"/>
      <c r="BS59" s="20"/>
      <c r="BT59" s="20"/>
      <c r="BU59" s="20"/>
      <c r="BV59" s="20"/>
      <c r="IP59" s="20"/>
      <c r="IQ59" s="20"/>
      <c r="IR59" s="20"/>
      <c r="IS59" s="20"/>
      <c r="IT59" s="20"/>
      <c r="IU59" s="20"/>
      <c r="IV59" s="20"/>
    </row>
    <row r="60" spans="1:256" s="21" customFormat="1" ht="38.25" customHeight="1">
      <c r="A60" s="44"/>
      <c r="B60" s="242"/>
      <c r="C60" s="242"/>
      <c r="D60" s="243"/>
      <c r="E60" s="26">
        <v>36170</v>
      </c>
      <c r="F60" s="26">
        <v>135704</v>
      </c>
      <c r="G60" s="26">
        <v>20281</v>
      </c>
      <c r="H60" s="27"/>
      <c r="I60" s="27"/>
      <c r="J60" s="244"/>
      <c r="K60" s="27">
        <v>12</v>
      </c>
      <c r="L60" s="244"/>
      <c r="M60" s="27"/>
      <c r="N60" s="72" t="s">
        <v>355</v>
      </c>
      <c r="O60" s="27"/>
      <c r="P60" s="244"/>
      <c r="Q60" s="27"/>
      <c r="R60" s="27"/>
      <c r="S60" s="27"/>
      <c r="T60" s="27">
        <v>1</v>
      </c>
      <c r="U60" s="28"/>
      <c r="V60" s="27"/>
      <c r="W60" s="27"/>
      <c r="X60" s="72" t="s">
        <v>356</v>
      </c>
      <c r="Y60" s="29"/>
      <c r="Z60" s="30"/>
      <c r="AA60" s="31"/>
      <c r="AB60" s="30"/>
      <c r="AC60" s="31"/>
      <c r="AD60" s="30"/>
      <c r="AE60" s="27"/>
      <c r="AF60" s="27"/>
      <c r="AG60" s="27"/>
      <c r="AH60" s="27">
        <f>89.94-(3.8*9)+43.15/2</f>
        <v>77.314999999999998</v>
      </c>
      <c r="AI60" s="28"/>
      <c r="AJ60" s="32"/>
      <c r="AK60" s="33">
        <v>312</v>
      </c>
      <c r="AL60" s="33">
        <f>+(89.94-(3.8*9)+43.15)/AK60</f>
        <v>0.31695512820512822</v>
      </c>
      <c r="AM60" s="33">
        <f>+AH60/AK60</f>
        <v>0.24780448717948717</v>
      </c>
      <c r="AN60" s="33"/>
      <c r="AO60" s="33"/>
      <c r="AP60" s="34"/>
      <c r="AQ60" s="33"/>
      <c r="AR60" s="34" t="s">
        <v>357</v>
      </c>
      <c r="AS60" s="245"/>
      <c r="AT60" s="36"/>
      <c r="AU60" s="67"/>
      <c r="AV60" s="19"/>
      <c r="AW60" s="19"/>
      <c r="AX60" s="19"/>
      <c r="AY60" s="19"/>
      <c r="AZ60" s="19"/>
      <c r="BA60" s="19"/>
      <c r="BB60" s="19"/>
      <c r="BC60" s="19"/>
      <c r="BD60" s="19"/>
      <c r="BE60" s="19"/>
      <c r="BF60" s="19"/>
      <c r="BG60" s="20"/>
      <c r="BH60" s="20"/>
      <c r="BI60" s="20"/>
      <c r="BJ60" s="20"/>
      <c r="BK60" s="20"/>
      <c r="BL60" s="20"/>
      <c r="BM60" s="20"/>
      <c r="BN60" s="20"/>
      <c r="BO60" s="20"/>
      <c r="BP60" s="20"/>
      <c r="BQ60" s="20"/>
      <c r="BR60" s="20"/>
      <c r="BS60" s="20"/>
      <c r="BT60" s="20"/>
      <c r="BU60" s="20"/>
      <c r="BV60" s="20"/>
      <c r="IP60" s="20"/>
      <c r="IQ60" s="20"/>
      <c r="IR60" s="20"/>
      <c r="IS60" s="20"/>
      <c r="IT60" s="20"/>
      <c r="IU60" s="20"/>
      <c r="IV60" s="20"/>
    </row>
    <row r="61" spans="1:256" s="21" customFormat="1" ht="12.75">
      <c r="A61" s="44"/>
      <c r="B61" s="38"/>
      <c r="C61" s="38"/>
      <c r="D61" s="246"/>
      <c r="E61" s="26">
        <v>36169</v>
      </c>
      <c r="F61" s="26">
        <v>135703</v>
      </c>
      <c r="G61" s="26">
        <v>20280</v>
      </c>
      <c r="H61" s="27"/>
      <c r="I61" s="27"/>
      <c r="J61" s="102"/>
      <c r="K61" s="27">
        <v>13</v>
      </c>
      <c r="L61" s="102"/>
      <c r="M61" s="27"/>
      <c r="N61" s="102"/>
      <c r="O61" s="27"/>
      <c r="P61" s="102"/>
      <c r="Q61" s="27"/>
      <c r="R61" s="27"/>
      <c r="S61" s="27"/>
      <c r="T61" s="27"/>
      <c r="U61" s="28"/>
      <c r="V61" s="27"/>
      <c r="W61" s="27"/>
      <c r="X61" s="102"/>
      <c r="Y61" s="29"/>
      <c r="Z61" s="30"/>
      <c r="AA61" s="31"/>
      <c r="AB61" s="30"/>
      <c r="AC61" s="31"/>
      <c r="AD61" s="30"/>
      <c r="AE61" s="27"/>
      <c r="AF61" s="27"/>
      <c r="AG61" s="27"/>
      <c r="AH61" s="27"/>
      <c r="AI61" s="28"/>
      <c r="AJ61" s="32"/>
      <c r="AK61" s="33">
        <v>312</v>
      </c>
      <c r="AL61" s="33"/>
      <c r="AM61" s="33"/>
      <c r="AN61" s="33"/>
      <c r="AO61" s="33"/>
      <c r="AP61" s="34"/>
      <c r="AQ61" s="33"/>
      <c r="AR61" s="34"/>
      <c r="AS61" s="237"/>
      <c r="AT61" s="36"/>
      <c r="AU61" s="67"/>
      <c r="AV61" s="19"/>
      <c r="AW61" s="19"/>
      <c r="AX61" s="19"/>
      <c r="AY61" s="19"/>
      <c r="AZ61" s="19"/>
      <c r="BA61" s="19"/>
      <c r="BB61" s="19"/>
      <c r="BC61" s="19"/>
      <c r="BD61" s="19"/>
      <c r="BE61" s="19"/>
      <c r="BF61" s="19"/>
      <c r="BG61" s="20"/>
      <c r="BH61" s="20"/>
      <c r="BI61" s="20"/>
      <c r="BJ61" s="20"/>
      <c r="BK61" s="20"/>
      <c r="BL61" s="20"/>
      <c r="BM61" s="20"/>
      <c r="BN61" s="20"/>
      <c r="BO61" s="20"/>
      <c r="BP61" s="20"/>
      <c r="BQ61" s="20"/>
      <c r="BR61" s="20"/>
      <c r="BS61" s="20"/>
      <c r="BT61" s="20"/>
      <c r="BU61" s="20"/>
      <c r="BV61" s="20"/>
      <c r="IP61" s="20"/>
      <c r="IQ61" s="20"/>
      <c r="IR61" s="20"/>
      <c r="IS61" s="20"/>
      <c r="IT61" s="20"/>
      <c r="IU61" s="20"/>
      <c r="IV61" s="20"/>
    </row>
    <row r="62" spans="1:256" s="21" customFormat="1" ht="38.25">
      <c r="A62" s="22"/>
      <c r="B62" s="23">
        <v>58</v>
      </c>
      <c r="C62" s="24">
        <v>540762</v>
      </c>
      <c r="D62" s="25">
        <v>44271</v>
      </c>
      <c r="E62" s="26">
        <v>56302</v>
      </c>
      <c r="F62" s="26">
        <v>165034</v>
      </c>
      <c r="G62" s="26">
        <v>10201</v>
      </c>
      <c r="H62" s="27"/>
      <c r="I62" s="27"/>
      <c r="J62" s="27">
        <v>342</v>
      </c>
      <c r="K62" s="27">
        <v>5</v>
      </c>
      <c r="L62" s="27" t="s">
        <v>74</v>
      </c>
      <c r="M62" s="27" t="s">
        <v>358</v>
      </c>
      <c r="N62" s="27" t="s">
        <v>359</v>
      </c>
      <c r="O62" s="27"/>
      <c r="P62" s="27" t="s">
        <v>63</v>
      </c>
      <c r="Q62" s="27"/>
      <c r="R62" s="27"/>
      <c r="S62" s="27"/>
      <c r="T62" s="27">
        <v>1</v>
      </c>
      <c r="U62" s="28"/>
      <c r="V62" s="27"/>
      <c r="W62" s="27"/>
      <c r="X62" s="27" t="s">
        <v>186</v>
      </c>
      <c r="Y62" s="29"/>
      <c r="Z62" s="30"/>
      <c r="AA62" s="31"/>
      <c r="AB62" s="30"/>
      <c r="AC62" s="31"/>
      <c r="AD62" s="30"/>
      <c r="AE62" s="27"/>
      <c r="AF62" s="27">
        <f>554.08</f>
        <v>554.08000000000004</v>
      </c>
      <c r="AG62" s="27"/>
      <c r="AH62" s="27">
        <f>14.84+134.52</f>
        <v>149.36000000000001</v>
      </c>
      <c r="AI62" s="28"/>
      <c r="AJ62" s="32"/>
      <c r="AK62" s="33">
        <v>948.74</v>
      </c>
      <c r="AL62" s="33">
        <f>+(AF62+134.52)/AK62</f>
        <v>0.72580475156523394</v>
      </c>
      <c r="AM62" s="33">
        <f>+(AF62+AH62)/AK62</f>
        <v>0.74144655016126659</v>
      </c>
      <c r="AN62" s="33"/>
      <c r="AO62" s="33">
        <f>+(AH62*19581)</f>
        <v>2924618.16</v>
      </c>
      <c r="AP62" s="34">
        <v>38284.720000000001</v>
      </c>
      <c r="AQ62" s="33" t="s">
        <v>36</v>
      </c>
      <c r="AR62" s="34" t="s">
        <v>360</v>
      </c>
      <c r="AS62" s="35">
        <v>44643</v>
      </c>
      <c r="AT62" s="35">
        <v>44643</v>
      </c>
      <c r="AU62" s="37">
        <v>44637</v>
      </c>
      <c r="AV62" s="19"/>
      <c r="AW62" s="19"/>
      <c r="AX62" s="19"/>
      <c r="AY62" s="19"/>
      <c r="AZ62" s="19"/>
      <c r="BA62" s="19"/>
      <c r="BB62" s="19"/>
      <c r="BC62" s="19"/>
      <c r="BD62" s="19"/>
      <c r="BE62" s="19"/>
      <c r="BF62" s="19"/>
      <c r="BG62" s="20"/>
      <c r="BH62" s="20"/>
      <c r="BI62" s="20"/>
      <c r="BJ62" s="20"/>
      <c r="BK62" s="20"/>
      <c r="BL62" s="20"/>
      <c r="BM62" s="20"/>
      <c r="BN62" s="20"/>
      <c r="BO62" s="20"/>
      <c r="BP62" s="20"/>
      <c r="BQ62" s="20"/>
      <c r="BR62" s="20"/>
      <c r="BS62" s="20"/>
      <c r="BT62" s="20"/>
      <c r="BU62" s="20"/>
      <c r="BV62" s="20"/>
      <c r="IP62" s="20"/>
      <c r="IQ62" s="20"/>
      <c r="IR62" s="20"/>
      <c r="IS62" s="20"/>
      <c r="IT62" s="20"/>
      <c r="IU62" s="20"/>
      <c r="IV62" s="20"/>
    </row>
    <row r="63" spans="1:256" s="21" customFormat="1" ht="63.75">
      <c r="A63" s="22"/>
      <c r="B63" s="23">
        <v>57</v>
      </c>
      <c r="C63" s="24">
        <v>540361</v>
      </c>
      <c r="D63" s="25">
        <v>44621</v>
      </c>
      <c r="E63" s="26">
        <v>44621</v>
      </c>
      <c r="F63" s="26">
        <v>142090</v>
      </c>
      <c r="G63" s="26">
        <v>20793</v>
      </c>
      <c r="H63" s="27">
        <v>16</v>
      </c>
      <c r="I63" s="27"/>
      <c r="J63" s="27">
        <v>273</v>
      </c>
      <c r="K63" s="27">
        <v>14</v>
      </c>
      <c r="L63" s="27" t="s">
        <v>53</v>
      </c>
      <c r="M63" s="27" t="s">
        <v>361</v>
      </c>
      <c r="N63" s="27" t="s">
        <v>362</v>
      </c>
      <c r="O63" s="27"/>
      <c r="P63" s="27" t="s">
        <v>149</v>
      </c>
      <c r="Q63" s="27"/>
      <c r="R63" s="27"/>
      <c r="S63" s="27"/>
      <c r="T63" s="27">
        <v>2</v>
      </c>
      <c r="U63" s="28"/>
      <c r="V63" s="27"/>
      <c r="W63" s="27"/>
      <c r="X63" s="27" t="s">
        <v>77</v>
      </c>
      <c r="Y63" s="29">
        <f>2+2</f>
        <v>4</v>
      </c>
      <c r="Z63" s="30"/>
      <c r="AA63" s="31">
        <f>+Y63+1+1</f>
        <v>6</v>
      </c>
      <c r="AB63" s="30"/>
      <c r="AC63" s="31">
        <f>+Y63*2</f>
        <v>8</v>
      </c>
      <c r="AD63" s="30"/>
      <c r="AE63" s="27"/>
      <c r="AF63" s="27"/>
      <c r="AG63" s="27">
        <f>82.12+6.86/2+37.21+1.53/2</f>
        <v>123.52500000000002</v>
      </c>
      <c r="AH63" s="27"/>
      <c r="AI63" s="28"/>
      <c r="AJ63" s="32"/>
      <c r="AK63" s="33">
        <v>303.99</v>
      </c>
      <c r="AL63" s="33">
        <f>+(82.12+6.86+37.21+1.53)/AK63</f>
        <v>0.42014539951972102</v>
      </c>
      <c r="AM63" s="33">
        <f>+AG63/AK63</f>
        <v>0.40634560347379856</v>
      </c>
      <c r="AN63" s="33"/>
      <c r="AO63" s="33">
        <f>+(2*24483+19581*8+6*14688+9793*4)/20*AG63</f>
        <v>2056160.0925000005</v>
      </c>
      <c r="AP63" s="34">
        <v>30284.28</v>
      </c>
      <c r="AQ63" s="33" t="s">
        <v>363</v>
      </c>
      <c r="AR63" s="34" t="s">
        <v>364</v>
      </c>
      <c r="AS63" s="35">
        <v>44642</v>
      </c>
      <c r="AT63" s="36"/>
      <c r="AU63" s="37">
        <v>44638</v>
      </c>
      <c r="AV63" s="19"/>
      <c r="AW63" s="19"/>
      <c r="AX63" s="19"/>
      <c r="AY63" s="19"/>
      <c r="AZ63" s="19"/>
      <c r="BA63" s="19"/>
      <c r="BB63" s="19"/>
      <c r="BC63" s="19"/>
      <c r="BD63" s="19"/>
      <c r="BE63" s="19"/>
      <c r="BF63" s="19"/>
      <c r="BG63" s="20"/>
      <c r="BH63" s="20"/>
      <c r="BI63" s="20"/>
      <c r="BJ63" s="20"/>
      <c r="BK63" s="20"/>
      <c r="BL63" s="20"/>
      <c r="BM63" s="20"/>
      <c r="BN63" s="20"/>
      <c r="BO63" s="20"/>
      <c r="BP63" s="20"/>
      <c r="BQ63" s="20"/>
      <c r="BR63" s="20"/>
      <c r="BS63" s="20"/>
      <c r="BT63" s="20"/>
      <c r="BU63" s="20"/>
      <c r="BV63" s="20"/>
      <c r="IP63" s="20"/>
      <c r="IQ63" s="20"/>
      <c r="IR63" s="20"/>
      <c r="IS63" s="20"/>
      <c r="IT63" s="20"/>
      <c r="IU63" s="20"/>
      <c r="IV63" s="20"/>
    </row>
    <row r="64" spans="1:256" s="21" customFormat="1" ht="38.25">
      <c r="A64" s="22"/>
      <c r="B64" s="23">
        <v>59</v>
      </c>
      <c r="C64" s="24" t="s">
        <v>365</v>
      </c>
      <c r="D64" s="25">
        <v>44605</v>
      </c>
      <c r="E64" s="26">
        <v>-6955</v>
      </c>
      <c r="F64" s="26">
        <v>138553</v>
      </c>
      <c r="G64" s="26">
        <v>8500</v>
      </c>
      <c r="H64" s="27"/>
      <c r="I64" s="27"/>
      <c r="J64" s="27">
        <v>341</v>
      </c>
      <c r="K64" s="27">
        <v>2</v>
      </c>
      <c r="L64" s="27" t="s">
        <v>107</v>
      </c>
      <c r="M64" s="27" t="s">
        <v>366</v>
      </c>
      <c r="N64" s="27" t="s">
        <v>367</v>
      </c>
      <c r="O64" s="27"/>
      <c r="P64" s="27" t="s">
        <v>368</v>
      </c>
      <c r="Q64" s="27" t="s">
        <v>368</v>
      </c>
      <c r="R64" s="27" t="s">
        <v>368</v>
      </c>
      <c r="S64" s="27" t="s">
        <v>83</v>
      </c>
      <c r="T64" s="27"/>
      <c r="U64" s="28">
        <v>1</v>
      </c>
      <c r="V64" s="27"/>
      <c r="W64" s="27"/>
      <c r="X64" s="27" t="s">
        <v>65</v>
      </c>
      <c r="Y64" s="29"/>
      <c r="Z64" s="30">
        <v>2</v>
      </c>
      <c r="AA64" s="31"/>
      <c r="AB64" s="30">
        <f>+Z64+1</f>
        <v>3</v>
      </c>
      <c r="AC64" s="31"/>
      <c r="AD64" s="30">
        <f>+Z64*2</f>
        <v>4</v>
      </c>
      <c r="AE64" s="27"/>
      <c r="AF64" s="27"/>
      <c r="AG64" s="27"/>
      <c r="AH64" s="27"/>
      <c r="AI64" s="28">
        <f>60+7.14/2</f>
        <v>63.57</v>
      </c>
      <c r="AJ64" s="32"/>
      <c r="AK64" s="33">
        <v>302.23</v>
      </c>
      <c r="AL64" s="33">
        <f>+(60+7.14)/AK64</f>
        <v>0.22214869470270984</v>
      </c>
      <c r="AM64" s="33">
        <f>+AI64/AK64</f>
        <v>0.21033649869304832</v>
      </c>
      <c r="AN64" s="33"/>
      <c r="AO64" s="33">
        <f>+(24483+7*19581+9*14688+9793*4)/21*AI64</f>
        <v>1007778.237142857</v>
      </c>
      <c r="AP64" s="34">
        <v>7021.07</v>
      </c>
      <c r="AQ64" s="33" t="s">
        <v>71</v>
      </c>
      <c r="AR64" s="34" t="s">
        <v>369</v>
      </c>
      <c r="AS64" s="35">
        <v>44649</v>
      </c>
      <c r="AT64" s="35">
        <v>44994</v>
      </c>
      <c r="AU64" s="37" t="s">
        <v>370</v>
      </c>
      <c r="AV64" s="19"/>
      <c r="AW64" s="19"/>
      <c r="AX64" s="19"/>
      <c r="AY64" s="19"/>
      <c r="AZ64" s="19"/>
      <c r="BA64" s="19"/>
      <c r="BB64" s="19"/>
      <c r="BC64" s="19"/>
      <c r="BD64" s="19"/>
      <c r="BE64" s="19"/>
      <c r="BF64" s="19"/>
      <c r="BG64" s="20"/>
      <c r="BH64" s="20"/>
      <c r="BI64" s="20"/>
      <c r="BJ64" s="20"/>
      <c r="BK64" s="20"/>
      <c r="BL64" s="20"/>
      <c r="BM64" s="20"/>
      <c r="BN64" s="20"/>
      <c r="BO64" s="20"/>
      <c r="BP64" s="20"/>
      <c r="BQ64" s="20"/>
      <c r="BR64" s="20"/>
      <c r="BS64" s="20"/>
      <c r="BT64" s="20"/>
      <c r="BU64" s="20"/>
      <c r="BV64" s="20"/>
      <c r="IP64" s="20"/>
      <c r="IQ64" s="20"/>
      <c r="IR64" s="20"/>
      <c r="IS64" s="20"/>
      <c r="IT64" s="20"/>
      <c r="IU64" s="20"/>
      <c r="IV64" s="20"/>
    </row>
    <row r="65" spans="1:256" s="21" customFormat="1" ht="63.75">
      <c r="A65" s="22"/>
      <c r="B65" s="38">
        <v>60</v>
      </c>
      <c r="C65" s="39">
        <v>537576</v>
      </c>
      <c r="D65" s="25">
        <v>44524</v>
      </c>
      <c r="E65" s="26">
        <v>-16133</v>
      </c>
      <c r="F65" s="26">
        <v>101021</v>
      </c>
      <c r="G65" s="26">
        <v>31166</v>
      </c>
      <c r="H65" s="27">
        <v>2</v>
      </c>
      <c r="I65" s="27"/>
      <c r="J65" s="27"/>
      <c r="K65" s="27">
        <v>14</v>
      </c>
      <c r="L65" s="27" t="s">
        <v>278</v>
      </c>
      <c r="M65" s="27" t="s">
        <v>371</v>
      </c>
      <c r="N65" s="27" t="s">
        <v>372</v>
      </c>
      <c r="O65" s="27" t="s">
        <v>373</v>
      </c>
      <c r="P65" s="27" t="s">
        <v>115</v>
      </c>
      <c r="Q65" s="27"/>
      <c r="R65" s="27"/>
      <c r="S65" s="27"/>
      <c r="T65" s="27">
        <v>1</v>
      </c>
      <c r="U65" s="28">
        <v>1</v>
      </c>
      <c r="V65" s="27"/>
      <c r="W65" s="27"/>
      <c r="X65" s="27" t="s">
        <v>374</v>
      </c>
      <c r="Y65" s="29"/>
      <c r="Z65" s="30"/>
      <c r="AA65" s="31"/>
      <c r="AB65" s="30"/>
      <c r="AC65" s="31"/>
      <c r="AD65" s="30"/>
      <c r="AE65" s="27"/>
      <c r="AF65" s="27"/>
      <c r="AG65" s="27"/>
      <c r="AH65" s="27"/>
      <c r="AI65" s="28"/>
      <c r="AJ65" s="32"/>
      <c r="AK65" s="33"/>
      <c r="AL65" s="33"/>
      <c r="AM65" s="33"/>
      <c r="AN65" s="33"/>
      <c r="AO65" s="33"/>
      <c r="AP65" s="34"/>
      <c r="AQ65" s="33"/>
      <c r="AR65" s="34" t="s">
        <v>375</v>
      </c>
      <c r="AS65" s="35"/>
      <c r="AT65" s="36"/>
      <c r="AU65" s="43"/>
      <c r="AV65" s="19"/>
      <c r="AW65" s="19"/>
      <c r="AX65" s="19"/>
      <c r="AY65" s="19"/>
      <c r="AZ65" s="19"/>
      <c r="BA65" s="19"/>
      <c r="BB65" s="19"/>
      <c r="BC65" s="19"/>
      <c r="BD65" s="19"/>
      <c r="BE65" s="19"/>
      <c r="BF65" s="19"/>
      <c r="BG65" s="20"/>
      <c r="BH65" s="20"/>
      <c r="BI65" s="20"/>
      <c r="BJ65" s="20"/>
      <c r="BK65" s="20"/>
      <c r="BL65" s="20"/>
      <c r="BM65" s="20"/>
      <c r="BN65" s="20"/>
      <c r="BO65" s="20"/>
      <c r="BP65" s="20"/>
      <c r="BQ65" s="20"/>
      <c r="BR65" s="20"/>
      <c r="BS65" s="20"/>
      <c r="BT65" s="20"/>
      <c r="BU65" s="20"/>
      <c r="BV65" s="20"/>
      <c r="IP65" s="20"/>
      <c r="IQ65" s="20"/>
      <c r="IR65" s="20"/>
      <c r="IS65" s="20"/>
      <c r="IT65" s="20"/>
      <c r="IU65" s="20"/>
      <c r="IV65" s="20"/>
    </row>
    <row r="66" spans="1:256" s="21" customFormat="1" ht="51">
      <c r="A66" s="22"/>
      <c r="B66" s="38">
        <v>61</v>
      </c>
      <c r="C66" s="39">
        <v>540184</v>
      </c>
      <c r="D66" s="100">
        <v>44614</v>
      </c>
      <c r="E66" s="26">
        <v>3732</v>
      </c>
      <c r="F66" s="26">
        <v>1899</v>
      </c>
      <c r="G66" s="26">
        <v>2347</v>
      </c>
      <c r="H66" s="27"/>
      <c r="I66" s="27"/>
      <c r="J66" s="101">
        <v>93</v>
      </c>
      <c r="K66" s="27">
        <v>10</v>
      </c>
      <c r="L66" s="101" t="s">
        <v>60</v>
      </c>
      <c r="M66" s="27" t="s">
        <v>376</v>
      </c>
      <c r="N66" s="102" t="s">
        <v>377</v>
      </c>
      <c r="O66" s="27"/>
      <c r="P66" s="102" t="s">
        <v>377</v>
      </c>
      <c r="Q66" s="102" t="s">
        <v>377</v>
      </c>
      <c r="R66" s="102" t="s">
        <v>377</v>
      </c>
      <c r="S66" s="27" t="s">
        <v>378</v>
      </c>
      <c r="T66" s="27"/>
      <c r="U66" s="28">
        <v>1</v>
      </c>
      <c r="V66" s="27"/>
      <c r="W66" s="27"/>
      <c r="X66" s="27" t="s">
        <v>65</v>
      </c>
      <c r="Y66" s="29"/>
      <c r="Z66" s="30">
        <v>2</v>
      </c>
      <c r="AA66" s="31"/>
      <c r="AB66" s="30">
        <f>1+Z66</f>
        <v>3</v>
      </c>
      <c r="AC66" s="31"/>
      <c r="AD66" s="30">
        <f>+Z66*2</f>
        <v>4</v>
      </c>
      <c r="AE66" s="27"/>
      <c r="AF66" s="27"/>
      <c r="AG66" s="27"/>
      <c r="AH66" s="27"/>
      <c r="AI66" s="28">
        <f>59.31+1.38/2</f>
        <v>60</v>
      </c>
      <c r="AJ66" s="32"/>
      <c r="AK66" s="33">
        <v>220</v>
      </c>
      <c r="AL66" s="33">
        <f>+(59.31+1.38)/AK66</f>
        <v>0.27586363636363637</v>
      </c>
      <c r="AM66" s="33">
        <f>+AI66/AK66</f>
        <v>0.27272727272727271</v>
      </c>
      <c r="AN66" s="33"/>
      <c r="AO66" s="33">
        <f>+(3*19581+11*14688+5*9793)/19*AI66</f>
        <v>850345.26315789472</v>
      </c>
      <c r="AP66" s="34">
        <v>4733.68</v>
      </c>
      <c r="AQ66" s="33" t="s">
        <v>71</v>
      </c>
      <c r="AR66" s="34" t="s">
        <v>379</v>
      </c>
      <c r="AS66" s="35">
        <v>44650</v>
      </c>
      <c r="AT66" s="36"/>
      <c r="AU66" s="37" t="s">
        <v>380</v>
      </c>
      <c r="AV66" s="19"/>
      <c r="AW66" s="19"/>
      <c r="AX66" s="19"/>
      <c r="AY66" s="19"/>
      <c r="AZ66" s="19"/>
      <c r="BA66" s="19"/>
      <c r="BB66" s="19"/>
      <c r="BC66" s="19"/>
      <c r="BD66" s="19"/>
      <c r="BE66" s="19"/>
      <c r="BF66" s="19"/>
      <c r="BG66" s="20"/>
      <c r="BH66" s="20"/>
      <c r="BI66" s="20"/>
      <c r="BJ66" s="20"/>
      <c r="BK66" s="20"/>
      <c r="BL66" s="20"/>
      <c r="BM66" s="20"/>
      <c r="BN66" s="20"/>
      <c r="BO66" s="20"/>
      <c r="BP66" s="20"/>
      <c r="BQ66" s="20"/>
      <c r="BR66" s="20"/>
      <c r="BS66" s="20"/>
      <c r="BT66" s="20"/>
      <c r="BU66" s="20"/>
      <c r="BV66" s="20"/>
      <c r="IP66" s="20"/>
      <c r="IQ66" s="20"/>
      <c r="IR66" s="20"/>
      <c r="IS66" s="20"/>
      <c r="IT66" s="20"/>
      <c r="IU66" s="20"/>
      <c r="IV66" s="20"/>
    </row>
    <row r="67" spans="1:256" s="21" customFormat="1" ht="89.25">
      <c r="A67" s="22"/>
      <c r="B67" s="23">
        <v>63</v>
      </c>
      <c r="C67" s="24">
        <v>533843</v>
      </c>
      <c r="D67" s="25">
        <v>44440</v>
      </c>
      <c r="E67" s="26">
        <v>52442</v>
      </c>
      <c r="F67" s="26">
        <v>162041</v>
      </c>
      <c r="G67" s="26">
        <v>33120</v>
      </c>
      <c r="H67" s="27">
        <v>310</v>
      </c>
      <c r="I67" s="27"/>
      <c r="J67" s="27">
        <v>1</v>
      </c>
      <c r="K67" s="27">
        <v>15</v>
      </c>
      <c r="L67" s="27" t="s">
        <v>129</v>
      </c>
      <c r="M67" s="27" t="s">
        <v>381</v>
      </c>
      <c r="N67" s="27" t="s">
        <v>382</v>
      </c>
      <c r="O67" s="27"/>
      <c r="P67" s="27" t="s">
        <v>56</v>
      </c>
      <c r="Q67" s="27" t="s">
        <v>56</v>
      </c>
      <c r="R67" s="27"/>
      <c r="S67" s="27"/>
      <c r="T67" s="27">
        <v>1</v>
      </c>
      <c r="U67" s="28"/>
      <c r="V67" s="27"/>
      <c r="W67" s="27"/>
      <c r="X67" s="27" t="s">
        <v>65</v>
      </c>
      <c r="Y67" s="29"/>
      <c r="Z67" s="30">
        <v>2</v>
      </c>
      <c r="AA67" s="31"/>
      <c r="AB67" s="30">
        <f>+Z67+1</f>
        <v>3</v>
      </c>
      <c r="AC67" s="31"/>
      <c r="AD67" s="30">
        <f>+Z67*2</f>
        <v>4</v>
      </c>
      <c r="AE67" s="27"/>
      <c r="AF67" s="27"/>
      <c r="AG67" s="27"/>
      <c r="AH67" s="27"/>
      <c r="AI67" s="28">
        <f>112.43+28.86/2</f>
        <v>126.86000000000001</v>
      </c>
      <c r="AJ67" s="32"/>
      <c r="AK67" s="33">
        <v>719.93</v>
      </c>
      <c r="AL67" s="33">
        <f>+(112.43+28.86)/AK67</f>
        <v>0.1962551914769492</v>
      </c>
      <c r="AM67" s="33">
        <f>+AI67/AK67</f>
        <v>0.17621157612545668</v>
      </c>
      <c r="AN67" s="33"/>
      <c r="AO67" s="33">
        <f>+(9*24483+5*19581+14688*3+4*9793)/21*AI67</f>
        <v>2425369.8895238098</v>
      </c>
      <c r="AP67" s="34">
        <v>36360.79</v>
      </c>
      <c r="AQ67" s="33" t="s">
        <v>71</v>
      </c>
      <c r="AR67" s="34" t="s">
        <v>383</v>
      </c>
      <c r="AS67" s="35">
        <v>44650</v>
      </c>
      <c r="AT67" s="36"/>
      <c r="AU67" s="37" t="s">
        <v>384</v>
      </c>
      <c r="AV67" s="19"/>
      <c r="AW67" s="19"/>
      <c r="AX67" s="19"/>
      <c r="AY67" s="19"/>
      <c r="AZ67" s="19"/>
      <c r="BA67" s="19"/>
      <c r="BB67" s="19"/>
      <c r="BC67" s="19"/>
      <c r="BD67" s="19"/>
      <c r="BE67" s="19"/>
      <c r="BF67" s="19"/>
      <c r="BG67" s="20"/>
      <c r="BH67" s="20"/>
      <c r="BI67" s="20"/>
      <c r="BJ67" s="20"/>
      <c r="BK67" s="20"/>
      <c r="BL67" s="20"/>
      <c r="BM67" s="20"/>
      <c r="BN67" s="20"/>
      <c r="BO67" s="20"/>
      <c r="BP67" s="20"/>
      <c r="BQ67" s="20"/>
      <c r="BR67" s="20"/>
      <c r="BS67" s="20"/>
      <c r="BT67" s="20"/>
      <c r="BU67" s="20"/>
      <c r="BV67" s="20"/>
      <c r="IP67" s="20"/>
      <c r="IQ67" s="20"/>
      <c r="IR67" s="20"/>
      <c r="IS67" s="20"/>
      <c r="IT67" s="20"/>
      <c r="IU67" s="20"/>
      <c r="IV67" s="20"/>
    </row>
    <row r="68" spans="1:256" s="21" customFormat="1" ht="51">
      <c r="A68" s="22"/>
      <c r="B68" s="23">
        <v>64</v>
      </c>
      <c r="C68" s="24">
        <v>538209</v>
      </c>
      <c r="D68" s="25">
        <v>44540</v>
      </c>
      <c r="E68" s="26">
        <v>38420</v>
      </c>
      <c r="F68" s="26">
        <v>137448</v>
      </c>
      <c r="G68" s="26">
        <v>8051</v>
      </c>
      <c r="H68" s="27"/>
      <c r="I68" s="27"/>
      <c r="J68" s="27">
        <v>735</v>
      </c>
      <c r="K68" s="27">
        <v>10</v>
      </c>
      <c r="L68" s="27" t="s">
        <v>60</v>
      </c>
      <c r="M68" s="27" t="s">
        <v>385</v>
      </c>
      <c r="N68" s="27" t="s">
        <v>386</v>
      </c>
      <c r="O68" s="27"/>
      <c r="P68" s="27" t="s">
        <v>56</v>
      </c>
      <c r="Q68" s="27"/>
      <c r="R68" s="27"/>
      <c r="S68" s="27"/>
      <c r="T68" s="27">
        <v>5</v>
      </c>
      <c r="U68" s="28"/>
      <c r="V68" s="27"/>
      <c r="W68" s="27"/>
      <c r="X68" s="27" t="s">
        <v>77</v>
      </c>
      <c r="Y68" s="29">
        <f>2+1+1+1+1</f>
        <v>6</v>
      </c>
      <c r="Z68" s="30"/>
      <c r="AA68" s="31">
        <f>+Y68+1+1+1+1</f>
        <v>10</v>
      </c>
      <c r="AB68" s="30"/>
      <c r="AC68" s="31">
        <f>+Y68*2</f>
        <v>12</v>
      </c>
      <c r="AD68" s="30"/>
      <c r="AE68" s="27">
        <f>175+150/2</f>
        <v>250</v>
      </c>
      <c r="AF68" s="27"/>
      <c r="AG68" s="27">
        <f>45.41+48.65+105.62+36.9/2+49.5/2+4.85+9.45-AE68</f>
        <v>7.1800000000000068</v>
      </c>
      <c r="AH68" s="27"/>
      <c r="AI68" s="28"/>
      <c r="AJ68" s="32"/>
      <c r="AK68" s="33">
        <v>333</v>
      </c>
      <c r="AL68" s="33">
        <f>+(49.5+4.85+36.9+45.41+48.65)/AK68</f>
        <v>0.55648648648648646</v>
      </c>
      <c r="AM68" s="33">
        <f>+(AE68+AG68)/AK68</f>
        <v>0.77231231231231234</v>
      </c>
      <c r="AN68" s="33"/>
      <c r="AO68" s="33">
        <f>+(24483*3+19581*4+5*14688+9793*13)/25*AG68</f>
        <v>101244.31840000009</v>
      </c>
      <c r="AP68" s="34">
        <v>53380.77</v>
      </c>
      <c r="AQ68" s="33" t="s">
        <v>51</v>
      </c>
      <c r="AR68" s="34" t="s">
        <v>387</v>
      </c>
      <c r="AS68" s="35">
        <v>44650</v>
      </c>
      <c r="AT68" s="36"/>
      <c r="AU68" s="37">
        <v>44551</v>
      </c>
      <c r="AV68" s="19"/>
      <c r="AW68" s="19"/>
      <c r="AX68" s="19"/>
      <c r="AY68" s="19"/>
      <c r="AZ68" s="19"/>
      <c r="BA68" s="19"/>
      <c r="BB68" s="19"/>
      <c r="BC68" s="19"/>
      <c r="BD68" s="19"/>
      <c r="BE68" s="19"/>
      <c r="BF68" s="19"/>
      <c r="BG68" s="20"/>
      <c r="BH68" s="20"/>
      <c r="BI68" s="20"/>
      <c r="BJ68" s="20"/>
      <c r="BK68" s="20"/>
      <c r="BL68" s="20"/>
      <c r="BM68" s="20"/>
      <c r="BN68" s="20"/>
      <c r="BO68" s="20"/>
      <c r="BP68" s="20"/>
      <c r="BQ68" s="20"/>
      <c r="BR68" s="20"/>
      <c r="BS68" s="20"/>
      <c r="BT68" s="20"/>
      <c r="BU68" s="20"/>
      <c r="BV68" s="20"/>
      <c r="IP68" s="20"/>
      <c r="IQ68" s="20"/>
      <c r="IR68" s="20"/>
      <c r="IS68" s="20"/>
      <c r="IT68" s="20"/>
      <c r="IU68" s="20"/>
      <c r="IV68" s="20"/>
    </row>
    <row r="69" spans="1:256" s="21" customFormat="1" ht="63.75">
      <c r="A69" s="22"/>
      <c r="B69" s="23">
        <v>62</v>
      </c>
      <c r="C69" s="24">
        <v>353057</v>
      </c>
      <c r="D69" s="25">
        <v>44483</v>
      </c>
      <c r="E69" s="26">
        <v>24612</v>
      </c>
      <c r="F69" s="26">
        <v>105142</v>
      </c>
      <c r="G69" s="26">
        <v>3931</v>
      </c>
      <c r="H69" s="27"/>
      <c r="I69" s="27"/>
      <c r="J69" s="27"/>
      <c r="K69" s="27">
        <v>652</v>
      </c>
      <c r="L69" s="27">
        <v>4</v>
      </c>
      <c r="M69" s="27" t="s">
        <v>388</v>
      </c>
      <c r="N69" s="27" t="s">
        <v>389</v>
      </c>
      <c r="O69" s="27"/>
      <c r="P69" s="27" t="s">
        <v>56</v>
      </c>
      <c r="Q69" s="27" t="s">
        <v>56</v>
      </c>
      <c r="R69" s="27" t="s">
        <v>56</v>
      </c>
      <c r="S69" s="27" t="s">
        <v>64</v>
      </c>
      <c r="T69" s="27"/>
      <c r="U69" s="28">
        <v>1</v>
      </c>
      <c r="V69" s="27"/>
      <c r="W69" s="27"/>
      <c r="X69" s="27" t="s">
        <v>65</v>
      </c>
      <c r="Y69" s="29"/>
      <c r="Z69" s="30">
        <v>2</v>
      </c>
      <c r="AA69" s="31"/>
      <c r="AB69" s="30">
        <f>+Z69+1</f>
        <v>3</v>
      </c>
      <c r="AC69" s="31"/>
      <c r="AD69" s="30">
        <f>+Z69*2</f>
        <v>4</v>
      </c>
      <c r="AE69" s="27"/>
      <c r="AF69" s="27"/>
      <c r="AG69" s="27"/>
      <c r="AH69" s="27"/>
      <c r="AI69" s="28">
        <f>100.12+88.28/2</f>
        <v>144.26</v>
      </c>
      <c r="AJ69" s="32"/>
      <c r="AK69" s="33">
        <v>420</v>
      </c>
      <c r="AL69" s="33">
        <f>+(100.12+88.28)/AK69</f>
        <v>0.44857142857142857</v>
      </c>
      <c r="AM69" s="33">
        <f>+AI69/AK69</f>
        <v>0.34347619047619043</v>
      </c>
      <c r="AN69" s="33"/>
      <c r="AO69" s="33">
        <f>+(12*24483+19581*5+5*14688)/AI69</f>
        <v>3224.3241369749067</v>
      </c>
      <c r="AP69" s="34">
        <v>12437.01</v>
      </c>
      <c r="AQ69" s="33" t="s">
        <v>71</v>
      </c>
      <c r="AR69" s="34" t="s">
        <v>390</v>
      </c>
      <c r="AS69" s="35">
        <v>44650</v>
      </c>
      <c r="AT69" s="36"/>
      <c r="AU69" s="37" t="s">
        <v>391</v>
      </c>
      <c r="AV69" s="19"/>
      <c r="AW69" s="19"/>
      <c r="AX69" s="19"/>
      <c r="AY69" s="19"/>
      <c r="AZ69" s="19"/>
      <c r="BA69" s="19"/>
      <c r="BB69" s="19"/>
      <c r="BC69" s="19"/>
      <c r="BD69" s="19"/>
      <c r="BE69" s="19"/>
      <c r="BF69" s="19"/>
      <c r="BG69" s="20"/>
      <c r="BH69" s="20"/>
      <c r="BI69" s="20"/>
      <c r="BJ69" s="20"/>
      <c r="BK69" s="20"/>
      <c r="BL69" s="20"/>
      <c r="BM69" s="20"/>
      <c r="BN69" s="20"/>
      <c r="BO69" s="20"/>
      <c r="BP69" s="20"/>
      <c r="BQ69" s="20"/>
      <c r="BR69" s="20"/>
      <c r="BS69" s="20"/>
      <c r="BT69" s="20"/>
      <c r="BU69" s="20"/>
      <c r="BV69" s="20"/>
      <c r="IP69" s="20"/>
      <c r="IQ69" s="20"/>
      <c r="IR69" s="20"/>
      <c r="IS69" s="20"/>
      <c r="IT69" s="20"/>
      <c r="IU69" s="20"/>
      <c r="IV69" s="20"/>
    </row>
    <row r="70" spans="1:256" s="21" customFormat="1" ht="127.5">
      <c r="A70" s="22"/>
      <c r="B70" s="23">
        <v>67</v>
      </c>
      <c r="C70" s="24">
        <v>540586</v>
      </c>
      <c r="D70" s="25">
        <v>44630</v>
      </c>
      <c r="E70" s="26">
        <v>-37978</v>
      </c>
      <c r="F70" s="26">
        <v>135591</v>
      </c>
      <c r="G70" s="26">
        <v>31474</v>
      </c>
      <c r="H70" s="27">
        <v>324</v>
      </c>
      <c r="I70" s="27"/>
      <c r="J70" s="27"/>
      <c r="K70" s="27">
        <v>26</v>
      </c>
      <c r="L70" s="27" t="s">
        <v>129</v>
      </c>
      <c r="M70" s="27" t="s">
        <v>392</v>
      </c>
      <c r="N70" s="27" t="s">
        <v>393</v>
      </c>
      <c r="O70" s="27"/>
      <c r="P70" s="27" t="s">
        <v>394</v>
      </c>
      <c r="Q70" s="27"/>
      <c r="R70" s="27"/>
      <c r="S70" s="27"/>
      <c r="T70" s="27">
        <f>4+3</f>
        <v>7</v>
      </c>
      <c r="U70" s="28"/>
      <c r="V70" s="27"/>
      <c r="W70" s="27"/>
      <c r="X70" s="27" t="s">
        <v>395</v>
      </c>
      <c r="Y70" s="29">
        <f>3+2+1+1</f>
        <v>7</v>
      </c>
      <c r="Z70" s="30"/>
      <c r="AA70" s="31">
        <f>+Y70+2+1+1</f>
        <v>11</v>
      </c>
      <c r="AB70" s="30"/>
      <c r="AC70" s="31">
        <f>+Y70*2</f>
        <v>14</v>
      </c>
      <c r="AD70" s="30"/>
      <c r="AE70" s="27"/>
      <c r="AF70" s="27"/>
      <c r="AG70" s="27">
        <f>201.14+8.24/2+17.93/2</f>
        <v>214.22499999999999</v>
      </c>
      <c r="AH70" s="27">
        <f>+(692.83+119.52/2)-AG70</f>
        <v>538.36500000000001</v>
      </c>
      <c r="AI70" s="28"/>
      <c r="AJ70" s="32"/>
      <c r="AK70" s="33">
        <v>5976.4</v>
      </c>
      <c r="AL70" s="33"/>
      <c r="AM70" s="33">
        <f>+(AG70+AH70)/AK70</f>
        <v>0.12592697945251324</v>
      </c>
      <c r="AN70" s="33"/>
      <c r="AO70" s="33">
        <f>+(AH70*19581)+((2*24483+7*19581+3*14688+9*9793)/21*AG70)+500000</f>
        <v>14288090.715</v>
      </c>
      <c r="AP70" s="34">
        <v>222368.44</v>
      </c>
      <c r="AQ70" s="33" t="s">
        <v>36</v>
      </c>
      <c r="AR70" s="34" t="s">
        <v>396</v>
      </c>
      <c r="AS70" s="35">
        <v>44655</v>
      </c>
      <c r="AT70" s="36"/>
      <c r="AU70" s="37">
        <v>44645</v>
      </c>
      <c r="AV70" s="19"/>
      <c r="AW70" s="19"/>
      <c r="AX70" s="19"/>
      <c r="AY70" s="19"/>
      <c r="AZ70" s="19"/>
      <c r="BA70" s="19"/>
      <c r="BB70" s="19"/>
      <c r="BC70" s="19"/>
      <c r="BD70" s="19"/>
      <c r="BE70" s="19"/>
      <c r="BF70" s="19"/>
      <c r="BG70" s="20"/>
      <c r="BH70" s="20"/>
      <c r="BI70" s="20"/>
      <c r="BJ70" s="20"/>
      <c r="BK70" s="20"/>
      <c r="BL70" s="20"/>
      <c r="BM70" s="20"/>
      <c r="BN70" s="20"/>
      <c r="BO70" s="20"/>
      <c r="BP70" s="20"/>
      <c r="BQ70" s="20"/>
      <c r="BR70" s="20"/>
      <c r="BS70" s="20"/>
      <c r="BT70" s="20"/>
      <c r="BU70" s="20"/>
      <c r="BV70" s="20"/>
      <c r="IP70" s="20"/>
      <c r="IQ70" s="20"/>
      <c r="IR70" s="20"/>
      <c r="IS70" s="20"/>
      <c r="IT70" s="20"/>
      <c r="IU70" s="20"/>
      <c r="IV70" s="20"/>
    </row>
    <row r="71" spans="1:256" s="21" customFormat="1" ht="127.5">
      <c r="A71" s="22"/>
      <c r="B71" s="23">
        <v>65</v>
      </c>
      <c r="C71" s="24">
        <v>538351</v>
      </c>
      <c r="D71" s="25">
        <v>44549</v>
      </c>
      <c r="E71" s="26">
        <v>22281</v>
      </c>
      <c r="F71" s="26">
        <v>111294</v>
      </c>
      <c r="G71" s="26">
        <v>4854</v>
      </c>
      <c r="H71" s="27"/>
      <c r="I71" s="27"/>
      <c r="J71" s="27">
        <v>403</v>
      </c>
      <c r="K71" s="27">
        <v>13</v>
      </c>
      <c r="L71" s="27" t="s">
        <v>38</v>
      </c>
      <c r="M71" s="27" t="s">
        <v>397</v>
      </c>
      <c r="N71" s="27" t="s">
        <v>398</v>
      </c>
      <c r="O71" s="27"/>
      <c r="P71" s="27" t="s">
        <v>399</v>
      </c>
      <c r="Q71" s="27"/>
      <c r="R71" s="27"/>
      <c r="S71" s="27"/>
      <c r="T71" s="27"/>
      <c r="U71" s="28"/>
      <c r="V71" s="27"/>
      <c r="W71" s="27"/>
      <c r="X71" s="27" t="s">
        <v>77</v>
      </c>
      <c r="Y71" s="29"/>
      <c r="Z71" s="30"/>
      <c r="AA71" s="31"/>
      <c r="AB71" s="30"/>
      <c r="AC71" s="31"/>
      <c r="AD71" s="30"/>
      <c r="AE71" s="27">
        <f>+(26.05/2+65.32+26.05/2+65.32)</f>
        <v>156.69</v>
      </c>
      <c r="AF71" s="27"/>
      <c r="AG71" s="27">
        <f>16.31/2+36.8+39.32/2+16.31/2</f>
        <v>72.77</v>
      </c>
      <c r="AH71" s="27"/>
      <c r="AI71" s="28"/>
      <c r="AJ71" s="32"/>
      <c r="AK71" s="33">
        <v>201.27</v>
      </c>
      <c r="AL71" s="33">
        <f>+(16.31+28.05+65.32+39.32)/AK71</f>
        <v>0.74029910071048832</v>
      </c>
      <c r="AM71" s="33">
        <f>+(AE71+AG71)/AK71</f>
        <v>1.1400606150941519</v>
      </c>
      <c r="AN71" s="33"/>
      <c r="AO71" s="33">
        <f>+(1*24483+4*19581+14688*7+8*9793)/20*AG71</f>
        <v>1033213.9295</v>
      </c>
      <c r="AP71" s="34">
        <v>15111.05</v>
      </c>
      <c r="AQ71" s="33" t="s">
        <v>71</v>
      </c>
      <c r="AR71" s="34" t="s">
        <v>400</v>
      </c>
      <c r="AS71" s="35">
        <v>44651</v>
      </c>
      <c r="AT71" s="36"/>
      <c r="AU71" s="43"/>
      <c r="AV71" s="19"/>
      <c r="AW71" s="19"/>
      <c r="AX71" s="19"/>
      <c r="AY71" s="19"/>
      <c r="AZ71" s="19"/>
      <c r="BA71" s="19"/>
      <c r="BB71" s="19"/>
      <c r="BC71" s="19"/>
      <c r="BD71" s="19"/>
      <c r="BE71" s="19"/>
      <c r="BF71" s="19"/>
      <c r="BG71" s="20"/>
      <c r="BH71" s="20"/>
      <c r="BI71" s="20"/>
      <c r="BJ71" s="20"/>
      <c r="BK71" s="20"/>
      <c r="BL71" s="20"/>
      <c r="BM71" s="20"/>
      <c r="BN71" s="20"/>
      <c r="BO71" s="20"/>
      <c r="BP71" s="20"/>
      <c r="BQ71" s="20"/>
      <c r="BR71" s="20"/>
      <c r="BS71" s="20"/>
      <c r="BT71" s="20"/>
      <c r="BU71" s="20"/>
      <c r="BV71" s="20"/>
      <c r="IP71" s="20"/>
      <c r="IQ71" s="20"/>
      <c r="IR71" s="20"/>
      <c r="IS71" s="20"/>
      <c r="IT71" s="20"/>
      <c r="IU71" s="20"/>
      <c r="IV71" s="20"/>
    </row>
    <row r="72" spans="1:256" s="21" customFormat="1" ht="63.75">
      <c r="A72" s="22"/>
      <c r="B72" s="38">
        <v>66</v>
      </c>
      <c r="C72" s="39" t="s">
        <v>401</v>
      </c>
      <c r="D72" s="25">
        <v>44536</v>
      </c>
      <c r="E72" s="26">
        <v>50698</v>
      </c>
      <c r="F72" s="26">
        <v>160663</v>
      </c>
      <c r="G72" s="26">
        <v>21172</v>
      </c>
      <c r="H72" s="27">
        <v>48</v>
      </c>
      <c r="I72" s="27"/>
      <c r="J72" s="27">
        <v>380</v>
      </c>
      <c r="K72" s="27">
        <v>7</v>
      </c>
      <c r="L72" s="27" t="s">
        <v>74</v>
      </c>
      <c r="M72" s="27" t="s">
        <v>402</v>
      </c>
      <c r="N72" s="27" t="s">
        <v>403</v>
      </c>
      <c r="O72" s="27"/>
      <c r="P72" s="27" t="s">
        <v>49</v>
      </c>
      <c r="Q72" s="27" t="s">
        <v>49</v>
      </c>
      <c r="R72" s="27" t="s">
        <v>49</v>
      </c>
      <c r="S72" s="27" t="s">
        <v>100</v>
      </c>
      <c r="T72" s="27">
        <v>2</v>
      </c>
      <c r="U72" s="28">
        <v>1</v>
      </c>
      <c r="V72" s="27"/>
      <c r="W72" s="27"/>
      <c r="X72" s="27" t="s">
        <v>404</v>
      </c>
      <c r="Y72" s="29">
        <f>1+1</f>
        <v>2</v>
      </c>
      <c r="Z72" s="30"/>
      <c r="AA72" s="31">
        <f>+Y72+1+1</f>
        <v>4</v>
      </c>
      <c r="AB72" s="30"/>
      <c r="AC72" s="31">
        <f>+Y72*2</f>
        <v>4</v>
      </c>
      <c r="AD72" s="30"/>
      <c r="AE72" s="27">
        <v>101.87</v>
      </c>
      <c r="AF72" s="27"/>
      <c r="AG72" s="27"/>
      <c r="AH72" s="27"/>
      <c r="AI72" s="28"/>
      <c r="AJ72" s="32">
        <v>80</v>
      </c>
      <c r="AK72" s="33">
        <v>375</v>
      </c>
      <c r="AL72" s="33">
        <f>+(AE72+AJ72)/AK72</f>
        <v>0.48498666666666668</v>
      </c>
      <c r="AM72" s="33" t="s">
        <v>405</v>
      </c>
      <c r="AN72" s="33"/>
      <c r="AO72" s="33">
        <f>+AJ72*17546</f>
        <v>1403680</v>
      </c>
      <c r="AP72" s="34">
        <v>30679.69</v>
      </c>
      <c r="AQ72" s="33" t="s">
        <v>51</v>
      </c>
      <c r="AR72" s="34" t="s">
        <v>406</v>
      </c>
      <c r="AS72" s="35">
        <v>44651</v>
      </c>
      <c r="AT72" s="36"/>
      <c r="AU72" s="43"/>
      <c r="AV72" s="19"/>
      <c r="AW72" s="19"/>
      <c r="AX72" s="19"/>
      <c r="AY72" s="19"/>
      <c r="AZ72" s="19"/>
      <c r="BA72" s="19"/>
      <c r="BB72" s="19"/>
      <c r="BC72" s="19"/>
      <c r="BD72" s="19"/>
      <c r="BE72" s="19"/>
      <c r="BF72" s="19"/>
      <c r="BG72" s="20"/>
      <c r="BH72" s="20"/>
      <c r="BI72" s="20"/>
      <c r="BJ72" s="20"/>
      <c r="BK72" s="20"/>
      <c r="BL72" s="20"/>
      <c r="BM72" s="20"/>
      <c r="BN72" s="20"/>
      <c r="BO72" s="20"/>
      <c r="BP72" s="20"/>
      <c r="BQ72" s="20"/>
      <c r="BR72" s="20"/>
      <c r="BS72" s="20"/>
      <c r="BT72" s="20"/>
      <c r="BU72" s="20"/>
      <c r="BV72" s="20"/>
      <c r="IP72" s="20"/>
      <c r="IQ72" s="20"/>
      <c r="IR72" s="20"/>
      <c r="IS72" s="20"/>
      <c r="IT72" s="20"/>
      <c r="IU72" s="20"/>
      <c r="IV72" s="20"/>
    </row>
    <row r="73" spans="1:256" s="21" customFormat="1" ht="63.75">
      <c r="A73" s="22"/>
      <c r="B73" s="38">
        <v>69</v>
      </c>
      <c r="C73" s="39" t="s">
        <v>238</v>
      </c>
      <c r="D73" s="25">
        <v>44488</v>
      </c>
      <c r="E73" s="26">
        <v>21094</v>
      </c>
      <c r="F73" s="26">
        <v>110421</v>
      </c>
      <c r="G73" s="26">
        <v>1798</v>
      </c>
      <c r="H73" s="27"/>
      <c r="I73" s="27"/>
      <c r="J73" s="27">
        <v>754</v>
      </c>
      <c r="K73" s="27">
        <v>12</v>
      </c>
      <c r="L73" s="27" t="s">
        <v>60</v>
      </c>
      <c r="M73" s="27" t="s">
        <v>407</v>
      </c>
      <c r="N73" s="27" t="s">
        <v>408</v>
      </c>
      <c r="O73" s="27"/>
      <c r="P73" s="27" t="s">
        <v>409</v>
      </c>
      <c r="Q73" s="27" t="s">
        <v>410</v>
      </c>
      <c r="R73" s="27" t="s">
        <v>411</v>
      </c>
      <c r="S73" s="27" t="s">
        <v>378</v>
      </c>
      <c r="T73" s="27"/>
      <c r="U73" s="28"/>
      <c r="V73" s="27"/>
      <c r="W73" s="27"/>
      <c r="X73" s="27" t="s">
        <v>77</v>
      </c>
      <c r="Y73" s="29"/>
      <c r="Z73" s="30"/>
      <c r="AA73" s="31"/>
      <c r="AB73" s="30"/>
      <c r="AC73" s="31"/>
      <c r="AD73" s="30"/>
      <c r="AE73" s="27"/>
      <c r="AF73" s="27"/>
      <c r="AG73" s="27"/>
      <c r="AH73" s="27"/>
      <c r="AI73" s="28">
        <f>+(29.68+119.95+2.09/2+119.95+2.09/2+70.52+2.09/2+(119.95-(1.57*4.78)/2))</f>
        <v>459.43270000000001</v>
      </c>
      <c r="AJ73" s="32"/>
      <c r="AK73" s="33">
        <v>247.05</v>
      </c>
      <c r="AL73" s="33">
        <f>+(29.68+119.96+2.09-(1.57*4.79))/AK73</f>
        <v>0.58372677595628408</v>
      </c>
      <c r="AM73" s="33">
        <f>+(29.68+119.95+2.09/2+119.95+2.09/2+70.52+2.09/2)/AK73</f>
        <v>1.3893341428860555</v>
      </c>
      <c r="AN73" s="33"/>
      <c r="AO73" s="33"/>
      <c r="AP73" s="34"/>
      <c r="AQ73" s="33" t="s">
        <v>71</v>
      </c>
      <c r="AR73" s="34" t="s">
        <v>412</v>
      </c>
      <c r="AS73" s="35"/>
      <c r="AT73" s="36"/>
      <c r="AU73" s="43"/>
      <c r="AV73" s="19"/>
      <c r="AW73" s="19"/>
      <c r="AX73" s="19"/>
      <c r="AY73" s="19"/>
      <c r="AZ73" s="19"/>
      <c r="BA73" s="19"/>
      <c r="BB73" s="19"/>
      <c r="BC73" s="19"/>
      <c r="BD73" s="19"/>
      <c r="BE73" s="19"/>
      <c r="BF73" s="19"/>
      <c r="BG73" s="20"/>
      <c r="BH73" s="20"/>
      <c r="BI73" s="20"/>
      <c r="BJ73" s="20"/>
      <c r="BK73" s="20"/>
      <c r="BL73" s="20"/>
      <c r="BM73" s="20"/>
      <c r="BN73" s="20"/>
      <c r="BO73" s="20"/>
      <c r="BP73" s="20"/>
      <c r="BQ73" s="20"/>
      <c r="BR73" s="20"/>
      <c r="BS73" s="20"/>
      <c r="BT73" s="20"/>
      <c r="BU73" s="20"/>
      <c r="BV73" s="20"/>
      <c r="IP73" s="20"/>
      <c r="IQ73" s="20"/>
      <c r="IR73" s="20"/>
      <c r="IS73" s="20"/>
      <c r="IT73" s="20"/>
      <c r="IU73" s="20"/>
      <c r="IV73" s="20"/>
    </row>
    <row r="74" spans="1:256" s="21" customFormat="1" ht="38.25">
      <c r="A74" s="22"/>
      <c r="B74" s="23">
        <v>68</v>
      </c>
      <c r="C74" s="24">
        <v>541119</v>
      </c>
      <c r="D74" s="25">
        <v>44648</v>
      </c>
      <c r="E74" s="26">
        <v>53620</v>
      </c>
      <c r="F74" s="26">
        <v>163168</v>
      </c>
      <c r="G74" s="26">
        <v>33313</v>
      </c>
      <c r="H74" s="27">
        <v>289</v>
      </c>
      <c r="I74" s="27"/>
      <c r="J74" s="27"/>
      <c r="K74" s="27">
        <v>16</v>
      </c>
      <c r="L74" s="27" t="s">
        <v>129</v>
      </c>
      <c r="M74" s="27" t="s">
        <v>413</v>
      </c>
      <c r="N74" s="27" t="s">
        <v>414</v>
      </c>
      <c r="O74" s="27"/>
      <c r="P74" s="27" t="s">
        <v>99</v>
      </c>
      <c r="Q74" s="27" t="s">
        <v>99</v>
      </c>
      <c r="R74" s="27" t="s">
        <v>99</v>
      </c>
      <c r="S74" s="27" t="s">
        <v>100</v>
      </c>
      <c r="T74" s="27"/>
      <c r="U74" s="28">
        <v>1</v>
      </c>
      <c r="V74" s="27"/>
      <c r="W74" s="27"/>
      <c r="X74" s="27" t="s">
        <v>65</v>
      </c>
      <c r="Y74" s="29"/>
      <c r="Z74" s="30">
        <v>2</v>
      </c>
      <c r="AA74" s="31"/>
      <c r="AB74" s="30">
        <f>+Z74+1</f>
        <v>3</v>
      </c>
      <c r="AC74" s="31"/>
      <c r="AD74" s="30">
        <f>+Z74*2</f>
        <v>4</v>
      </c>
      <c r="AE74" s="27"/>
      <c r="AF74" s="27"/>
      <c r="AG74" s="27"/>
      <c r="AH74" s="27"/>
      <c r="AI74" s="28">
        <f>65.4+7.1/2</f>
        <v>68.95</v>
      </c>
      <c r="AJ74" s="32"/>
      <c r="AK74" s="33">
        <v>645</v>
      </c>
      <c r="AL74" s="33">
        <f>+(65.4+7.1)/AK74</f>
        <v>0.1124031007751938</v>
      </c>
      <c r="AM74" s="33">
        <f>+AI74/AK74</f>
        <v>0.10689922480620155</v>
      </c>
      <c r="AN74" s="33">
        <f>+(2+2+9+20)/(2+1+3+5)</f>
        <v>3</v>
      </c>
      <c r="AO74" s="33">
        <f>+(11*19581+14688*6+9793*3)/20*AI74</f>
        <v>1147665.8550000002</v>
      </c>
      <c r="AP74" s="34">
        <v>4062.3</v>
      </c>
      <c r="AQ74" s="33" t="s">
        <v>71</v>
      </c>
      <c r="AR74" s="34" t="s">
        <v>415</v>
      </c>
      <c r="AS74" s="35">
        <v>44655</v>
      </c>
      <c r="AT74" s="36"/>
      <c r="AU74" s="37" t="s">
        <v>416</v>
      </c>
      <c r="AV74" s="19"/>
      <c r="AW74" s="19"/>
      <c r="AX74" s="19"/>
      <c r="AY74" s="19"/>
      <c r="AZ74" s="19"/>
      <c r="BA74" s="19"/>
      <c r="BB74" s="19"/>
      <c r="BC74" s="19"/>
      <c r="BD74" s="19"/>
      <c r="BE74" s="19"/>
      <c r="BF74" s="19"/>
      <c r="BG74" s="20"/>
      <c r="BH74" s="20"/>
      <c r="BI74" s="20"/>
      <c r="BJ74" s="20"/>
      <c r="BK74" s="20"/>
      <c r="BL74" s="20"/>
      <c r="BM74" s="20"/>
      <c r="BN74" s="20"/>
      <c r="BO74" s="20"/>
      <c r="BP74" s="20"/>
      <c r="BQ74" s="20"/>
      <c r="BR74" s="20"/>
      <c r="BS74" s="20"/>
      <c r="BT74" s="20"/>
      <c r="BU74" s="20"/>
      <c r="BV74" s="20"/>
      <c r="IP74" s="20"/>
      <c r="IQ74" s="20"/>
      <c r="IR74" s="20"/>
      <c r="IS74" s="20"/>
      <c r="IT74" s="20"/>
      <c r="IU74" s="20"/>
      <c r="IV74" s="20"/>
    </row>
    <row r="75" spans="1:256" s="21" customFormat="1" ht="51">
      <c r="A75" s="22"/>
      <c r="B75" s="64">
        <v>71</v>
      </c>
      <c r="C75" s="65">
        <v>540662</v>
      </c>
      <c r="D75" s="103">
        <v>44634</v>
      </c>
      <c r="E75" s="26">
        <v>57779</v>
      </c>
      <c r="F75" s="26">
        <v>166308</v>
      </c>
      <c r="G75" s="26">
        <v>33760</v>
      </c>
      <c r="H75" s="27"/>
      <c r="I75" s="27"/>
      <c r="J75" s="27">
        <v>7</v>
      </c>
      <c r="K75" s="27">
        <v>6</v>
      </c>
      <c r="L75" s="27" t="s">
        <v>417</v>
      </c>
      <c r="M75" s="27" t="s">
        <v>418</v>
      </c>
      <c r="N75" s="27" t="s">
        <v>419</v>
      </c>
      <c r="O75" s="27"/>
      <c r="P75" s="27" t="s">
        <v>137</v>
      </c>
      <c r="Q75" s="27"/>
      <c r="R75" s="27"/>
      <c r="S75" s="27"/>
      <c r="T75" s="27">
        <v>1</v>
      </c>
      <c r="U75" s="28"/>
      <c r="V75" s="27"/>
      <c r="W75" s="27"/>
      <c r="X75" s="27" t="s">
        <v>65</v>
      </c>
      <c r="Y75" s="29">
        <v>1</v>
      </c>
      <c r="Z75" s="30"/>
      <c r="AA75" s="31">
        <f>+Y75+1</f>
        <v>2</v>
      </c>
      <c r="AB75" s="30"/>
      <c r="AC75" s="31">
        <f>+Y75*2</f>
        <v>2</v>
      </c>
      <c r="AD75" s="30"/>
      <c r="AE75" s="27"/>
      <c r="AF75" s="27"/>
      <c r="AG75" s="27">
        <f>49.82+47.42/2</f>
        <v>73.53</v>
      </c>
      <c r="AH75" s="27"/>
      <c r="AI75" s="28"/>
      <c r="AJ75" s="32"/>
      <c r="AK75" s="33">
        <v>675.48</v>
      </c>
      <c r="AL75" s="33">
        <f>+(49.82+47.42)/AK75</f>
        <v>0.14395688991531949</v>
      </c>
      <c r="AM75" s="33">
        <f>+AG75/AK75</f>
        <v>0.1088559246757861</v>
      </c>
      <c r="AN75" s="33">
        <f>+(3+36+12)/(1+9+2)</f>
        <v>4.25</v>
      </c>
      <c r="AO75" s="33">
        <f>+(24483+19581*4+14688*10+5*9793)/20*AG75</f>
        <v>1097994.078</v>
      </c>
      <c r="AP75" s="34">
        <v>52054.96</v>
      </c>
      <c r="AQ75" s="33" t="s">
        <v>71</v>
      </c>
      <c r="AR75" s="34" t="s">
        <v>420</v>
      </c>
      <c r="AS75" s="35">
        <v>44662</v>
      </c>
      <c r="AT75" s="36"/>
      <c r="AU75" s="37">
        <v>44643</v>
      </c>
      <c r="AV75" s="19"/>
      <c r="AW75" s="19"/>
      <c r="AX75" s="19"/>
      <c r="AY75" s="19"/>
      <c r="AZ75" s="19"/>
      <c r="BA75" s="19"/>
      <c r="BB75" s="19"/>
      <c r="BC75" s="19"/>
      <c r="BD75" s="19"/>
      <c r="BE75" s="19"/>
      <c r="BF75" s="19"/>
      <c r="BG75" s="20"/>
      <c r="BH75" s="20"/>
      <c r="BI75" s="20"/>
      <c r="BJ75" s="20"/>
      <c r="BK75" s="20"/>
      <c r="BL75" s="20"/>
      <c r="BM75" s="20"/>
      <c r="BN75" s="20"/>
      <c r="BO75" s="20"/>
      <c r="BP75" s="20"/>
      <c r="BQ75" s="20"/>
      <c r="BR75" s="20"/>
      <c r="BS75" s="20"/>
      <c r="BT75" s="20"/>
      <c r="BU75" s="20"/>
      <c r="BV75" s="20"/>
      <c r="IP75" s="20"/>
      <c r="IQ75" s="20"/>
      <c r="IR75" s="20"/>
      <c r="IS75" s="20"/>
      <c r="IT75" s="20"/>
      <c r="IU75" s="20"/>
      <c r="IV75" s="20"/>
    </row>
    <row r="76" spans="1:256" s="21" customFormat="1" ht="76.5">
      <c r="A76" s="22"/>
      <c r="B76" s="23">
        <v>74</v>
      </c>
      <c r="C76" s="24">
        <v>538511</v>
      </c>
      <c r="D76" s="25">
        <v>44550</v>
      </c>
      <c r="E76" s="26">
        <v>60230</v>
      </c>
      <c r="F76" s="26">
        <v>168357</v>
      </c>
      <c r="G76" s="26">
        <v>33884</v>
      </c>
      <c r="H76" s="27">
        <v>325</v>
      </c>
      <c r="I76" s="27"/>
      <c r="J76" s="27">
        <v>1</v>
      </c>
      <c r="K76" s="27">
        <v>4</v>
      </c>
      <c r="L76" s="27" t="s">
        <v>129</v>
      </c>
      <c r="M76" s="27" t="s">
        <v>130</v>
      </c>
      <c r="N76" s="27" t="s">
        <v>421</v>
      </c>
      <c r="O76" s="27"/>
      <c r="P76" s="27" t="s">
        <v>115</v>
      </c>
      <c r="Q76" s="27" t="s">
        <v>115</v>
      </c>
      <c r="R76" s="27" t="s">
        <v>115</v>
      </c>
      <c r="S76" s="27" t="s">
        <v>100</v>
      </c>
      <c r="T76" s="27"/>
      <c r="U76" s="28">
        <v>1</v>
      </c>
      <c r="V76" s="27"/>
      <c r="W76" s="27"/>
      <c r="X76" s="27" t="s">
        <v>65</v>
      </c>
      <c r="Y76" s="29"/>
      <c r="Z76" s="30">
        <v>2</v>
      </c>
      <c r="AA76" s="31"/>
      <c r="AB76" s="30">
        <f>+Z76+1</f>
        <v>3</v>
      </c>
      <c r="AC76" s="31"/>
      <c r="AD76" s="30">
        <f>+Z76*2</f>
        <v>4</v>
      </c>
      <c r="AE76" s="27"/>
      <c r="AF76" s="27"/>
      <c r="AG76" s="27"/>
      <c r="AH76" s="27"/>
      <c r="AI76" s="28">
        <v>59.9</v>
      </c>
      <c r="AJ76" s="32"/>
      <c r="AK76" s="33">
        <v>799.95</v>
      </c>
      <c r="AL76" s="33">
        <f>+AI76/AK76</f>
        <v>7.4879679979998739E-2</v>
      </c>
      <c r="AM76" s="33">
        <f>+AI76/AK76</f>
        <v>7.4879679979998739E-2</v>
      </c>
      <c r="AN76" s="33"/>
      <c r="AO76" s="33">
        <f>+(19581*4+11*14688+9793*4)/19*AI76</f>
        <v>879785.97894736845</v>
      </c>
      <c r="AP76" s="34">
        <v>3237.7</v>
      </c>
      <c r="AQ76" s="33" t="s">
        <v>71</v>
      </c>
      <c r="AR76" s="34" t="s">
        <v>422</v>
      </c>
      <c r="AS76" s="35">
        <v>44664</v>
      </c>
      <c r="AT76" s="36"/>
      <c r="AU76" s="43" t="s">
        <v>423</v>
      </c>
      <c r="AV76" s="19"/>
      <c r="AW76" s="19"/>
      <c r="AX76" s="19"/>
      <c r="AY76" s="19"/>
      <c r="AZ76" s="19"/>
      <c r="BA76" s="19"/>
      <c r="BB76" s="19"/>
      <c r="BC76" s="19"/>
      <c r="BD76" s="19"/>
      <c r="BE76" s="19"/>
      <c r="BF76" s="19"/>
      <c r="BG76" s="20"/>
      <c r="BH76" s="20"/>
      <c r="BI76" s="20"/>
      <c r="BJ76" s="20"/>
      <c r="BK76" s="20"/>
      <c r="BL76" s="20"/>
      <c r="BM76" s="20"/>
      <c r="BN76" s="20"/>
      <c r="BO76" s="20"/>
      <c r="BP76" s="20"/>
      <c r="BQ76" s="20"/>
      <c r="BR76" s="20"/>
      <c r="BS76" s="20"/>
      <c r="BT76" s="20"/>
      <c r="BU76" s="20"/>
      <c r="BV76" s="20"/>
      <c r="IP76" s="20"/>
      <c r="IQ76" s="20"/>
      <c r="IR76" s="20"/>
      <c r="IS76" s="20"/>
      <c r="IT76" s="20"/>
      <c r="IU76" s="20"/>
      <c r="IV76" s="20"/>
    </row>
    <row r="77" spans="1:256" s="21" customFormat="1" ht="38.25">
      <c r="A77" s="22"/>
      <c r="B77" s="23">
        <v>73</v>
      </c>
      <c r="C77" s="24" t="s">
        <v>424</v>
      </c>
      <c r="D77" s="25">
        <v>44579</v>
      </c>
      <c r="E77" s="26">
        <v>-46840</v>
      </c>
      <c r="F77" s="26">
        <v>141608</v>
      </c>
      <c r="G77" s="26">
        <v>32065</v>
      </c>
      <c r="H77" s="27">
        <v>327</v>
      </c>
      <c r="I77" s="27"/>
      <c r="J77" s="27">
        <v>6</v>
      </c>
      <c r="K77" s="27">
        <v>1</v>
      </c>
      <c r="L77" s="27" t="s">
        <v>74</v>
      </c>
      <c r="M77" s="27" t="s">
        <v>425</v>
      </c>
      <c r="N77" s="27" t="s">
        <v>426</v>
      </c>
      <c r="O77" s="27"/>
      <c r="P77" s="27" t="s">
        <v>132</v>
      </c>
      <c r="Q77" s="27" t="s">
        <v>132</v>
      </c>
      <c r="R77" s="27" t="s">
        <v>132</v>
      </c>
      <c r="S77" s="27" t="s">
        <v>427</v>
      </c>
      <c r="T77" s="27"/>
      <c r="U77" s="28">
        <v>1</v>
      </c>
      <c r="V77" s="27"/>
      <c r="W77" s="27"/>
      <c r="X77" s="27" t="s">
        <v>65</v>
      </c>
      <c r="Y77" s="29"/>
      <c r="Z77" s="30">
        <v>3</v>
      </c>
      <c r="AA77" s="31"/>
      <c r="AB77" s="30">
        <f>+Z77+1</f>
        <v>4</v>
      </c>
      <c r="AC77" s="31"/>
      <c r="AD77" s="30">
        <f>+Z77*2</f>
        <v>6</v>
      </c>
      <c r="AE77" s="27"/>
      <c r="AF77" s="27"/>
      <c r="AG77" s="27"/>
      <c r="AH77" s="27"/>
      <c r="AI77" s="28">
        <f>91.82+19.76/2</f>
        <v>101.69999999999999</v>
      </c>
      <c r="AJ77" s="32"/>
      <c r="AK77" s="33">
        <v>310.3</v>
      </c>
      <c r="AL77" s="33">
        <f>+(91.82+19.76)/AK77</f>
        <v>0.3595874959716403</v>
      </c>
      <c r="AM77" s="33">
        <f>+AI77/AK77</f>
        <v>0.32774734128262967</v>
      </c>
      <c r="AN77" s="33"/>
      <c r="AO77" s="33">
        <f>+(7*24483+6*19581+8*14688)/21*AI77</f>
        <v>1967996.6999999997</v>
      </c>
      <c r="AP77" s="34">
        <v>7976.39</v>
      </c>
      <c r="AQ77" s="33" t="s">
        <v>71</v>
      </c>
      <c r="AR77" s="34" t="s">
        <v>428</v>
      </c>
      <c r="AS77" s="35">
        <v>44663</v>
      </c>
      <c r="AT77" s="36"/>
      <c r="AU77" s="37">
        <v>44663</v>
      </c>
      <c r="AV77" s="19"/>
      <c r="AW77" s="19"/>
      <c r="AX77" s="19"/>
      <c r="AY77" s="19"/>
      <c r="AZ77" s="19"/>
      <c r="BA77" s="19"/>
      <c r="BB77" s="19"/>
      <c r="BC77" s="19"/>
      <c r="BD77" s="19"/>
      <c r="BE77" s="19"/>
      <c r="BF77" s="19"/>
      <c r="BG77" s="20"/>
      <c r="BH77" s="20"/>
      <c r="BI77" s="20"/>
      <c r="BJ77" s="20"/>
      <c r="BK77" s="20"/>
      <c r="BL77" s="20"/>
      <c r="BM77" s="20"/>
      <c r="BN77" s="20"/>
      <c r="BO77" s="20"/>
      <c r="BP77" s="20"/>
      <c r="BQ77" s="20"/>
      <c r="BR77" s="20"/>
      <c r="BS77" s="20"/>
      <c r="BT77" s="20"/>
      <c r="BU77" s="20"/>
      <c r="BV77" s="20"/>
      <c r="IP77" s="20"/>
      <c r="IQ77" s="20"/>
      <c r="IR77" s="20"/>
      <c r="IS77" s="20"/>
      <c r="IT77" s="20"/>
      <c r="IU77" s="20"/>
      <c r="IV77" s="20"/>
    </row>
    <row r="78" spans="1:256" s="21" customFormat="1" ht="63.75">
      <c r="A78" s="22"/>
      <c r="B78" s="23">
        <v>70</v>
      </c>
      <c r="C78" s="24">
        <v>540206</v>
      </c>
      <c r="D78" s="25">
        <v>44615</v>
      </c>
      <c r="E78" s="26">
        <v>57661</v>
      </c>
      <c r="F78" s="26">
        <v>166186</v>
      </c>
      <c r="G78" s="26">
        <v>33726</v>
      </c>
      <c r="H78" s="27">
        <v>327</v>
      </c>
      <c r="I78" s="27"/>
      <c r="J78" s="27"/>
      <c r="K78" s="27">
        <v>9</v>
      </c>
      <c r="L78" s="27" t="s">
        <v>74</v>
      </c>
      <c r="M78" s="27" t="s">
        <v>429</v>
      </c>
      <c r="N78" s="27" t="s">
        <v>430</v>
      </c>
      <c r="O78" s="27"/>
      <c r="P78" s="27" t="s">
        <v>191</v>
      </c>
      <c r="Q78" s="27" t="s">
        <v>191</v>
      </c>
      <c r="R78" s="27" t="s">
        <v>191</v>
      </c>
      <c r="S78" s="27" t="s">
        <v>161</v>
      </c>
      <c r="T78" s="27">
        <v>1</v>
      </c>
      <c r="U78" s="28">
        <v>1</v>
      </c>
      <c r="V78" s="27"/>
      <c r="W78" s="27"/>
      <c r="X78" s="27" t="s">
        <v>65</v>
      </c>
      <c r="Y78" s="29">
        <v>1</v>
      </c>
      <c r="Z78" s="30">
        <v>2</v>
      </c>
      <c r="AA78" s="31"/>
      <c r="AB78" s="30">
        <f>+Z78+1</f>
        <v>3</v>
      </c>
      <c r="AC78" s="31">
        <f>+Y78*2</f>
        <v>2</v>
      </c>
      <c r="AD78" s="30">
        <f>+Z78*2</f>
        <v>4</v>
      </c>
      <c r="AE78" s="27"/>
      <c r="AF78" s="27"/>
      <c r="AG78" s="27">
        <f>44.78+24.07/2</f>
        <v>56.814999999999998</v>
      </c>
      <c r="AH78" s="27"/>
      <c r="AI78" s="28">
        <v>59.97</v>
      </c>
      <c r="AJ78" s="32"/>
      <c r="AK78" s="33">
        <v>626.25</v>
      </c>
      <c r="AL78" s="33">
        <f>+(44.76+24.07+57.97)/AK78</f>
        <v>0.2024750499001996</v>
      </c>
      <c r="AM78" s="33">
        <f>+(AG78+AI78)/AK78</f>
        <v>0.18648303393213572</v>
      </c>
      <c r="AN78" s="33">
        <f>+(2+28+5)/(1+7+1)</f>
        <v>3.8888888888888888</v>
      </c>
      <c r="AO78" s="33">
        <f>+(3*24483+19581*3+8*14688+9793*6)/20*(AI78+AG78)</f>
        <v>1801140.0194999999</v>
      </c>
      <c r="AP78" s="34">
        <v>18765.18</v>
      </c>
      <c r="AQ78" s="33" t="s">
        <v>71</v>
      </c>
      <c r="AR78" s="34" t="s">
        <v>431</v>
      </c>
      <c r="AS78" s="35">
        <v>44662</v>
      </c>
      <c r="AT78" s="36"/>
      <c r="AU78" s="37" t="s">
        <v>432</v>
      </c>
      <c r="AV78" s="19"/>
      <c r="AW78" s="19"/>
      <c r="AX78" s="19"/>
      <c r="AY78" s="19"/>
      <c r="AZ78" s="19"/>
      <c r="BA78" s="19"/>
      <c r="BB78" s="19"/>
      <c r="BC78" s="19"/>
      <c r="BD78" s="19"/>
      <c r="BE78" s="19"/>
      <c r="BF78" s="19"/>
      <c r="BG78" s="20"/>
      <c r="BH78" s="20"/>
      <c r="BI78" s="20"/>
      <c r="BJ78" s="20"/>
      <c r="BK78" s="20"/>
      <c r="BL78" s="20"/>
      <c r="BM78" s="20"/>
      <c r="BN78" s="20"/>
      <c r="BO78" s="20"/>
      <c r="BP78" s="20"/>
      <c r="BQ78" s="20"/>
      <c r="BR78" s="20"/>
      <c r="BS78" s="20"/>
      <c r="BT78" s="20"/>
      <c r="BU78" s="20"/>
      <c r="BV78" s="20"/>
      <c r="IP78" s="20"/>
      <c r="IQ78" s="20"/>
      <c r="IR78" s="20"/>
      <c r="IS78" s="20"/>
      <c r="IT78" s="20"/>
      <c r="IU78" s="20"/>
      <c r="IV78" s="20"/>
    </row>
    <row r="79" spans="1:256" s="21" customFormat="1" ht="89.25">
      <c r="A79" s="22"/>
      <c r="B79" s="38">
        <v>167</v>
      </c>
      <c r="C79" s="38">
        <v>540007</v>
      </c>
      <c r="D79" s="100">
        <v>44607</v>
      </c>
      <c r="E79" s="26">
        <v>31721</v>
      </c>
      <c r="F79" s="26">
        <v>1904</v>
      </c>
      <c r="G79" s="26">
        <v>136</v>
      </c>
      <c r="H79" s="27"/>
      <c r="I79" s="27"/>
      <c r="J79" s="101">
        <v>228</v>
      </c>
      <c r="K79" s="27">
        <v>3</v>
      </c>
      <c r="L79" s="101" t="s">
        <v>60</v>
      </c>
      <c r="M79" s="27" t="s">
        <v>433</v>
      </c>
      <c r="N79" s="102" t="s">
        <v>434</v>
      </c>
      <c r="O79" s="27"/>
      <c r="P79" s="27" t="s">
        <v>115</v>
      </c>
      <c r="Q79" s="27" t="s">
        <v>115</v>
      </c>
      <c r="R79" s="27" t="s">
        <v>115</v>
      </c>
      <c r="S79" s="27" t="s">
        <v>100</v>
      </c>
      <c r="T79" s="27"/>
      <c r="U79" s="28"/>
      <c r="V79" s="27">
        <v>1</v>
      </c>
      <c r="W79" s="27"/>
      <c r="X79" s="27" t="s">
        <v>65</v>
      </c>
      <c r="Y79" s="29"/>
      <c r="Z79" s="30">
        <v>3</v>
      </c>
      <c r="AA79" s="31">
        <f>2+2</f>
        <v>4</v>
      </c>
      <c r="AB79" s="30"/>
      <c r="AC79" s="31"/>
      <c r="AD79" s="30">
        <f>+Z79*2</f>
        <v>6</v>
      </c>
      <c r="AE79" s="27">
        <f>118.63+6.07/2</f>
        <v>121.66499999999999</v>
      </c>
      <c r="AF79" s="27"/>
      <c r="AG79" s="27">
        <v>16.22</v>
      </c>
      <c r="AH79" s="27"/>
      <c r="AI79" s="28">
        <f>98.97+32.54/2</f>
        <v>115.24</v>
      </c>
      <c r="AJ79" s="32"/>
      <c r="AK79" s="33">
        <v>250.86</v>
      </c>
      <c r="AL79" s="33">
        <f>+(91.17+5.53+3.16+4.59+15.81)/AK79</f>
        <v>0.47939089532009888</v>
      </c>
      <c r="AM79" s="33">
        <f>+(AE79+AG79+AI79)/AK79</f>
        <v>1.0090289404448696</v>
      </c>
      <c r="AN79" s="33"/>
      <c r="AO79" s="33">
        <f>+(5*24483+19581*5+14688*6+4*9793)/20*(AI79+AG79)</f>
        <v>2284906.2599999998</v>
      </c>
      <c r="AP79" s="34"/>
      <c r="AQ79" s="33"/>
      <c r="AR79" s="34" t="s">
        <v>435</v>
      </c>
      <c r="AS79" s="35"/>
      <c r="AT79" s="36"/>
      <c r="AU79" s="37" t="s">
        <v>436</v>
      </c>
      <c r="AV79" s="19"/>
      <c r="AW79" s="19"/>
      <c r="AX79" s="19"/>
      <c r="AY79" s="19"/>
      <c r="AZ79" s="19"/>
      <c r="BA79" s="19"/>
      <c r="BB79" s="19"/>
      <c r="BC79" s="19"/>
      <c r="BD79" s="19"/>
      <c r="BE79" s="19"/>
      <c r="BF79" s="19"/>
      <c r="BG79" s="20"/>
      <c r="BH79" s="20"/>
      <c r="BI79" s="20"/>
      <c r="BJ79" s="20"/>
      <c r="BK79" s="20"/>
      <c r="BL79" s="20"/>
      <c r="BM79" s="20"/>
      <c r="BN79" s="20"/>
      <c r="BO79" s="20"/>
      <c r="BP79" s="20"/>
      <c r="BQ79" s="20"/>
      <c r="BR79" s="20"/>
      <c r="BS79" s="20"/>
      <c r="BT79" s="20"/>
      <c r="BU79" s="20"/>
      <c r="BV79" s="20"/>
      <c r="IP79" s="20"/>
      <c r="IQ79" s="20"/>
      <c r="IR79" s="20"/>
      <c r="IS79" s="20"/>
      <c r="IT79" s="20"/>
      <c r="IU79" s="20"/>
      <c r="IV79" s="20"/>
    </row>
    <row r="80" spans="1:256" s="21" customFormat="1" ht="38.25">
      <c r="A80" s="22"/>
      <c r="B80" s="64">
        <v>76</v>
      </c>
      <c r="C80" s="65" t="s">
        <v>437</v>
      </c>
      <c r="D80" s="103">
        <v>44628</v>
      </c>
      <c r="E80" s="26">
        <v>50944</v>
      </c>
      <c r="F80" s="26">
        <v>131223</v>
      </c>
      <c r="G80" s="26">
        <v>6868</v>
      </c>
      <c r="H80" s="27"/>
      <c r="I80" s="27"/>
      <c r="J80" s="27">
        <v>276</v>
      </c>
      <c r="K80" s="27">
        <v>2</v>
      </c>
      <c r="L80" s="27" t="s">
        <v>38</v>
      </c>
      <c r="M80" s="27" t="s">
        <v>438</v>
      </c>
      <c r="N80" s="27" t="s">
        <v>439</v>
      </c>
      <c r="O80" s="27"/>
      <c r="P80" s="27" t="s">
        <v>132</v>
      </c>
      <c r="Q80" s="27" t="s">
        <v>132</v>
      </c>
      <c r="R80" s="27" t="s">
        <v>132</v>
      </c>
      <c r="S80" s="27" t="s">
        <v>440</v>
      </c>
      <c r="T80" s="27"/>
      <c r="U80" s="28">
        <v>1</v>
      </c>
      <c r="V80" s="27"/>
      <c r="W80" s="27"/>
      <c r="X80" s="27" t="s">
        <v>441</v>
      </c>
      <c r="Y80" s="29"/>
      <c r="Z80" s="30"/>
      <c r="AA80" s="31"/>
      <c r="AB80" s="30"/>
      <c r="AC80" s="31"/>
      <c r="AD80" s="30">
        <f>+Z80*2</f>
        <v>0</v>
      </c>
      <c r="AE80" s="27"/>
      <c r="AF80" s="27"/>
      <c r="AG80" s="27"/>
      <c r="AH80" s="27"/>
      <c r="AI80" s="28"/>
      <c r="AJ80" s="32">
        <v>104.85</v>
      </c>
      <c r="AK80" s="33">
        <v>209.7</v>
      </c>
      <c r="AL80" s="33">
        <f>+AJ80/AK80</f>
        <v>0.5</v>
      </c>
      <c r="AM80" s="33">
        <f>+AJ80/AK80</f>
        <v>0.5</v>
      </c>
      <c r="AN80" s="33"/>
      <c r="AO80" s="33">
        <f>14688*AJ80</f>
        <v>1540036.7999999998</v>
      </c>
      <c r="AP80" s="34">
        <v>8495.6200000000008</v>
      </c>
      <c r="AQ80" s="33" t="s">
        <v>71</v>
      </c>
      <c r="AR80" s="34" t="s">
        <v>442</v>
      </c>
      <c r="AS80" s="35">
        <v>44664</v>
      </c>
      <c r="AT80" s="36"/>
      <c r="AU80" s="37" t="s">
        <v>443</v>
      </c>
      <c r="AV80" s="19"/>
      <c r="AW80" s="19"/>
      <c r="AX80" s="19"/>
      <c r="AY80" s="19"/>
      <c r="AZ80" s="19"/>
      <c r="BA80" s="19"/>
      <c r="BB80" s="19"/>
      <c r="BC80" s="19"/>
      <c r="BD80" s="19"/>
      <c r="BE80" s="19"/>
      <c r="BF80" s="19"/>
      <c r="BG80" s="20"/>
      <c r="BH80" s="20"/>
      <c r="BI80" s="20"/>
      <c r="BJ80" s="20"/>
      <c r="BK80" s="20"/>
      <c r="BL80" s="20"/>
      <c r="BM80" s="20"/>
      <c r="BN80" s="20"/>
      <c r="BO80" s="20"/>
      <c r="BP80" s="20"/>
      <c r="BQ80" s="20"/>
      <c r="BR80" s="20"/>
      <c r="BS80" s="20"/>
      <c r="BT80" s="20"/>
      <c r="BU80" s="20"/>
      <c r="BV80" s="20"/>
      <c r="IP80" s="20"/>
      <c r="IQ80" s="20"/>
      <c r="IR80" s="20"/>
      <c r="IS80" s="20"/>
      <c r="IT80" s="20"/>
      <c r="IU80" s="20"/>
      <c r="IV80" s="20"/>
    </row>
    <row r="81" spans="1:256" s="21" customFormat="1" ht="63.75" customHeight="1">
      <c r="A81" s="22"/>
      <c r="B81" s="68">
        <v>75</v>
      </c>
      <c r="C81" s="1">
        <v>540146</v>
      </c>
      <c r="D81" s="239">
        <v>44613</v>
      </c>
      <c r="E81" s="26">
        <v>53902</v>
      </c>
      <c r="F81" s="26">
        <v>906</v>
      </c>
      <c r="G81" s="26">
        <v>4509</v>
      </c>
      <c r="H81" s="27"/>
      <c r="I81" s="27"/>
      <c r="J81" s="81">
        <v>123</v>
      </c>
      <c r="K81" s="27">
        <v>9</v>
      </c>
      <c r="L81" s="27"/>
      <c r="M81" s="27" t="s">
        <v>444</v>
      </c>
      <c r="N81" s="27" t="s">
        <v>445</v>
      </c>
      <c r="O81" s="27"/>
      <c r="P81" s="72" t="s">
        <v>317</v>
      </c>
      <c r="Q81" s="27"/>
      <c r="R81" s="27"/>
      <c r="S81" s="27"/>
      <c r="T81" s="27"/>
      <c r="U81" s="28"/>
      <c r="V81" s="27"/>
      <c r="W81" s="27"/>
      <c r="X81" s="27"/>
      <c r="Y81" s="29"/>
      <c r="Z81" s="30"/>
      <c r="AA81" s="31"/>
      <c r="AB81" s="30"/>
      <c r="AC81" s="31"/>
      <c r="AD81" s="30"/>
      <c r="AE81" s="27"/>
      <c r="AF81" s="27"/>
      <c r="AG81" s="27"/>
      <c r="AH81" s="27"/>
      <c r="AI81" s="28"/>
      <c r="AJ81" s="32"/>
      <c r="AK81" s="33">
        <v>176.85</v>
      </c>
      <c r="AL81" s="33"/>
      <c r="AM81" s="33"/>
      <c r="AN81" s="33"/>
      <c r="AO81" s="33">
        <v>0</v>
      </c>
      <c r="AP81" s="72">
        <v>2544.08</v>
      </c>
      <c r="AQ81" s="33" t="s">
        <v>71</v>
      </c>
      <c r="AR81" s="34" t="s">
        <v>446</v>
      </c>
      <c r="AS81" s="80">
        <v>44664</v>
      </c>
      <c r="AT81" s="36"/>
      <c r="AU81" s="37"/>
      <c r="AV81" s="19"/>
      <c r="AW81" s="19"/>
      <c r="AX81" s="19"/>
      <c r="AY81" s="19"/>
      <c r="AZ81" s="19"/>
      <c r="BA81" s="19"/>
      <c r="BB81" s="19"/>
      <c r="BC81" s="19"/>
      <c r="BD81" s="19"/>
      <c r="BE81" s="19"/>
      <c r="BF81" s="19"/>
      <c r="BG81" s="20"/>
      <c r="BH81" s="20"/>
      <c r="BI81" s="20"/>
      <c r="BJ81" s="20"/>
      <c r="BK81" s="20"/>
      <c r="BL81" s="20"/>
      <c r="BM81" s="20"/>
      <c r="BN81" s="20"/>
      <c r="BO81" s="20"/>
      <c r="BP81" s="20"/>
      <c r="BQ81" s="20"/>
      <c r="BR81" s="20"/>
      <c r="BS81" s="20"/>
      <c r="BT81" s="20"/>
      <c r="BU81" s="20"/>
      <c r="BV81" s="20"/>
      <c r="IP81" s="20"/>
      <c r="IQ81" s="20"/>
      <c r="IR81" s="20"/>
      <c r="IS81" s="20"/>
      <c r="IT81" s="20"/>
      <c r="IU81" s="20"/>
      <c r="IV81" s="20"/>
    </row>
    <row r="82" spans="1:256" s="21" customFormat="1" ht="38.25" customHeight="1">
      <c r="A82" s="22"/>
      <c r="B82" s="242"/>
      <c r="C82" s="2"/>
      <c r="D82" s="247"/>
      <c r="E82" s="26">
        <v>53901</v>
      </c>
      <c r="F82" s="26">
        <v>163344</v>
      </c>
      <c r="G82" s="26">
        <v>9920</v>
      </c>
      <c r="H82" s="27"/>
      <c r="I82" s="27"/>
      <c r="J82" s="221"/>
      <c r="K82" s="27">
        <v>22</v>
      </c>
      <c r="L82" s="27"/>
      <c r="M82" s="27" t="s">
        <v>447</v>
      </c>
      <c r="N82" s="27" t="s">
        <v>448</v>
      </c>
      <c r="O82" s="27"/>
      <c r="P82" s="244"/>
      <c r="Q82" s="27"/>
      <c r="R82" s="27"/>
      <c r="S82" s="27"/>
      <c r="T82" s="27"/>
      <c r="U82" s="28">
        <v>1</v>
      </c>
      <c r="V82" s="27"/>
      <c r="W82" s="27"/>
      <c r="X82" s="27" t="s">
        <v>65</v>
      </c>
      <c r="Y82" s="29"/>
      <c r="Z82" s="30"/>
      <c r="AA82" s="31"/>
      <c r="AB82" s="30"/>
      <c r="AC82" s="31"/>
      <c r="AD82" s="30"/>
      <c r="AE82" s="27">
        <f>'[1]2021'!AI66</f>
        <v>28.79</v>
      </c>
      <c r="AF82" s="27"/>
      <c r="AG82" s="27">
        <f>1.4/2+10.6/2+28.09-AE82</f>
        <v>5.3000000000000043</v>
      </c>
      <c r="AH82" s="27"/>
      <c r="AI82" s="28"/>
      <c r="AJ82" s="32"/>
      <c r="AK82" s="33">
        <v>176.77</v>
      </c>
      <c r="AL82" s="33">
        <f>+(10.6+28.09+1.4)/AK82</f>
        <v>0.22679187644962376</v>
      </c>
      <c r="AM82" s="33">
        <f>+(AG82+AE82)/AK82</f>
        <v>0.19284946540702608</v>
      </c>
      <c r="AN82" s="33"/>
      <c r="AO82" s="33"/>
      <c r="AP82" s="244"/>
      <c r="AQ82" s="33" t="s">
        <v>71</v>
      </c>
      <c r="AR82" s="79" t="s">
        <v>449</v>
      </c>
      <c r="AS82" s="245"/>
      <c r="AT82" s="36"/>
      <c r="AU82" s="37" t="s">
        <v>450</v>
      </c>
      <c r="AV82" s="19"/>
      <c r="AW82" s="19"/>
      <c r="AX82" s="19"/>
      <c r="AY82" s="19"/>
      <c r="AZ82" s="19"/>
      <c r="BA82" s="19"/>
      <c r="BB82" s="19"/>
      <c r="BC82" s="19"/>
      <c r="BD82" s="19"/>
      <c r="BE82" s="19"/>
      <c r="BF82" s="19"/>
      <c r="BG82" s="20"/>
      <c r="BH82" s="20"/>
      <c r="BI82" s="20"/>
      <c r="BJ82" s="20"/>
      <c r="BK82" s="20"/>
      <c r="BL82" s="20"/>
      <c r="BM82" s="20"/>
      <c r="BN82" s="20"/>
      <c r="BO82" s="20"/>
      <c r="BP82" s="20"/>
      <c r="BQ82" s="20"/>
      <c r="BR82" s="20"/>
      <c r="BS82" s="20"/>
      <c r="BT82" s="20"/>
      <c r="BU82" s="20"/>
      <c r="BV82" s="20"/>
      <c r="IP82" s="20"/>
      <c r="IQ82" s="20"/>
      <c r="IR82" s="20"/>
      <c r="IS82" s="20"/>
      <c r="IT82" s="20"/>
      <c r="IU82" s="20"/>
      <c r="IV82" s="20"/>
    </row>
    <row r="83" spans="1:256" s="21" customFormat="1" ht="38.25">
      <c r="A83" s="22"/>
      <c r="B83" s="38"/>
      <c r="C83" s="39"/>
      <c r="D83" s="240"/>
      <c r="E83" s="26">
        <v>53900</v>
      </c>
      <c r="F83" s="26">
        <v>163343</v>
      </c>
      <c r="G83" s="26">
        <v>9919</v>
      </c>
      <c r="H83" s="27"/>
      <c r="I83" s="27"/>
      <c r="J83" s="101"/>
      <c r="K83" s="27">
        <v>21</v>
      </c>
      <c r="L83" s="27"/>
      <c r="M83" s="27" t="s">
        <v>447</v>
      </c>
      <c r="N83" s="27" t="s">
        <v>448</v>
      </c>
      <c r="O83" s="27"/>
      <c r="P83" s="102"/>
      <c r="Q83" s="27"/>
      <c r="R83" s="27"/>
      <c r="S83" s="27"/>
      <c r="T83" s="27"/>
      <c r="U83" s="28"/>
      <c r="V83" s="27"/>
      <c r="W83" s="27"/>
      <c r="X83" s="27"/>
      <c r="Y83" s="29"/>
      <c r="Z83" s="30"/>
      <c r="AA83" s="31"/>
      <c r="AB83" s="30"/>
      <c r="AC83" s="31"/>
      <c r="AD83" s="30"/>
      <c r="AE83" s="27">
        <f>+'[1]2021'!AI65</f>
        <v>45.019999999999996</v>
      </c>
      <c r="AF83" s="27"/>
      <c r="AG83" s="27">
        <f>39.94+12.78/2+5.08/2-AE83</f>
        <v>3.8500000000000014</v>
      </c>
      <c r="AH83" s="27"/>
      <c r="AI83" s="28"/>
      <c r="AJ83" s="32"/>
      <c r="AK83" s="33">
        <v>176.77</v>
      </c>
      <c r="AL83" s="33">
        <f>+(12.78+5.09+39.94)/AK83</f>
        <v>0.32703513039542903</v>
      </c>
      <c r="AM83" s="33">
        <f>+(AG83+AE83)/AK83</f>
        <v>0.27646093794195847</v>
      </c>
      <c r="AN83" s="33"/>
      <c r="AO83" s="33"/>
      <c r="AP83" s="102"/>
      <c r="AQ83" s="33" t="s">
        <v>71</v>
      </c>
      <c r="AR83" s="248"/>
      <c r="AS83" s="237"/>
      <c r="AT83" s="36"/>
      <c r="AU83" s="37"/>
      <c r="AV83" s="19"/>
      <c r="AW83" s="19"/>
      <c r="AX83" s="19"/>
      <c r="AY83" s="19"/>
      <c r="AZ83" s="19"/>
      <c r="BA83" s="19"/>
      <c r="BB83" s="19"/>
      <c r="BC83" s="19"/>
      <c r="BD83" s="19"/>
      <c r="BE83" s="19"/>
      <c r="BF83" s="19"/>
      <c r="BG83" s="20"/>
      <c r="BH83" s="20"/>
      <c r="BI83" s="20"/>
      <c r="BJ83" s="20"/>
      <c r="BK83" s="20"/>
      <c r="BL83" s="20"/>
      <c r="BM83" s="20"/>
      <c r="BN83" s="20"/>
      <c r="BO83" s="20"/>
      <c r="BP83" s="20"/>
      <c r="BQ83" s="20"/>
      <c r="BR83" s="20"/>
      <c r="BS83" s="20"/>
      <c r="BT83" s="20"/>
      <c r="BU83" s="20"/>
      <c r="BV83" s="20"/>
      <c r="IP83" s="20"/>
      <c r="IQ83" s="20"/>
      <c r="IR83" s="20"/>
      <c r="IS83" s="20"/>
      <c r="IT83" s="20"/>
      <c r="IU83" s="20"/>
      <c r="IV83" s="20"/>
    </row>
    <row r="84" spans="1:256" s="21" customFormat="1" ht="76.5">
      <c r="A84" s="22"/>
      <c r="B84" s="23">
        <v>77</v>
      </c>
      <c r="C84" s="24">
        <v>540008</v>
      </c>
      <c r="D84" s="25">
        <v>44607</v>
      </c>
      <c r="E84" s="26"/>
      <c r="F84" s="26">
        <v>163228</v>
      </c>
      <c r="G84" s="26">
        <v>33359</v>
      </c>
      <c r="H84" s="27">
        <v>247</v>
      </c>
      <c r="I84" s="27"/>
      <c r="J84" s="27">
        <v>3</v>
      </c>
      <c r="K84" s="27">
        <v>1</v>
      </c>
      <c r="L84" s="27" t="s">
        <v>240</v>
      </c>
      <c r="M84" s="27" t="s">
        <v>451</v>
      </c>
      <c r="N84" s="27" t="s">
        <v>452</v>
      </c>
      <c r="O84" s="27"/>
      <c r="P84" s="27" t="s">
        <v>115</v>
      </c>
      <c r="Q84" s="27" t="s">
        <v>115</v>
      </c>
      <c r="R84" s="27" t="s">
        <v>115</v>
      </c>
      <c r="S84" s="27" t="s">
        <v>100</v>
      </c>
      <c r="T84" s="27"/>
      <c r="U84" s="28">
        <v>1</v>
      </c>
      <c r="V84" s="27"/>
      <c r="W84" s="27"/>
      <c r="X84" s="27" t="s">
        <v>65</v>
      </c>
      <c r="Y84" s="29"/>
      <c r="Z84" s="30">
        <v>1</v>
      </c>
      <c r="AA84" s="31"/>
      <c r="AB84" s="30">
        <f>+Z84+1</f>
        <v>2</v>
      </c>
      <c r="AC84" s="31"/>
      <c r="AD84" s="30">
        <f>+Z84*2</f>
        <v>2</v>
      </c>
      <c r="AE84" s="27"/>
      <c r="AF84" s="27"/>
      <c r="AG84" s="27"/>
      <c r="AH84" s="27"/>
      <c r="AI84" s="28">
        <f>37.75+28.61/2</f>
        <v>52.055</v>
      </c>
      <c r="AJ84" s="32"/>
      <c r="AK84" s="33">
        <v>465</v>
      </c>
      <c r="AL84" s="33">
        <f>+(37.75+28.61)/AK84</f>
        <v>0.14270967741935484</v>
      </c>
      <c r="AM84" s="33">
        <f>+AI84/AK84</f>
        <v>0.11194623655913978</v>
      </c>
      <c r="AN84" s="33"/>
      <c r="AO84" s="33">
        <f>+(8*19581+14688*5+9793*6)/19*AI84</f>
        <v>791362.02789473685</v>
      </c>
      <c r="AP84" s="34">
        <v>3696.83</v>
      </c>
      <c r="AQ84" s="33" t="s">
        <v>71</v>
      </c>
      <c r="AR84" s="34" t="s">
        <v>453</v>
      </c>
      <c r="AS84" s="35">
        <v>44684</v>
      </c>
      <c r="AT84" s="36"/>
      <c r="AU84" s="37" t="s">
        <v>454</v>
      </c>
      <c r="AV84" s="19"/>
      <c r="AW84" s="19"/>
      <c r="AX84" s="19"/>
      <c r="AY84" s="19"/>
      <c r="AZ84" s="19"/>
      <c r="BA84" s="19"/>
      <c r="BB84" s="19"/>
      <c r="BC84" s="19"/>
      <c r="BD84" s="19"/>
      <c r="BE84" s="19"/>
      <c r="BF84" s="19"/>
      <c r="BG84" s="20"/>
      <c r="BH84" s="20"/>
      <c r="BI84" s="20"/>
      <c r="BJ84" s="20"/>
      <c r="BK84" s="20"/>
      <c r="BL84" s="20"/>
      <c r="BM84" s="20"/>
      <c r="BN84" s="20"/>
      <c r="BO84" s="20"/>
      <c r="BP84" s="20"/>
      <c r="BQ84" s="20"/>
      <c r="BR84" s="20"/>
      <c r="BS84" s="20"/>
      <c r="BT84" s="20"/>
      <c r="BU84" s="20"/>
      <c r="BV84" s="20"/>
      <c r="IP84" s="20"/>
      <c r="IQ84" s="20"/>
      <c r="IR84" s="20"/>
      <c r="IS84" s="20"/>
      <c r="IT84" s="20"/>
      <c r="IU84" s="20"/>
      <c r="IV84" s="20"/>
    </row>
    <row r="85" spans="1:256" s="21" customFormat="1" ht="38.25">
      <c r="A85" s="22"/>
      <c r="B85" s="23">
        <v>79</v>
      </c>
      <c r="C85" s="24">
        <v>539735</v>
      </c>
      <c r="D85" s="25">
        <v>44599</v>
      </c>
      <c r="E85" s="26">
        <v>53334</v>
      </c>
      <c r="F85" s="26">
        <v>162661</v>
      </c>
      <c r="G85" s="26">
        <v>33278</v>
      </c>
      <c r="H85" s="27">
        <v>288</v>
      </c>
      <c r="I85" s="27"/>
      <c r="J85" s="27"/>
      <c r="K85" s="27">
        <v>5</v>
      </c>
      <c r="L85" s="27" t="s">
        <v>129</v>
      </c>
      <c r="M85" s="27" t="s">
        <v>241</v>
      </c>
      <c r="N85" s="27" t="s">
        <v>455</v>
      </c>
      <c r="O85" s="27"/>
      <c r="P85" s="27" t="s">
        <v>456</v>
      </c>
      <c r="Q85" s="27" t="s">
        <v>456</v>
      </c>
      <c r="R85" s="27" t="s">
        <v>456</v>
      </c>
      <c r="S85" s="27" t="s">
        <v>457</v>
      </c>
      <c r="T85" s="27"/>
      <c r="U85" s="28">
        <v>1</v>
      </c>
      <c r="V85" s="27"/>
      <c r="W85" s="27"/>
      <c r="X85" s="27" t="s">
        <v>77</v>
      </c>
      <c r="Y85" s="29"/>
      <c r="Z85" s="30">
        <v>12</v>
      </c>
      <c r="AA85" s="31"/>
      <c r="AB85" s="30">
        <f>+Z85</f>
        <v>12</v>
      </c>
      <c r="AC85" s="31"/>
      <c r="AD85" s="30">
        <f>+Z85*2</f>
        <v>24</v>
      </c>
      <c r="AE85" s="27"/>
      <c r="AF85" s="27"/>
      <c r="AG85" s="27"/>
      <c r="AH85" s="27"/>
      <c r="AI85" s="28">
        <f>341.94+66.19/2</f>
        <v>375.03499999999997</v>
      </c>
      <c r="AJ85" s="32"/>
      <c r="AK85" s="33">
        <v>1072.1300000000001</v>
      </c>
      <c r="AL85" s="33">
        <f>+(341.94+66.19)/AK85</f>
        <v>0.38067211998544948</v>
      </c>
      <c r="AM85" s="33">
        <f>+AI85/AK85</f>
        <v>0.34980366186936279</v>
      </c>
      <c r="AN85" s="33"/>
      <c r="AO85" s="33">
        <f>+(2*24483+19581*4+5*14688+9*9793)/20*AI85</f>
        <v>5416761.7672499996</v>
      </c>
      <c r="AP85" s="34">
        <v>18965.080000000002</v>
      </c>
      <c r="AQ85" s="33" t="s">
        <v>458</v>
      </c>
      <c r="AR85" s="34" t="s">
        <v>459</v>
      </c>
      <c r="AS85" s="35">
        <v>44685</v>
      </c>
      <c r="AT85" s="36"/>
      <c r="AU85" s="37" t="s">
        <v>248</v>
      </c>
      <c r="AV85" s="19"/>
      <c r="AW85" s="19"/>
      <c r="AX85" s="19"/>
      <c r="AY85" s="19"/>
      <c r="AZ85" s="19"/>
      <c r="BA85" s="19"/>
      <c r="BB85" s="19"/>
      <c r="BC85" s="19"/>
      <c r="BD85" s="19"/>
      <c r="BE85" s="19"/>
      <c r="BF85" s="19"/>
      <c r="BG85" s="20"/>
      <c r="BH85" s="20"/>
      <c r="BI85" s="20"/>
      <c r="BJ85" s="20"/>
      <c r="BK85" s="20"/>
      <c r="BL85" s="20"/>
      <c r="BM85" s="20"/>
      <c r="BN85" s="20"/>
      <c r="BO85" s="20"/>
      <c r="BP85" s="20"/>
      <c r="BQ85" s="20"/>
      <c r="BR85" s="20"/>
      <c r="BS85" s="20"/>
      <c r="BT85" s="20"/>
      <c r="BU85" s="20"/>
      <c r="BV85" s="20"/>
      <c r="IP85" s="20"/>
      <c r="IQ85" s="20"/>
      <c r="IR85" s="20"/>
      <c r="IS85" s="20"/>
      <c r="IT85" s="20"/>
      <c r="IU85" s="20"/>
      <c r="IV85" s="20"/>
    </row>
    <row r="86" spans="1:256" s="21" customFormat="1" ht="63.75">
      <c r="A86" s="22"/>
      <c r="B86" s="64">
        <v>89</v>
      </c>
      <c r="C86" s="65">
        <v>540759</v>
      </c>
      <c r="D86" s="103">
        <v>44636</v>
      </c>
      <c r="E86" s="26">
        <v>48865</v>
      </c>
      <c r="F86" s="26">
        <v>159219</v>
      </c>
      <c r="G86" s="26">
        <v>32585</v>
      </c>
      <c r="H86" s="27">
        <v>1</v>
      </c>
      <c r="I86" s="27"/>
      <c r="J86" s="27"/>
      <c r="K86" s="27">
        <v>90</v>
      </c>
      <c r="L86" s="27" t="s">
        <v>129</v>
      </c>
      <c r="M86" s="27" t="s">
        <v>460</v>
      </c>
      <c r="N86" s="27" t="s">
        <v>461</v>
      </c>
      <c r="O86" s="27"/>
      <c r="P86" s="27" t="s">
        <v>462</v>
      </c>
      <c r="Q86" s="27"/>
      <c r="R86" s="27"/>
      <c r="S86" s="27"/>
      <c r="T86" s="27">
        <v>1</v>
      </c>
      <c r="U86" s="28"/>
      <c r="V86" s="27"/>
      <c r="W86" s="27"/>
      <c r="X86" s="27" t="s">
        <v>65</v>
      </c>
      <c r="Y86" s="29">
        <v>2</v>
      </c>
      <c r="Z86" s="30"/>
      <c r="AA86" s="31">
        <f>+Y86+1+1</f>
        <v>4</v>
      </c>
      <c r="AB86" s="30"/>
      <c r="AC86" s="31">
        <f>+Y86*2</f>
        <v>4</v>
      </c>
      <c r="AD86" s="30"/>
      <c r="AE86" s="27"/>
      <c r="AF86" s="27"/>
      <c r="AG86" s="27">
        <f>47.48/2+96.4+31.25/2+64.67</f>
        <v>200.435</v>
      </c>
      <c r="AH86" s="27">
        <f>84/2+267.53+57.52</f>
        <v>367.04999999999995</v>
      </c>
      <c r="AI86" s="28"/>
      <c r="AJ86" s="32"/>
      <c r="AK86" s="33">
        <v>44472</v>
      </c>
      <c r="AL86" s="33">
        <v>1.2E-2</v>
      </c>
      <c r="AM86" s="33">
        <f>+(AG86+AH86)/AK86</f>
        <v>1.2760500989386579E-2</v>
      </c>
      <c r="AN86" s="33"/>
      <c r="AO86" s="33">
        <f>1408300+((6*24483+19581*6+14688*8+2*9793)/22*AG86)</f>
        <v>5066001.8722727271</v>
      </c>
      <c r="AP86" s="34">
        <v>68716.039999999994</v>
      </c>
      <c r="AQ86" s="33" t="s">
        <v>36</v>
      </c>
      <c r="AR86" s="34" t="s">
        <v>463</v>
      </c>
      <c r="AS86" s="35">
        <v>44700</v>
      </c>
      <c r="AT86" s="36"/>
      <c r="AU86" s="37">
        <v>44673</v>
      </c>
      <c r="AV86" s="19"/>
      <c r="AW86" s="19"/>
      <c r="AX86" s="19"/>
      <c r="AY86" s="19"/>
      <c r="AZ86" s="19"/>
      <c r="BA86" s="19"/>
      <c r="BB86" s="19"/>
      <c r="BC86" s="19"/>
      <c r="BD86" s="19"/>
      <c r="BE86" s="19"/>
      <c r="BF86" s="19"/>
      <c r="BG86" s="20"/>
      <c r="BH86" s="20"/>
      <c r="BI86" s="20"/>
      <c r="BJ86" s="20"/>
      <c r="BK86" s="20"/>
      <c r="BL86" s="20"/>
      <c r="BM86" s="20"/>
      <c r="BN86" s="20"/>
      <c r="BO86" s="20"/>
      <c r="BP86" s="20"/>
      <c r="BQ86" s="20"/>
      <c r="BR86" s="20"/>
      <c r="BS86" s="20"/>
      <c r="BT86" s="20"/>
      <c r="BU86" s="20"/>
      <c r="BV86" s="20"/>
      <c r="IP86" s="20"/>
      <c r="IQ86" s="20"/>
      <c r="IR86" s="20"/>
      <c r="IS86" s="20"/>
      <c r="IT86" s="20"/>
      <c r="IU86" s="20"/>
      <c r="IV86" s="20"/>
    </row>
    <row r="87" spans="1:256" s="21" customFormat="1" ht="63.75">
      <c r="A87" s="22"/>
      <c r="B87" s="64">
        <v>78</v>
      </c>
      <c r="C87" s="65">
        <v>541361</v>
      </c>
      <c r="D87" s="25">
        <v>44657</v>
      </c>
      <c r="E87" s="26">
        <v>40959</v>
      </c>
      <c r="F87" s="26">
        <v>139437</v>
      </c>
      <c r="G87" s="26">
        <v>8454</v>
      </c>
      <c r="H87" s="27"/>
      <c r="I87" s="27"/>
      <c r="J87" s="27">
        <v>502</v>
      </c>
      <c r="K87" s="27">
        <v>19</v>
      </c>
      <c r="L87" s="27" t="s">
        <v>38</v>
      </c>
      <c r="M87" s="27" t="s">
        <v>464</v>
      </c>
      <c r="N87" s="27" t="s">
        <v>465</v>
      </c>
      <c r="O87" s="27"/>
      <c r="P87" s="27" t="s">
        <v>115</v>
      </c>
      <c r="Q87" s="27"/>
      <c r="R87" s="27"/>
      <c r="S87" s="27"/>
      <c r="T87" s="27">
        <v>1</v>
      </c>
      <c r="U87" s="28"/>
      <c r="V87" s="27"/>
      <c r="W87" s="27"/>
      <c r="X87" s="27" t="s">
        <v>65</v>
      </c>
      <c r="Y87" s="29">
        <v>3</v>
      </c>
      <c r="Z87" s="30"/>
      <c r="AA87" s="31">
        <f>+Y87+1</f>
        <v>4</v>
      </c>
      <c r="AB87" s="30"/>
      <c r="AC87" s="31">
        <f>+Y87*2</f>
        <v>6</v>
      </c>
      <c r="AD87" s="30"/>
      <c r="AE87" s="27"/>
      <c r="AF87" s="27"/>
      <c r="AG87" s="27">
        <f>137+9.95/2</f>
        <v>141.97499999999999</v>
      </c>
      <c r="AH87" s="27"/>
      <c r="AI87" s="28"/>
      <c r="AJ87" s="32"/>
      <c r="AK87" s="33">
        <v>261.24</v>
      </c>
      <c r="AL87" s="33">
        <f>+(137+9.95)/AK87</f>
        <v>0.56250956974429633</v>
      </c>
      <c r="AM87" s="33">
        <f>+AG87/AK87</f>
        <v>0.54346577859439593</v>
      </c>
      <c r="AN87" s="33"/>
      <c r="AO87" s="33">
        <f>+(5*24483+19581*4+5*14688+9793*5)/19*AG87</f>
        <v>2414651.0210526315</v>
      </c>
      <c r="AP87" s="34">
        <v>35687.75</v>
      </c>
      <c r="AQ87" s="33" t="s">
        <v>71</v>
      </c>
      <c r="AR87" s="34" t="s">
        <v>466</v>
      </c>
      <c r="AS87" s="35">
        <v>44685</v>
      </c>
      <c r="AT87" s="36"/>
      <c r="AU87" s="104">
        <v>44658</v>
      </c>
      <c r="AV87" s="19"/>
      <c r="AW87" s="19"/>
      <c r="AX87" s="19"/>
      <c r="AY87" s="19"/>
      <c r="AZ87" s="19"/>
      <c r="BA87" s="19"/>
      <c r="BB87" s="19"/>
      <c r="BC87" s="19"/>
      <c r="BD87" s="19"/>
      <c r="BE87" s="19"/>
      <c r="BF87" s="19"/>
      <c r="BG87" s="20"/>
      <c r="BH87" s="20"/>
      <c r="BI87" s="20"/>
      <c r="BJ87" s="20"/>
      <c r="BK87" s="20"/>
      <c r="BL87" s="20"/>
      <c r="BM87" s="20"/>
      <c r="BN87" s="20"/>
      <c r="BO87" s="20"/>
      <c r="BP87" s="20"/>
      <c r="BQ87" s="20"/>
      <c r="BR87" s="20"/>
      <c r="BS87" s="20"/>
      <c r="BT87" s="20"/>
      <c r="BU87" s="20"/>
      <c r="BV87" s="20"/>
      <c r="IP87" s="20"/>
      <c r="IQ87" s="20"/>
      <c r="IR87" s="20"/>
      <c r="IS87" s="20"/>
      <c r="IT87" s="20"/>
      <c r="IU87" s="20"/>
      <c r="IV87" s="20"/>
    </row>
    <row r="88" spans="1:256" s="21" customFormat="1" ht="76.5">
      <c r="A88" s="22"/>
      <c r="B88" s="23">
        <v>82</v>
      </c>
      <c r="C88" s="24" t="s">
        <v>467</v>
      </c>
      <c r="D88" s="63" t="s">
        <v>468</v>
      </c>
      <c r="E88" s="26">
        <v>36942</v>
      </c>
      <c r="F88" s="26">
        <v>2019</v>
      </c>
      <c r="G88" s="26">
        <v>2305</v>
      </c>
      <c r="H88" s="27"/>
      <c r="I88" s="27"/>
      <c r="J88" s="27">
        <v>68</v>
      </c>
      <c r="K88" s="27">
        <v>17</v>
      </c>
      <c r="L88" s="27" t="s">
        <v>107</v>
      </c>
      <c r="M88" s="27" t="s">
        <v>469</v>
      </c>
      <c r="N88" s="27" t="s">
        <v>470</v>
      </c>
      <c r="O88" s="27"/>
      <c r="P88" s="27" t="s">
        <v>309</v>
      </c>
      <c r="Q88" s="27" t="s">
        <v>309</v>
      </c>
      <c r="R88" s="27" t="s">
        <v>309</v>
      </c>
      <c r="S88" s="27" t="s">
        <v>427</v>
      </c>
      <c r="T88" s="27">
        <v>1</v>
      </c>
      <c r="U88" s="28"/>
      <c r="V88" s="27">
        <v>1</v>
      </c>
      <c r="W88" s="27"/>
      <c r="X88" s="27" t="s">
        <v>77</v>
      </c>
      <c r="Y88" s="29">
        <v>1</v>
      </c>
      <c r="Z88" s="30">
        <v>1</v>
      </c>
      <c r="AA88" s="31">
        <f>+Y88+3</f>
        <v>4</v>
      </c>
      <c r="AB88" s="30">
        <f>+Z88+1</f>
        <v>2</v>
      </c>
      <c r="AC88" s="31">
        <f>+Y88*2</f>
        <v>2</v>
      </c>
      <c r="AD88" s="30">
        <f>+Z88*2</f>
        <v>2</v>
      </c>
      <c r="AE88" s="27">
        <f>165.21+27.45/2</f>
        <v>178.935</v>
      </c>
      <c r="AF88" s="27"/>
      <c r="AG88" s="27">
        <f>50.48+22.37/2</f>
        <v>61.664999999999999</v>
      </c>
      <c r="AH88" s="27"/>
      <c r="AI88" s="28">
        <v>12.58</v>
      </c>
      <c r="AJ88" s="32"/>
      <c r="AK88" s="33">
        <v>350.6</v>
      </c>
      <c r="AL88" s="33">
        <f>+(5.28+128.68+17.44+22.37+4.73+11.22+8.6+39.26+27.93)/AK88</f>
        <v>0.75730176839703356</v>
      </c>
      <c r="AM88" s="33">
        <f>+(AE88+AG88+AI88)/AK88</f>
        <v>0.72213348545350819</v>
      </c>
      <c r="AN88" s="33"/>
      <c r="AO88" s="33">
        <f>+((6*24483+19581*10+14688*6)/22*AI88)+860700+380000</f>
        <v>1487059.8581818182</v>
      </c>
      <c r="AP88" s="34">
        <v>40936.26</v>
      </c>
      <c r="AQ88" s="33" t="s">
        <v>71</v>
      </c>
      <c r="AR88" s="34" t="s">
        <v>471</v>
      </c>
      <c r="AS88" s="35">
        <v>44687</v>
      </c>
      <c r="AT88" s="36"/>
      <c r="AU88" s="37">
        <v>44664</v>
      </c>
      <c r="AV88" s="19"/>
      <c r="AW88" s="19"/>
      <c r="AX88" s="19"/>
      <c r="AY88" s="19"/>
      <c r="AZ88" s="19"/>
      <c r="BA88" s="19"/>
      <c r="BB88" s="19"/>
      <c r="BC88" s="19"/>
      <c r="BD88" s="19"/>
      <c r="BE88" s="19"/>
      <c r="BF88" s="19"/>
      <c r="BG88" s="20"/>
      <c r="BH88" s="20"/>
      <c r="BI88" s="20"/>
      <c r="BJ88" s="20"/>
      <c r="BK88" s="20"/>
      <c r="BL88" s="20"/>
      <c r="BM88" s="20"/>
      <c r="BN88" s="20"/>
      <c r="BO88" s="20"/>
      <c r="BP88" s="20"/>
      <c r="BQ88" s="20"/>
      <c r="BR88" s="20"/>
      <c r="BS88" s="20"/>
      <c r="BT88" s="20"/>
      <c r="BU88" s="20"/>
      <c r="BV88" s="20"/>
      <c r="IP88" s="20"/>
      <c r="IQ88" s="20"/>
      <c r="IR88" s="20"/>
      <c r="IS88" s="20"/>
      <c r="IT88" s="20"/>
      <c r="IU88" s="20"/>
      <c r="IV88" s="20"/>
    </row>
    <row r="89" spans="1:256" s="21" customFormat="1" ht="51">
      <c r="A89" s="22"/>
      <c r="B89" s="23">
        <v>88</v>
      </c>
      <c r="C89" s="24">
        <v>541135</v>
      </c>
      <c r="D89" s="25">
        <v>44649</v>
      </c>
      <c r="E89" s="26">
        <v>38372</v>
      </c>
      <c r="F89" s="26">
        <v>50118</v>
      </c>
      <c r="G89" s="26">
        <v>2156</v>
      </c>
      <c r="H89" s="27"/>
      <c r="I89" s="27"/>
      <c r="J89" s="27">
        <v>512</v>
      </c>
      <c r="K89" s="27">
        <v>5</v>
      </c>
      <c r="L89" s="27" t="s">
        <v>74</v>
      </c>
      <c r="M89" s="27" t="s">
        <v>472</v>
      </c>
      <c r="N89" s="27" t="s">
        <v>473</v>
      </c>
      <c r="O89" s="27"/>
      <c r="P89" s="27" t="s">
        <v>462</v>
      </c>
      <c r="Q89" s="27"/>
      <c r="R89" s="27"/>
      <c r="S89" s="27"/>
      <c r="T89" s="27">
        <v>1</v>
      </c>
      <c r="U89" s="28"/>
      <c r="V89" s="27"/>
      <c r="W89" s="27"/>
      <c r="X89" s="27" t="s">
        <v>441</v>
      </c>
      <c r="Y89" s="29"/>
      <c r="Z89" s="30"/>
      <c r="AA89" s="31"/>
      <c r="AB89" s="30"/>
      <c r="AC89" s="31"/>
      <c r="AD89" s="30"/>
      <c r="AE89" s="27"/>
      <c r="AF89" s="27"/>
      <c r="AG89" s="27"/>
      <c r="AH89" s="27">
        <f>231.24+257.73/2</f>
        <v>360.10500000000002</v>
      </c>
      <c r="AI89" s="28"/>
      <c r="AJ89" s="32"/>
      <c r="AK89" s="33">
        <v>953.95</v>
      </c>
      <c r="AL89" s="33">
        <f>+(231.24+257.73)/AK89</f>
        <v>0.5125740342785261</v>
      </c>
      <c r="AM89" s="33">
        <f>+AH89/AK89</f>
        <v>0.37748833796320563</v>
      </c>
      <c r="AN89" s="33"/>
      <c r="AO89" s="33">
        <v>2345600</v>
      </c>
      <c r="AP89" s="34">
        <v>34877.08</v>
      </c>
      <c r="AQ89" s="33" t="s">
        <v>36</v>
      </c>
      <c r="AR89" s="34" t="s">
        <v>474</v>
      </c>
      <c r="AS89" s="35">
        <v>44697</v>
      </c>
      <c r="AT89" s="36"/>
      <c r="AU89" s="37">
        <v>44656</v>
      </c>
      <c r="AV89" s="19"/>
      <c r="AW89" s="19"/>
      <c r="AX89" s="19"/>
      <c r="AY89" s="19"/>
      <c r="AZ89" s="19"/>
      <c r="BA89" s="19"/>
      <c r="BB89" s="19"/>
      <c r="BC89" s="19"/>
      <c r="BD89" s="19"/>
      <c r="BE89" s="19"/>
      <c r="BF89" s="19"/>
      <c r="BG89" s="20"/>
      <c r="BH89" s="20"/>
      <c r="BI89" s="20"/>
      <c r="BJ89" s="20"/>
      <c r="BK89" s="20"/>
      <c r="BL89" s="20"/>
      <c r="BM89" s="20"/>
      <c r="BN89" s="20"/>
      <c r="BO89" s="20"/>
      <c r="BP89" s="20"/>
      <c r="BQ89" s="20"/>
      <c r="BR89" s="20"/>
      <c r="BS89" s="20"/>
      <c r="BT89" s="20"/>
      <c r="BU89" s="20"/>
      <c r="BV89" s="20"/>
      <c r="IP89" s="20"/>
      <c r="IQ89" s="20"/>
      <c r="IR89" s="20"/>
      <c r="IS89" s="20"/>
      <c r="IT89" s="20"/>
      <c r="IU89" s="20"/>
      <c r="IV89" s="20"/>
    </row>
    <row r="90" spans="1:256" s="21" customFormat="1" ht="63.75">
      <c r="A90" s="22"/>
      <c r="B90" s="23">
        <v>80</v>
      </c>
      <c r="C90" s="24">
        <v>541037</v>
      </c>
      <c r="D90" s="25">
        <v>44643</v>
      </c>
      <c r="E90" s="26">
        <v>47982</v>
      </c>
      <c r="F90" s="26">
        <v>158718</v>
      </c>
      <c r="G90" s="26">
        <v>32426</v>
      </c>
      <c r="H90" s="27">
        <v>111</v>
      </c>
      <c r="I90" s="27"/>
      <c r="J90" s="27">
        <v>3</v>
      </c>
      <c r="K90" s="27">
        <v>1</v>
      </c>
      <c r="L90" s="27" t="s">
        <v>475</v>
      </c>
      <c r="M90" s="27" t="s">
        <v>476</v>
      </c>
      <c r="N90" s="27" t="s">
        <v>477</v>
      </c>
      <c r="O90" s="27"/>
      <c r="P90" s="27" t="s">
        <v>478</v>
      </c>
      <c r="Q90" s="27" t="s">
        <v>478</v>
      </c>
      <c r="R90" s="27" t="s">
        <v>478</v>
      </c>
      <c r="S90" s="27" t="s">
        <v>161</v>
      </c>
      <c r="T90" s="27"/>
      <c r="U90" s="105">
        <v>1</v>
      </c>
      <c r="V90" s="27"/>
      <c r="W90" s="27"/>
      <c r="X90" s="106" t="s">
        <v>65</v>
      </c>
      <c r="Y90" s="29"/>
      <c r="Z90" s="30">
        <v>2</v>
      </c>
      <c r="AA90" s="31"/>
      <c r="AB90" s="30">
        <f>+Z90+1</f>
        <v>3</v>
      </c>
      <c r="AC90" s="31"/>
      <c r="AD90" s="30">
        <f>+Z90*2</f>
        <v>4</v>
      </c>
      <c r="AE90" s="27"/>
      <c r="AF90" s="27"/>
      <c r="AG90" s="27"/>
      <c r="AH90" s="27"/>
      <c r="AI90" s="28">
        <f>80.75+26.7/2</f>
        <v>94.1</v>
      </c>
      <c r="AJ90" s="32"/>
      <c r="AK90" s="33">
        <v>2160</v>
      </c>
      <c r="AL90" s="33">
        <f>+(80.75+26.7)/AK90</f>
        <v>4.974537037037037E-2</v>
      </c>
      <c r="AM90" s="33">
        <f>+AI90/AK90</f>
        <v>4.3564814814814813E-2</v>
      </c>
      <c r="AN90" s="107"/>
      <c r="AO90" s="107">
        <f>+(2*24483+6*19581+5*14688+7*9793)/20*AI90</f>
        <v>1451224.3149999999</v>
      </c>
      <c r="AP90" s="108">
        <v>6154.04</v>
      </c>
      <c r="AQ90" s="107" t="s">
        <v>479</v>
      </c>
      <c r="AR90" s="108" t="s">
        <v>480</v>
      </c>
      <c r="AS90" s="35">
        <v>44685</v>
      </c>
      <c r="AT90" s="36"/>
      <c r="AU90" s="109"/>
      <c r="AV90" s="19"/>
      <c r="AW90" s="19"/>
      <c r="AX90" s="19"/>
      <c r="AY90" s="19"/>
      <c r="AZ90" s="19"/>
      <c r="BA90" s="19"/>
      <c r="BB90" s="19"/>
      <c r="BC90" s="19"/>
      <c r="BD90" s="19"/>
      <c r="BE90" s="19"/>
      <c r="BF90" s="19"/>
      <c r="BG90" s="20"/>
      <c r="BH90" s="20"/>
      <c r="BI90" s="20"/>
      <c r="BJ90" s="20"/>
      <c r="BK90" s="20"/>
      <c r="BL90" s="20"/>
      <c r="BM90" s="20"/>
      <c r="BN90" s="20"/>
      <c r="BO90" s="20"/>
      <c r="BP90" s="20"/>
      <c r="BQ90" s="20"/>
      <c r="BR90" s="20"/>
      <c r="BS90" s="20"/>
      <c r="BT90" s="20"/>
      <c r="BU90" s="20"/>
      <c r="BV90" s="20"/>
      <c r="IP90" s="20"/>
      <c r="IQ90" s="20"/>
      <c r="IR90" s="20"/>
      <c r="IS90" s="20"/>
      <c r="IT90" s="20"/>
      <c r="IU90" s="20"/>
      <c r="IV90" s="20"/>
    </row>
    <row r="91" spans="1:256" s="21" customFormat="1" ht="51">
      <c r="A91" s="22"/>
      <c r="B91" s="110">
        <v>81</v>
      </c>
      <c r="C91" s="111">
        <v>541378</v>
      </c>
      <c r="D91" s="112">
        <v>44658</v>
      </c>
      <c r="E91" s="26">
        <v>25279</v>
      </c>
      <c r="F91" s="26">
        <v>1248</v>
      </c>
      <c r="G91" s="26">
        <v>1452</v>
      </c>
      <c r="H91" s="27"/>
      <c r="I91" s="27"/>
      <c r="J91" s="108">
        <v>184</v>
      </c>
      <c r="K91" s="27">
        <v>13</v>
      </c>
      <c r="L91" s="108" t="s">
        <v>31</v>
      </c>
      <c r="M91" s="27" t="s">
        <v>481</v>
      </c>
      <c r="N91" s="27" t="s">
        <v>482</v>
      </c>
      <c r="O91" s="27" t="s">
        <v>483</v>
      </c>
      <c r="P91" s="27" t="s">
        <v>137</v>
      </c>
      <c r="Q91" s="27"/>
      <c r="R91" s="27"/>
      <c r="S91" s="27"/>
      <c r="T91" s="27"/>
      <c r="U91" s="113"/>
      <c r="V91" s="27">
        <v>1</v>
      </c>
      <c r="W91" s="27"/>
      <c r="X91" s="114" t="s">
        <v>484</v>
      </c>
      <c r="Y91" s="29"/>
      <c r="Z91" s="30"/>
      <c r="AA91" s="31"/>
      <c r="AB91" s="30"/>
      <c r="AC91" s="31"/>
      <c r="AD91" s="30"/>
      <c r="AE91" s="27"/>
      <c r="AF91" s="27">
        <f>144.27+144.07+46.91</f>
        <v>335.25</v>
      </c>
      <c r="AG91" s="27"/>
      <c r="AH91" s="27">
        <f>11.74+11.74</f>
        <v>23.48</v>
      </c>
      <c r="AI91" s="28"/>
      <c r="AJ91" s="28">
        <f>47.8+9/2</f>
        <v>52.3</v>
      </c>
      <c r="AK91" s="33">
        <v>447.89</v>
      </c>
      <c r="AL91" s="33"/>
      <c r="AM91" s="33"/>
      <c r="AN91" s="115"/>
      <c r="AO91" s="115">
        <v>254148.5</v>
      </c>
      <c r="AP91" s="116">
        <v>24542.06</v>
      </c>
      <c r="AQ91" s="115" t="s">
        <v>71</v>
      </c>
      <c r="AR91" s="116" t="s">
        <v>485</v>
      </c>
      <c r="AS91" s="35">
        <v>44686</v>
      </c>
      <c r="AT91" s="36"/>
      <c r="AU91" s="117"/>
      <c r="AV91" s="19"/>
      <c r="AW91" s="19"/>
      <c r="AX91" s="19"/>
      <c r="AY91" s="19"/>
      <c r="AZ91" s="19"/>
      <c r="BA91" s="19"/>
      <c r="BB91" s="19"/>
      <c r="BC91" s="19"/>
      <c r="BD91" s="19"/>
      <c r="BE91" s="19"/>
      <c r="BF91" s="19"/>
      <c r="BG91" s="20"/>
      <c r="BH91" s="20"/>
      <c r="BI91" s="20"/>
      <c r="BJ91" s="20"/>
      <c r="BK91" s="20"/>
      <c r="BL91" s="20"/>
      <c r="BM91" s="20"/>
      <c r="BN91" s="20"/>
      <c r="BO91" s="20"/>
      <c r="BP91" s="20"/>
      <c r="BQ91" s="20"/>
      <c r="BR91" s="20"/>
      <c r="BS91" s="20"/>
      <c r="BT91" s="20"/>
      <c r="BU91" s="20"/>
      <c r="BV91" s="20"/>
      <c r="IP91" s="20"/>
      <c r="IQ91" s="20"/>
      <c r="IR91" s="20"/>
      <c r="IS91" s="20"/>
      <c r="IT91" s="20"/>
      <c r="IU91" s="20"/>
      <c r="IV91" s="20"/>
    </row>
    <row r="92" spans="1:256" s="21" customFormat="1" ht="63.75">
      <c r="A92" s="22"/>
      <c r="B92" s="23">
        <v>145</v>
      </c>
      <c r="C92" s="23">
        <v>541227</v>
      </c>
      <c r="D92" s="25">
        <v>44652</v>
      </c>
      <c r="E92" s="26">
        <v>4240</v>
      </c>
      <c r="F92" s="26">
        <v>2058</v>
      </c>
      <c r="G92" s="26">
        <v>2290</v>
      </c>
      <c r="H92" s="27"/>
      <c r="I92" s="27"/>
      <c r="J92" s="27">
        <v>106</v>
      </c>
      <c r="K92" s="27">
        <v>16</v>
      </c>
      <c r="L92" s="27" t="s">
        <v>88</v>
      </c>
      <c r="M92" s="27" t="s">
        <v>486</v>
      </c>
      <c r="N92" s="27" t="s">
        <v>487</v>
      </c>
      <c r="O92" s="27"/>
      <c r="P92" s="27" t="s">
        <v>115</v>
      </c>
      <c r="Q92" s="27"/>
      <c r="R92" s="27"/>
      <c r="S92" s="27"/>
      <c r="T92" s="27">
        <v>1</v>
      </c>
      <c r="U92" s="28"/>
      <c r="V92" s="27"/>
      <c r="W92" s="27"/>
      <c r="X92" s="27" t="s">
        <v>65</v>
      </c>
      <c r="Y92" s="29">
        <v>2</v>
      </c>
      <c r="Z92" s="30"/>
      <c r="AA92" s="31">
        <f>+Y92+1+1</f>
        <v>4</v>
      </c>
      <c r="AB92" s="30"/>
      <c r="AC92" s="31">
        <f>+Y92*2</f>
        <v>4</v>
      </c>
      <c r="AD92" s="30"/>
      <c r="AE92" s="27"/>
      <c r="AF92" s="27"/>
      <c r="AG92" s="27">
        <f>85.79+20.57/2</f>
        <v>96.075000000000003</v>
      </c>
      <c r="AH92" s="27"/>
      <c r="AI92" s="28"/>
      <c r="AJ92" s="32"/>
      <c r="AK92" s="33">
        <v>220.15</v>
      </c>
      <c r="AL92" s="33">
        <f>+(86.79+20.57)/AK92</f>
        <v>0.48766749943220539</v>
      </c>
      <c r="AM92" s="33">
        <f>+AG92/AK92</f>
        <v>0.43640699523052462</v>
      </c>
      <c r="AN92" s="33"/>
      <c r="AO92" s="33">
        <f>+(5*24483+19581*3+5*14688+9793*6)/19*AG92</f>
        <v>1584509.3526315792</v>
      </c>
      <c r="AP92" s="34">
        <v>6434.72</v>
      </c>
      <c r="AQ92" s="33" t="s">
        <v>71</v>
      </c>
      <c r="AR92" s="34" t="s">
        <v>488</v>
      </c>
      <c r="AS92" s="35">
        <v>44746</v>
      </c>
      <c r="AT92" s="36"/>
      <c r="AU92" s="37" t="s">
        <v>489</v>
      </c>
      <c r="AV92" s="19"/>
      <c r="AW92" s="19"/>
      <c r="AX92" s="19"/>
      <c r="AY92" s="19"/>
      <c r="AZ92" s="19"/>
      <c r="BA92" s="19"/>
      <c r="BB92" s="19"/>
      <c r="BC92" s="19"/>
      <c r="BD92" s="19"/>
      <c r="BE92" s="19"/>
      <c r="BF92" s="19"/>
      <c r="BG92" s="20"/>
      <c r="BH92" s="20"/>
      <c r="BI92" s="20"/>
      <c r="BJ92" s="20"/>
      <c r="BK92" s="20"/>
      <c r="BL92" s="20"/>
      <c r="BM92" s="20"/>
      <c r="BN92" s="20"/>
      <c r="BO92" s="20"/>
      <c r="BP92" s="20"/>
      <c r="BQ92" s="20"/>
      <c r="BR92" s="20"/>
      <c r="BS92" s="20"/>
      <c r="BT92" s="20"/>
      <c r="BU92" s="20"/>
      <c r="BV92" s="20"/>
      <c r="IP92" s="20"/>
      <c r="IQ92" s="20"/>
      <c r="IR92" s="20"/>
      <c r="IS92" s="20"/>
      <c r="IT92" s="20"/>
      <c r="IU92" s="20"/>
      <c r="IV92" s="20"/>
    </row>
    <row r="93" spans="1:256" s="21" customFormat="1" ht="51">
      <c r="A93" s="22"/>
      <c r="B93" s="64">
        <v>83</v>
      </c>
      <c r="C93" s="65">
        <v>540947</v>
      </c>
      <c r="D93" s="103">
        <v>44794</v>
      </c>
      <c r="E93" s="26">
        <v>46688</v>
      </c>
      <c r="F93" s="26">
        <v>149716</v>
      </c>
      <c r="G93" s="26">
        <v>32284</v>
      </c>
      <c r="H93" s="27">
        <v>367</v>
      </c>
      <c r="I93" s="27"/>
      <c r="J93" s="27">
        <v>2</v>
      </c>
      <c r="K93" s="27">
        <v>4</v>
      </c>
      <c r="L93" s="27" t="s">
        <v>490</v>
      </c>
      <c r="M93" s="27" t="s">
        <v>491</v>
      </c>
      <c r="N93" s="27" t="s">
        <v>492</v>
      </c>
      <c r="O93" s="27"/>
      <c r="P93" s="27" t="s">
        <v>166</v>
      </c>
      <c r="Q93" s="27" t="s">
        <v>166</v>
      </c>
      <c r="R93" s="27" t="s">
        <v>166</v>
      </c>
      <c r="S93" s="27" t="s">
        <v>440</v>
      </c>
      <c r="T93" s="27"/>
      <c r="U93" s="28">
        <v>1</v>
      </c>
      <c r="V93" s="27"/>
      <c r="W93" s="27"/>
      <c r="X93" s="27" t="s">
        <v>65</v>
      </c>
      <c r="Y93" s="29"/>
      <c r="Z93" s="30">
        <v>2</v>
      </c>
      <c r="AA93" s="31"/>
      <c r="AB93" s="30">
        <f>+Z93+1</f>
        <v>3</v>
      </c>
      <c r="AC93" s="31"/>
      <c r="AD93" s="30">
        <f>+Z93*2</f>
        <v>4</v>
      </c>
      <c r="AE93" s="27"/>
      <c r="AF93" s="27"/>
      <c r="AG93" s="27"/>
      <c r="AH93" s="27"/>
      <c r="AI93" s="28">
        <f>61.6+0</f>
        <v>61.6</v>
      </c>
      <c r="AJ93" s="32"/>
      <c r="AK93" s="33">
        <v>1166</v>
      </c>
      <c r="AL93" s="33">
        <f>+AI93/AK93</f>
        <v>5.2830188679245285E-2</v>
      </c>
      <c r="AM93" s="33">
        <f>+AI93/AK93</f>
        <v>5.2830188679245285E-2</v>
      </c>
      <c r="AN93" s="33">
        <f>+(2+21+4)/(1+7+1)</f>
        <v>3</v>
      </c>
      <c r="AO93" s="33">
        <f>+(1*24483+8*19581+14688*9+3*9793)/21*AI93</f>
        <v>1005259.2</v>
      </c>
      <c r="AP93" s="34">
        <v>6120.69</v>
      </c>
      <c r="AQ93" s="33" t="s">
        <v>71</v>
      </c>
      <c r="AR93" s="34" t="s">
        <v>493</v>
      </c>
      <c r="AS93" s="35">
        <v>44686</v>
      </c>
      <c r="AT93" s="36"/>
      <c r="AU93" s="37"/>
      <c r="AV93" s="19"/>
      <c r="AW93" s="19"/>
      <c r="AX93" s="19"/>
      <c r="AY93" s="19"/>
      <c r="AZ93" s="19"/>
      <c r="BA93" s="19"/>
      <c r="BB93" s="19"/>
      <c r="BC93" s="19"/>
      <c r="BD93" s="19"/>
      <c r="BE93" s="19"/>
      <c r="BF93" s="19"/>
      <c r="BG93" s="20"/>
      <c r="BH93" s="20"/>
      <c r="BI93" s="20"/>
      <c r="BJ93" s="20"/>
      <c r="BK93" s="20"/>
      <c r="BL93" s="20"/>
      <c r="BM93" s="20"/>
      <c r="BN93" s="20"/>
      <c r="BO93" s="20"/>
      <c r="BP93" s="20"/>
      <c r="BQ93" s="20"/>
      <c r="BR93" s="20"/>
      <c r="BS93" s="20"/>
      <c r="BT93" s="20"/>
      <c r="BU93" s="20"/>
      <c r="BV93" s="20"/>
      <c r="IP93" s="20"/>
      <c r="IQ93" s="20"/>
      <c r="IR93" s="20"/>
      <c r="IS93" s="20"/>
      <c r="IT93" s="20"/>
      <c r="IU93" s="20"/>
      <c r="IV93" s="20"/>
    </row>
    <row r="94" spans="1:256" s="21" customFormat="1" ht="89.25">
      <c r="A94" s="22"/>
      <c r="B94" s="38">
        <v>85</v>
      </c>
      <c r="C94" s="39" t="s">
        <v>494</v>
      </c>
      <c r="D94" s="25">
        <v>44523</v>
      </c>
      <c r="E94" s="26">
        <v>44124</v>
      </c>
      <c r="F94" s="26">
        <v>141468</v>
      </c>
      <c r="G94" s="26">
        <v>32035</v>
      </c>
      <c r="H94" s="27">
        <v>355</v>
      </c>
      <c r="I94" s="27"/>
      <c r="J94" s="27">
        <v>13</v>
      </c>
      <c r="K94" s="27"/>
      <c r="L94" s="27" t="s">
        <v>495</v>
      </c>
      <c r="M94" s="27" t="s">
        <v>496</v>
      </c>
      <c r="N94" s="27" t="s">
        <v>497</v>
      </c>
      <c r="O94" s="27"/>
      <c r="P94" s="27" t="s">
        <v>498</v>
      </c>
      <c r="Q94" s="27"/>
      <c r="R94" s="27"/>
      <c r="S94" s="27"/>
      <c r="T94" s="27"/>
      <c r="U94" s="28"/>
      <c r="V94" s="27">
        <v>2</v>
      </c>
      <c r="W94" s="27"/>
      <c r="X94" s="27" t="s">
        <v>77</v>
      </c>
      <c r="Y94" s="29"/>
      <c r="Z94" s="30"/>
      <c r="AA94" s="31"/>
      <c r="AB94" s="30"/>
      <c r="AC94" s="31"/>
      <c r="AD94" s="30"/>
      <c r="AE94" s="27">
        <v>211.4</v>
      </c>
      <c r="AF94" s="27"/>
      <c r="AG94" s="27">
        <f>24.58+2.92/2+36.09/2</f>
        <v>44.085000000000001</v>
      </c>
      <c r="AH94" s="27"/>
      <c r="AI94" s="28"/>
      <c r="AJ94" s="32"/>
      <c r="AK94" s="33">
        <v>805.6</v>
      </c>
      <c r="AL94" s="33">
        <v>0.25</v>
      </c>
      <c r="AM94" s="33">
        <f>+(AE94+AG94)/AK94</f>
        <v>0.31713629592850051</v>
      </c>
      <c r="AN94" s="33">
        <f>+(4+15+4)/(2+5+1)</f>
        <v>2.875</v>
      </c>
      <c r="AO94" s="33">
        <f>+(6*24483+19581*7+14688*7+2*9793)/22*AG94</f>
        <v>814304.05431818182</v>
      </c>
      <c r="AP94" s="34">
        <v>13010.87</v>
      </c>
      <c r="AQ94" s="33" t="s">
        <v>71</v>
      </c>
      <c r="AR94" s="34" t="s">
        <v>499</v>
      </c>
      <c r="AS94" s="35">
        <v>44687</v>
      </c>
      <c r="AT94" s="36"/>
      <c r="AU94" s="43"/>
      <c r="AV94" s="19"/>
      <c r="AW94" s="19"/>
      <c r="AX94" s="19"/>
      <c r="AY94" s="19"/>
      <c r="AZ94" s="19"/>
      <c r="BA94" s="19"/>
      <c r="BB94" s="19"/>
      <c r="BC94" s="19"/>
      <c r="BD94" s="19"/>
      <c r="BE94" s="19"/>
      <c r="BF94" s="19"/>
      <c r="BG94" s="20"/>
      <c r="BH94" s="20"/>
      <c r="BI94" s="20"/>
      <c r="BJ94" s="20"/>
      <c r="BK94" s="20"/>
      <c r="BL94" s="20"/>
      <c r="BM94" s="20"/>
      <c r="BN94" s="20"/>
      <c r="BO94" s="20"/>
      <c r="BP94" s="20"/>
      <c r="BQ94" s="20"/>
      <c r="BR94" s="20"/>
      <c r="BS94" s="20"/>
      <c r="BT94" s="20"/>
      <c r="BU94" s="20"/>
      <c r="BV94" s="20"/>
      <c r="IP94" s="20"/>
      <c r="IQ94" s="20"/>
      <c r="IR94" s="20"/>
      <c r="IS94" s="20"/>
      <c r="IT94" s="20"/>
      <c r="IU94" s="20"/>
      <c r="IV94" s="20"/>
    </row>
    <row r="95" spans="1:256" s="21" customFormat="1" ht="63.75">
      <c r="A95" s="22"/>
      <c r="B95" s="23">
        <v>84</v>
      </c>
      <c r="C95" s="24">
        <v>538918</v>
      </c>
      <c r="D95" s="25">
        <v>44567</v>
      </c>
      <c r="E95" s="26">
        <v>56395</v>
      </c>
      <c r="F95" s="26">
        <v>165134</v>
      </c>
      <c r="G95" s="26">
        <v>33573</v>
      </c>
      <c r="H95" s="27">
        <v>341</v>
      </c>
      <c r="I95" s="27"/>
      <c r="J95" s="27"/>
      <c r="K95" s="27">
        <v>11</v>
      </c>
      <c r="L95" s="27" t="s">
        <v>500</v>
      </c>
      <c r="M95" s="27" t="s">
        <v>501</v>
      </c>
      <c r="N95" s="27" t="s">
        <v>502</v>
      </c>
      <c r="O95" s="27"/>
      <c r="P95" s="27" t="s">
        <v>56</v>
      </c>
      <c r="Q95" s="27"/>
      <c r="R95" s="27"/>
      <c r="S95" s="27"/>
      <c r="T95" s="27">
        <v>1</v>
      </c>
      <c r="U95" s="28"/>
      <c r="V95" s="27"/>
      <c r="W95" s="27"/>
      <c r="X95" s="27" t="s">
        <v>65</v>
      </c>
      <c r="Y95" s="29">
        <v>3</v>
      </c>
      <c r="Z95" s="30"/>
      <c r="AA95" s="31">
        <f>+Y95+1</f>
        <v>4</v>
      </c>
      <c r="AB95" s="30"/>
      <c r="AC95" s="31">
        <f>+Y95*2</f>
        <v>6</v>
      </c>
      <c r="AD95" s="30"/>
      <c r="AE95" s="27"/>
      <c r="AF95" s="27"/>
      <c r="AG95" s="27">
        <f>149.2+71.3/2</f>
        <v>184.85</v>
      </c>
      <c r="AH95" s="27"/>
      <c r="AI95" s="28"/>
      <c r="AJ95" s="32"/>
      <c r="AK95" s="33">
        <v>916.09</v>
      </c>
      <c r="AL95" s="33">
        <f>+(149.2+71.3)/AK95</f>
        <v>0.2406968747612134</v>
      </c>
      <c r="AM95" s="33">
        <f>+AG95/AK95</f>
        <v>0.20178148435197413</v>
      </c>
      <c r="AN95" s="33"/>
      <c r="AO95" s="33">
        <f>+(6*24483+19581*9+2*14688+3*9793)/20*AG95</f>
        <v>3529544.3849999998</v>
      </c>
      <c r="AP95" s="34">
        <v>51954.48</v>
      </c>
      <c r="AQ95" s="33" t="s">
        <v>51</v>
      </c>
      <c r="AR95" s="34" t="s">
        <v>503</v>
      </c>
      <c r="AS95" s="35">
        <v>44686</v>
      </c>
      <c r="AT95" s="36"/>
      <c r="AU95" s="43"/>
      <c r="AV95" s="19"/>
      <c r="AW95" s="19"/>
      <c r="AX95" s="19"/>
      <c r="AY95" s="19"/>
      <c r="AZ95" s="19"/>
      <c r="BA95" s="19"/>
      <c r="BB95" s="19"/>
      <c r="BC95" s="19"/>
      <c r="BD95" s="19"/>
      <c r="BE95" s="19"/>
      <c r="BF95" s="19"/>
      <c r="BG95" s="20"/>
      <c r="BH95" s="20"/>
      <c r="BI95" s="20"/>
      <c r="BJ95" s="20"/>
      <c r="BK95" s="20"/>
      <c r="BL95" s="20"/>
      <c r="BM95" s="20"/>
      <c r="BN95" s="20"/>
      <c r="BO95" s="20"/>
      <c r="BP95" s="20"/>
      <c r="BQ95" s="20"/>
      <c r="BR95" s="20"/>
      <c r="BS95" s="20"/>
      <c r="BT95" s="20"/>
      <c r="BU95" s="20"/>
      <c r="BV95" s="20"/>
      <c r="IP95" s="20"/>
      <c r="IQ95" s="20"/>
      <c r="IR95" s="20"/>
      <c r="IS95" s="20"/>
      <c r="IT95" s="20"/>
      <c r="IU95" s="20"/>
      <c r="IV95" s="20"/>
    </row>
    <row r="96" spans="1:256" s="21" customFormat="1" ht="51">
      <c r="A96" s="22"/>
      <c r="B96" s="23">
        <v>87</v>
      </c>
      <c r="C96" s="24">
        <v>541299</v>
      </c>
      <c r="D96" s="25">
        <v>44655</v>
      </c>
      <c r="E96" s="26">
        <v>60133</v>
      </c>
      <c r="F96" s="26">
        <v>168280</v>
      </c>
      <c r="G96" s="26">
        <v>33882</v>
      </c>
      <c r="H96" s="27">
        <v>327</v>
      </c>
      <c r="I96" s="27"/>
      <c r="J96" s="27">
        <v>6</v>
      </c>
      <c r="K96" s="27">
        <v>6</v>
      </c>
      <c r="L96" s="27" t="s">
        <v>74</v>
      </c>
      <c r="M96" s="27" t="s">
        <v>425</v>
      </c>
      <c r="N96" s="27" t="s">
        <v>504</v>
      </c>
      <c r="O96" s="27"/>
      <c r="P96" s="27" t="s">
        <v>222</v>
      </c>
      <c r="Q96" s="27" t="s">
        <v>222</v>
      </c>
      <c r="R96" s="27" t="s">
        <v>222</v>
      </c>
      <c r="S96" s="27" t="s">
        <v>100</v>
      </c>
      <c r="T96" s="27"/>
      <c r="U96" s="28">
        <v>1</v>
      </c>
      <c r="V96" s="27"/>
      <c r="W96" s="27"/>
      <c r="X96" s="27" t="s">
        <v>65</v>
      </c>
      <c r="Y96" s="29"/>
      <c r="Z96" s="30">
        <v>1</v>
      </c>
      <c r="AA96" s="31"/>
      <c r="AB96" s="30">
        <f>+Z96</f>
        <v>1</v>
      </c>
      <c r="AC96" s="31"/>
      <c r="AD96" s="30">
        <f>+Z96*2</f>
        <v>2</v>
      </c>
      <c r="AE96" s="27"/>
      <c r="AF96" s="27"/>
      <c r="AG96" s="27"/>
      <c r="AH96" s="27"/>
      <c r="AI96" s="28">
        <f>40.5+18/2</f>
        <v>49.5</v>
      </c>
      <c r="AJ96" s="32"/>
      <c r="AK96" s="33">
        <v>310.3</v>
      </c>
      <c r="AL96" s="33">
        <f>+(40.5+18)/AK96</f>
        <v>0.18852723171124716</v>
      </c>
      <c r="AM96" s="33">
        <f>+AI96/AK96</f>
        <v>0.15952304221720914</v>
      </c>
      <c r="AN96" s="33"/>
      <c r="AO96" s="33">
        <f>+(24483+4*19581+14688*9+9793*6)/20*AI96</f>
        <v>727048.57500000007</v>
      </c>
      <c r="AP96" s="34">
        <v>3489.26</v>
      </c>
      <c r="AQ96" s="33" t="s">
        <v>71</v>
      </c>
      <c r="AR96" s="34" t="s">
        <v>505</v>
      </c>
      <c r="AS96" s="35">
        <v>44686</v>
      </c>
      <c r="AT96" s="36"/>
      <c r="AU96" s="37">
        <v>44656</v>
      </c>
      <c r="AV96" s="19"/>
      <c r="AW96" s="19"/>
      <c r="AX96" s="19"/>
      <c r="AY96" s="19"/>
      <c r="AZ96" s="19"/>
      <c r="BA96" s="19"/>
      <c r="BB96" s="19"/>
      <c r="BC96" s="19"/>
      <c r="BD96" s="19"/>
      <c r="BE96" s="19"/>
      <c r="BF96" s="19"/>
      <c r="BG96" s="20"/>
      <c r="BH96" s="20"/>
      <c r="BI96" s="20"/>
      <c r="BJ96" s="20"/>
      <c r="BK96" s="20"/>
      <c r="BL96" s="20"/>
      <c r="BM96" s="20"/>
      <c r="BN96" s="20"/>
      <c r="BO96" s="20"/>
      <c r="BP96" s="20"/>
      <c r="BQ96" s="20"/>
      <c r="BR96" s="20"/>
      <c r="BS96" s="20"/>
      <c r="BT96" s="20"/>
      <c r="BU96" s="20"/>
      <c r="BV96" s="20"/>
      <c r="IP96" s="20"/>
      <c r="IQ96" s="20"/>
      <c r="IR96" s="20"/>
      <c r="IS96" s="20"/>
      <c r="IT96" s="20"/>
      <c r="IU96" s="20"/>
      <c r="IV96" s="20"/>
    </row>
    <row r="97" spans="1:256" s="21" customFormat="1" ht="76.5">
      <c r="A97" s="22"/>
      <c r="B97" s="23">
        <v>86</v>
      </c>
      <c r="C97" s="65" t="s">
        <v>506</v>
      </c>
      <c r="D97" s="25">
        <v>44614</v>
      </c>
      <c r="E97" s="26">
        <v>31907</v>
      </c>
      <c r="F97" s="26">
        <v>130829</v>
      </c>
      <c r="G97" s="26">
        <v>20208</v>
      </c>
      <c r="H97" s="27">
        <v>42</v>
      </c>
      <c r="I97" s="27"/>
      <c r="J97" s="27">
        <v>368</v>
      </c>
      <c r="K97" s="27">
        <v>10</v>
      </c>
      <c r="L97" s="27" t="s">
        <v>74</v>
      </c>
      <c r="M97" s="27" t="s">
        <v>451</v>
      </c>
      <c r="N97" s="27" t="s">
        <v>507</v>
      </c>
      <c r="O97" s="27"/>
      <c r="P97" s="27" t="s">
        <v>508</v>
      </c>
      <c r="Q97" s="27" t="s">
        <v>508</v>
      </c>
      <c r="R97" s="27" t="s">
        <v>508</v>
      </c>
      <c r="S97" s="27" t="s">
        <v>161</v>
      </c>
      <c r="T97" s="27">
        <v>1</v>
      </c>
      <c r="U97" s="28">
        <v>1</v>
      </c>
      <c r="V97" s="27"/>
      <c r="W97" s="27"/>
      <c r="X97" s="27" t="s">
        <v>77</v>
      </c>
      <c r="Y97" s="29"/>
      <c r="Z97" s="30"/>
      <c r="AA97" s="31"/>
      <c r="AB97" s="30"/>
      <c r="AC97" s="31"/>
      <c r="AD97" s="30"/>
      <c r="AE97" s="27"/>
      <c r="AF97" s="27"/>
      <c r="AG97" s="27"/>
      <c r="AH97" s="27"/>
      <c r="AI97" s="28"/>
      <c r="AJ97" s="32"/>
      <c r="AK97" s="33"/>
      <c r="AL97" s="33"/>
      <c r="AM97" s="33"/>
      <c r="AN97" s="33"/>
      <c r="AO97" s="33"/>
      <c r="AP97" s="34">
        <v>52181.2</v>
      </c>
      <c r="AQ97" s="33" t="s">
        <v>71</v>
      </c>
      <c r="AR97" s="34" t="s">
        <v>509</v>
      </c>
      <c r="AS97" s="35">
        <v>44687</v>
      </c>
      <c r="AT97" s="36"/>
      <c r="AU97" s="37"/>
      <c r="AV97" s="19"/>
      <c r="AW97" s="19"/>
      <c r="AX97" s="19"/>
      <c r="AY97" s="19"/>
      <c r="AZ97" s="19"/>
      <c r="BA97" s="19"/>
      <c r="BB97" s="19"/>
      <c r="BC97" s="19"/>
      <c r="BD97" s="19"/>
      <c r="BE97" s="19"/>
      <c r="BF97" s="19"/>
      <c r="BG97" s="20"/>
      <c r="BH97" s="20"/>
      <c r="BI97" s="20"/>
      <c r="BJ97" s="20"/>
      <c r="BK97" s="20"/>
      <c r="BL97" s="20"/>
      <c r="BM97" s="20"/>
      <c r="BN97" s="20"/>
      <c r="BO97" s="20"/>
      <c r="BP97" s="20"/>
      <c r="BQ97" s="20"/>
      <c r="BR97" s="20"/>
      <c r="BS97" s="20"/>
      <c r="BT97" s="20"/>
      <c r="BU97" s="20"/>
      <c r="BV97" s="20"/>
      <c r="IP97" s="20"/>
      <c r="IQ97" s="20"/>
      <c r="IR97" s="20"/>
      <c r="IS97" s="20"/>
      <c r="IT97" s="20"/>
      <c r="IU97" s="20"/>
      <c r="IV97" s="20"/>
    </row>
    <row r="98" spans="1:256" s="21" customFormat="1" ht="89.25">
      <c r="A98" s="22"/>
      <c r="B98" s="23">
        <v>90</v>
      </c>
      <c r="C98" s="24">
        <v>542078</v>
      </c>
      <c r="D98" s="25">
        <v>44684</v>
      </c>
      <c r="E98" s="26">
        <v>31296</v>
      </c>
      <c r="F98" s="26">
        <v>130340</v>
      </c>
      <c r="G98" s="26">
        <v>6712</v>
      </c>
      <c r="H98" s="27"/>
      <c r="I98" s="27"/>
      <c r="J98" s="27">
        <v>155</v>
      </c>
      <c r="K98" s="27">
        <v>2</v>
      </c>
      <c r="L98" s="27" t="s">
        <v>60</v>
      </c>
      <c r="M98" s="27" t="s">
        <v>510</v>
      </c>
      <c r="N98" s="27" t="s">
        <v>511</v>
      </c>
      <c r="O98" s="27"/>
      <c r="P98" s="27" t="s">
        <v>512</v>
      </c>
      <c r="Q98" s="27"/>
      <c r="R98" s="27"/>
      <c r="S98" s="27"/>
      <c r="T98" s="27">
        <v>2</v>
      </c>
      <c r="U98" s="28"/>
      <c r="V98" s="27"/>
      <c r="W98" s="27"/>
      <c r="X98" s="27" t="s">
        <v>77</v>
      </c>
      <c r="Y98" s="29">
        <f>2+2</f>
        <v>4</v>
      </c>
      <c r="Z98" s="30"/>
      <c r="AA98" s="31">
        <f>+Y98+1+1</f>
        <v>6</v>
      </c>
      <c r="AB98" s="30"/>
      <c r="AC98" s="31">
        <f>+Y98*2</f>
        <v>8</v>
      </c>
      <c r="AD98" s="30"/>
      <c r="AE98" s="27">
        <f>124.82+2.11/2</f>
        <v>125.875</v>
      </c>
      <c r="AF98" s="27"/>
      <c r="AG98" s="27">
        <f>64.46+4.7/2</f>
        <v>66.809999999999988</v>
      </c>
      <c r="AH98" s="27"/>
      <c r="AI98" s="28"/>
      <c r="AJ98" s="32"/>
      <c r="AK98" s="33">
        <v>168.5</v>
      </c>
      <c r="AL98" s="33">
        <f>+(124.82+2.11+4.7)/AK98</f>
        <v>0.78118694362017804</v>
      </c>
      <c r="AM98" s="33">
        <f>+(AE98+AG98)/AK98</f>
        <v>1.1435311572700297</v>
      </c>
      <c r="AN98" s="33"/>
      <c r="AO98" s="33">
        <f>+(6*24483+8*19581+14688*3+6*9793)/23*AG98</f>
        <v>1180410.6991304348</v>
      </c>
      <c r="AP98" s="34">
        <v>20066.98</v>
      </c>
      <c r="AQ98" s="33" t="s">
        <v>71</v>
      </c>
      <c r="AR98" s="34" t="s">
        <v>513</v>
      </c>
      <c r="AS98" s="35">
        <v>44697</v>
      </c>
      <c r="AT98" s="36"/>
      <c r="AU98" s="37">
        <v>44685</v>
      </c>
      <c r="AV98" s="19"/>
      <c r="AW98" s="19"/>
      <c r="AX98" s="19"/>
      <c r="AY98" s="19"/>
      <c r="AZ98" s="19"/>
      <c r="BA98" s="19"/>
      <c r="BB98" s="19"/>
      <c r="BC98" s="19"/>
      <c r="BD98" s="19"/>
      <c r="BE98" s="19"/>
      <c r="BF98" s="19"/>
      <c r="BG98" s="20"/>
      <c r="BH98" s="20"/>
      <c r="BI98" s="20"/>
      <c r="BJ98" s="20"/>
      <c r="BK98" s="20"/>
      <c r="BL98" s="20"/>
      <c r="BM98" s="20"/>
      <c r="BN98" s="20"/>
      <c r="BO98" s="20"/>
      <c r="BP98" s="20"/>
      <c r="BQ98" s="20"/>
      <c r="BR98" s="20"/>
      <c r="BS98" s="20"/>
      <c r="BT98" s="20"/>
      <c r="BU98" s="20"/>
      <c r="BV98" s="20"/>
      <c r="IP98" s="20"/>
      <c r="IQ98" s="20"/>
      <c r="IR98" s="20"/>
      <c r="IS98" s="20"/>
      <c r="IT98" s="20"/>
      <c r="IU98" s="20"/>
      <c r="IV98" s="20"/>
    </row>
    <row r="99" spans="1:256" s="21" customFormat="1" ht="89.25">
      <c r="A99" s="22"/>
      <c r="B99" s="23">
        <v>93</v>
      </c>
      <c r="C99" s="24">
        <v>541027</v>
      </c>
      <c r="D99" s="25">
        <v>44643</v>
      </c>
      <c r="E99" s="26">
        <v>43738</v>
      </c>
      <c r="F99" s="26">
        <v>141516</v>
      </c>
      <c r="G99" s="26">
        <v>32013</v>
      </c>
      <c r="H99" s="27">
        <v>3</v>
      </c>
      <c r="I99" s="27"/>
      <c r="J99" s="27">
        <v>6</v>
      </c>
      <c r="K99" s="27">
        <v>10</v>
      </c>
      <c r="L99" s="27" t="s">
        <v>514</v>
      </c>
      <c r="M99" s="27" t="s">
        <v>270</v>
      </c>
      <c r="N99" s="27" t="s">
        <v>515</v>
      </c>
      <c r="O99" s="27"/>
      <c r="P99" s="27" t="s">
        <v>317</v>
      </c>
      <c r="Q99" s="27" t="s">
        <v>516</v>
      </c>
      <c r="R99" s="27" t="s">
        <v>317</v>
      </c>
      <c r="S99" s="27" t="s">
        <v>516</v>
      </c>
      <c r="T99" s="27"/>
      <c r="U99" s="28">
        <v>1</v>
      </c>
      <c r="V99" s="27"/>
      <c r="W99" s="27"/>
      <c r="X99" s="27" t="s">
        <v>65</v>
      </c>
      <c r="Y99" s="29"/>
      <c r="Z99" s="30">
        <v>3</v>
      </c>
      <c r="AA99" s="31"/>
      <c r="AB99" s="30">
        <f>+Z99+1+1</f>
        <v>5</v>
      </c>
      <c r="AC99" s="31"/>
      <c r="AD99" s="30">
        <f>+Z99*2</f>
        <v>6</v>
      </c>
      <c r="AE99" s="27"/>
      <c r="AF99" s="27"/>
      <c r="AG99" s="27"/>
      <c r="AH99" s="27"/>
      <c r="AI99" s="28">
        <f>242.3+59.27/2</f>
        <v>271.935</v>
      </c>
      <c r="AJ99" s="32"/>
      <c r="AK99" s="33">
        <v>892.42</v>
      </c>
      <c r="AL99" s="33">
        <f>+(48.1+158.6+5.5)/AK99</f>
        <v>0.23778041729230631</v>
      </c>
      <c r="AM99" s="33">
        <f>+AI99/AK99</f>
        <v>0.30471638914412497</v>
      </c>
      <c r="AN99" s="33"/>
      <c r="AO99" s="33">
        <f>+(12*24483+19581*10+14688*4)/26*AI99</f>
        <v>5735297.4126923084</v>
      </c>
      <c r="AP99" s="34">
        <v>19157.52</v>
      </c>
      <c r="AQ99" s="33" t="s">
        <v>71</v>
      </c>
      <c r="AR99" s="34" t="s">
        <v>517</v>
      </c>
      <c r="AS99" s="35">
        <v>44697</v>
      </c>
      <c r="AT99" s="36"/>
      <c r="AU99" s="37" t="s">
        <v>518</v>
      </c>
      <c r="AV99" s="19"/>
      <c r="AW99" s="19"/>
      <c r="AX99" s="19"/>
      <c r="AY99" s="19"/>
      <c r="AZ99" s="19"/>
      <c r="BA99" s="19"/>
      <c r="BB99" s="19"/>
      <c r="BC99" s="19"/>
      <c r="BD99" s="19"/>
      <c r="BE99" s="19"/>
      <c r="BF99" s="19"/>
      <c r="BG99" s="20"/>
      <c r="BH99" s="20"/>
      <c r="BI99" s="20"/>
      <c r="BJ99" s="20"/>
      <c r="BK99" s="20"/>
      <c r="BL99" s="20"/>
      <c r="BM99" s="20"/>
      <c r="BN99" s="20"/>
      <c r="BO99" s="20"/>
      <c r="BP99" s="20"/>
      <c r="BQ99" s="20"/>
      <c r="BR99" s="20"/>
      <c r="BS99" s="20"/>
      <c r="BT99" s="20"/>
      <c r="BU99" s="20"/>
      <c r="BV99" s="20"/>
      <c r="IP99" s="20"/>
      <c r="IQ99" s="20"/>
      <c r="IR99" s="20"/>
      <c r="IS99" s="20"/>
      <c r="IT99" s="20"/>
      <c r="IU99" s="20"/>
      <c r="IV99" s="20"/>
    </row>
    <row r="100" spans="1:256" s="21" customFormat="1" ht="63.75">
      <c r="A100" s="22"/>
      <c r="B100" s="23">
        <v>92</v>
      </c>
      <c r="C100" s="24" t="s">
        <v>519</v>
      </c>
      <c r="D100" s="25">
        <v>44567</v>
      </c>
      <c r="E100" s="26">
        <v>57525</v>
      </c>
      <c r="F100" s="26">
        <v>165820</v>
      </c>
      <c r="G100" s="26">
        <v>33710</v>
      </c>
      <c r="H100" s="27">
        <v>2</v>
      </c>
      <c r="I100" s="27"/>
      <c r="J100" s="27"/>
      <c r="K100" s="27">
        <v>60</v>
      </c>
      <c r="L100" s="27" t="s">
        <v>520</v>
      </c>
      <c r="M100" s="27" t="s">
        <v>241</v>
      </c>
      <c r="N100" s="27" t="s">
        <v>521</v>
      </c>
      <c r="O100" s="27"/>
      <c r="P100" s="27" t="s">
        <v>522</v>
      </c>
      <c r="Q100" s="27"/>
      <c r="R100" s="27"/>
      <c r="S100" s="27"/>
      <c r="T100" s="27">
        <v>2</v>
      </c>
      <c r="U100" s="28"/>
      <c r="V100" s="27"/>
      <c r="W100" s="27"/>
      <c r="X100" s="27" t="s">
        <v>77</v>
      </c>
      <c r="Y100" s="29">
        <f>1+1</f>
        <v>2</v>
      </c>
      <c r="Z100" s="30"/>
      <c r="AA100" s="31">
        <f>+Y100+1+1</f>
        <v>4</v>
      </c>
      <c r="AB100" s="30"/>
      <c r="AC100" s="31">
        <f>+Y100*2</f>
        <v>4</v>
      </c>
      <c r="AD100" s="30"/>
      <c r="AE100" s="27"/>
      <c r="AF100" s="27"/>
      <c r="AG100" s="27">
        <f>77+59.8+48</f>
        <v>184.8</v>
      </c>
      <c r="AH100" s="27"/>
      <c r="AI100" s="28"/>
      <c r="AJ100" s="32"/>
      <c r="AK100" s="33">
        <v>2651.88</v>
      </c>
      <c r="AL100" s="33">
        <f>+(77+59.8)/AK100</f>
        <v>5.1586044617403508E-2</v>
      </c>
      <c r="AM100" s="33">
        <f>+AG100/AK100</f>
        <v>6.968641114982578E-2</v>
      </c>
      <c r="AN100" s="33"/>
      <c r="AO100" s="33"/>
      <c r="AP100" s="34">
        <v>39492.239999999998</v>
      </c>
      <c r="AQ100" s="33" t="s">
        <v>36</v>
      </c>
      <c r="AR100" s="34" t="s">
        <v>523</v>
      </c>
      <c r="AS100" s="35">
        <v>44697</v>
      </c>
      <c r="AT100" s="36"/>
      <c r="AU100" s="43" t="s">
        <v>524</v>
      </c>
      <c r="AV100" s="19"/>
      <c r="AW100" s="19"/>
      <c r="AX100" s="19"/>
      <c r="AY100" s="19"/>
      <c r="AZ100" s="19"/>
      <c r="BA100" s="19"/>
      <c r="BB100" s="19"/>
      <c r="BC100" s="19"/>
      <c r="BD100" s="19"/>
      <c r="BE100" s="19"/>
      <c r="BF100" s="19"/>
      <c r="BG100" s="20"/>
      <c r="BH100" s="20"/>
      <c r="BI100" s="20"/>
      <c r="BJ100" s="20"/>
      <c r="BK100" s="20"/>
      <c r="BL100" s="20"/>
      <c r="BM100" s="20"/>
      <c r="BN100" s="20"/>
      <c r="BO100" s="20"/>
      <c r="BP100" s="20"/>
      <c r="BQ100" s="20"/>
      <c r="BR100" s="20"/>
      <c r="BS100" s="20"/>
      <c r="BT100" s="20"/>
      <c r="BU100" s="20"/>
      <c r="BV100" s="20"/>
      <c r="IP100" s="20"/>
      <c r="IQ100" s="20"/>
      <c r="IR100" s="20"/>
      <c r="IS100" s="20"/>
      <c r="IT100" s="20"/>
      <c r="IU100" s="20"/>
      <c r="IV100" s="20"/>
    </row>
    <row r="101" spans="1:256" s="21" customFormat="1" ht="38.25">
      <c r="A101" s="22"/>
      <c r="B101" s="118">
        <v>105</v>
      </c>
      <c r="C101" s="24">
        <v>541364</v>
      </c>
      <c r="D101" s="25">
        <v>44657</v>
      </c>
      <c r="E101" s="26">
        <v>23655</v>
      </c>
      <c r="F101" s="26">
        <v>116240</v>
      </c>
      <c r="G101" s="26">
        <v>3953</v>
      </c>
      <c r="H101" s="27"/>
      <c r="I101" s="27"/>
      <c r="J101" s="27">
        <v>511</v>
      </c>
      <c r="K101" s="27">
        <v>1</v>
      </c>
      <c r="L101" s="27" t="s">
        <v>38</v>
      </c>
      <c r="M101" s="27" t="s">
        <v>525</v>
      </c>
      <c r="N101" s="27" t="s">
        <v>526</v>
      </c>
      <c r="O101" s="27" t="s">
        <v>527</v>
      </c>
      <c r="P101" s="27" t="s">
        <v>41</v>
      </c>
      <c r="Q101" s="27" t="s">
        <v>41</v>
      </c>
      <c r="R101" s="27" t="s">
        <v>41</v>
      </c>
      <c r="S101" s="27" t="s">
        <v>528</v>
      </c>
      <c r="T101" s="27"/>
      <c r="U101" s="28"/>
      <c r="V101" s="27">
        <v>1</v>
      </c>
      <c r="W101" s="27"/>
      <c r="X101" s="27" t="s">
        <v>529</v>
      </c>
      <c r="Y101" s="29"/>
      <c r="Z101" s="30"/>
      <c r="AA101" s="31"/>
      <c r="AB101" s="30"/>
      <c r="AC101" s="31"/>
      <c r="AD101" s="30"/>
      <c r="AE101" s="27"/>
      <c r="AF101" s="27">
        <f>889.35+68+3.37/2</f>
        <v>959.03499999999997</v>
      </c>
      <c r="AG101" s="27"/>
      <c r="AH101" s="27"/>
      <c r="AI101" s="28"/>
      <c r="AJ101" s="32">
        <f>440.57+20.28/2</f>
        <v>450.71</v>
      </c>
      <c r="AK101" s="33">
        <v>1890</v>
      </c>
      <c r="AL101" s="33">
        <v>0.51780000000000004</v>
      </c>
      <c r="AM101" s="33">
        <f>+(AF101+AJ101)/AK101</f>
        <v>0.74589682539682534</v>
      </c>
      <c r="AN101" s="33"/>
      <c r="AO101" s="33">
        <f>15197891.06+2254850.06</f>
        <v>17452741.120000001</v>
      </c>
      <c r="AP101" s="34">
        <v>85821.4</v>
      </c>
      <c r="AQ101" s="33" t="s">
        <v>363</v>
      </c>
      <c r="AR101" s="34" t="s">
        <v>530</v>
      </c>
      <c r="AS101" s="35">
        <v>44708</v>
      </c>
      <c r="AT101" s="36"/>
      <c r="AU101" s="37">
        <v>44658</v>
      </c>
      <c r="AV101" s="19"/>
      <c r="AW101" s="19"/>
      <c r="AX101" s="19"/>
      <c r="AY101" s="19"/>
      <c r="AZ101" s="19"/>
      <c r="BA101" s="19"/>
      <c r="BB101" s="19"/>
      <c r="BC101" s="19"/>
      <c r="BD101" s="19"/>
      <c r="BE101" s="19"/>
      <c r="BF101" s="19"/>
      <c r="BG101" s="20"/>
      <c r="BH101" s="20"/>
      <c r="BI101" s="20"/>
      <c r="BJ101" s="20"/>
      <c r="BK101" s="20"/>
      <c r="BL101" s="20"/>
      <c r="BM101" s="20"/>
      <c r="BN101" s="20"/>
      <c r="BO101" s="20"/>
      <c r="BP101" s="20"/>
      <c r="BQ101" s="20"/>
      <c r="BR101" s="20"/>
      <c r="BS101" s="20"/>
      <c r="BT101" s="20"/>
      <c r="BU101" s="20"/>
      <c r="BV101" s="20"/>
      <c r="IP101" s="20"/>
      <c r="IQ101" s="20"/>
      <c r="IR101" s="20"/>
      <c r="IS101" s="20"/>
      <c r="IT101" s="20"/>
      <c r="IU101" s="20"/>
      <c r="IV101" s="20"/>
    </row>
    <row r="102" spans="1:256" s="21" customFormat="1" ht="76.5">
      <c r="A102" s="22"/>
      <c r="B102" s="119">
        <v>95</v>
      </c>
      <c r="C102" s="65" t="s">
        <v>531</v>
      </c>
      <c r="D102" s="100">
        <v>44624</v>
      </c>
      <c r="E102" s="26">
        <v>43459</v>
      </c>
      <c r="F102" s="26">
        <v>119148</v>
      </c>
      <c r="G102" s="26">
        <v>6484</v>
      </c>
      <c r="H102" s="27"/>
      <c r="I102" s="27"/>
      <c r="J102" s="101">
        <v>66</v>
      </c>
      <c r="K102" s="27">
        <v>16</v>
      </c>
      <c r="L102" s="101" t="s">
        <v>38</v>
      </c>
      <c r="M102" s="27" t="s">
        <v>532</v>
      </c>
      <c r="N102" s="102" t="s">
        <v>533</v>
      </c>
      <c r="O102" s="27"/>
      <c r="P102" s="27" t="s">
        <v>534</v>
      </c>
      <c r="Q102" s="27"/>
      <c r="R102" s="27"/>
      <c r="S102" s="27"/>
      <c r="T102" s="27">
        <v>2</v>
      </c>
      <c r="U102" s="28"/>
      <c r="V102" s="27"/>
      <c r="W102" s="27"/>
      <c r="X102" s="27" t="s">
        <v>77</v>
      </c>
      <c r="Y102" s="29">
        <f>1+1</f>
        <v>2</v>
      </c>
      <c r="Z102" s="30"/>
      <c r="AA102" s="31">
        <f>+Y102+1+1</f>
        <v>4</v>
      </c>
      <c r="AB102" s="30"/>
      <c r="AC102" s="31">
        <f>+Y102*2</f>
        <v>4</v>
      </c>
      <c r="AD102" s="30"/>
      <c r="AE102" s="27"/>
      <c r="AF102" s="27"/>
      <c r="AG102" s="27">
        <f>71.18+7.32/2</f>
        <v>74.84</v>
      </c>
      <c r="AH102" s="27"/>
      <c r="AI102" s="28"/>
      <c r="AJ102" s="32"/>
      <c r="AK102" s="33">
        <v>114.01</v>
      </c>
      <c r="AL102" s="33"/>
      <c r="AM102" s="33"/>
      <c r="AN102" s="33"/>
      <c r="AO102" s="33">
        <v>268840.87</v>
      </c>
      <c r="AP102" s="34">
        <v>5343.4</v>
      </c>
      <c r="AQ102" s="33" t="s">
        <v>36</v>
      </c>
      <c r="AR102" s="34" t="s">
        <v>535</v>
      </c>
      <c r="AS102" s="35">
        <v>44711</v>
      </c>
      <c r="AT102" s="36"/>
      <c r="AU102" s="37">
        <v>44692</v>
      </c>
      <c r="AV102" s="19"/>
      <c r="AW102" s="19"/>
      <c r="AX102" s="19"/>
      <c r="AY102" s="19"/>
      <c r="AZ102" s="19"/>
      <c r="BA102" s="19"/>
      <c r="BB102" s="19"/>
      <c r="BC102" s="19"/>
      <c r="BD102" s="19"/>
      <c r="BE102" s="19"/>
      <c r="BF102" s="19"/>
      <c r="BG102" s="20"/>
      <c r="BH102" s="20"/>
      <c r="BI102" s="20"/>
      <c r="BJ102" s="20"/>
      <c r="BK102" s="20"/>
      <c r="BL102" s="20"/>
      <c r="BM102" s="20"/>
      <c r="BN102" s="20"/>
      <c r="BO102" s="20"/>
      <c r="BP102" s="20"/>
      <c r="BQ102" s="20"/>
      <c r="BR102" s="20"/>
      <c r="BS102" s="20"/>
      <c r="BT102" s="20"/>
      <c r="BU102" s="20"/>
      <c r="BV102" s="20"/>
      <c r="IP102" s="20"/>
      <c r="IQ102" s="20"/>
      <c r="IR102" s="20"/>
      <c r="IS102" s="20"/>
      <c r="IT102" s="20"/>
      <c r="IU102" s="20"/>
      <c r="IV102" s="20"/>
    </row>
    <row r="103" spans="1:256" s="21" customFormat="1" ht="76.5">
      <c r="A103" s="22"/>
      <c r="B103" s="23">
        <v>97</v>
      </c>
      <c r="C103" s="24">
        <v>539156</v>
      </c>
      <c r="D103" s="25">
        <v>44579</v>
      </c>
      <c r="E103" s="26">
        <v>39625</v>
      </c>
      <c r="F103" s="26">
        <v>138348</v>
      </c>
      <c r="G103" s="26">
        <v>31594</v>
      </c>
      <c r="H103" s="27">
        <v>3</v>
      </c>
      <c r="I103" s="27"/>
      <c r="J103" s="27">
        <v>6</v>
      </c>
      <c r="K103" s="27">
        <v>3</v>
      </c>
      <c r="L103" s="27" t="s">
        <v>278</v>
      </c>
      <c r="M103" s="27" t="s">
        <v>270</v>
      </c>
      <c r="N103" s="27" t="s">
        <v>536</v>
      </c>
      <c r="O103" s="27"/>
      <c r="P103" s="27" t="s">
        <v>537</v>
      </c>
      <c r="Q103" s="27" t="s">
        <v>537</v>
      </c>
      <c r="R103" s="27" t="s">
        <v>537</v>
      </c>
      <c r="S103" s="27" t="s">
        <v>538</v>
      </c>
      <c r="T103" s="27"/>
      <c r="U103" s="28">
        <v>1</v>
      </c>
      <c r="V103" s="27"/>
      <c r="W103" s="27"/>
      <c r="X103" s="27" t="s">
        <v>65</v>
      </c>
      <c r="Y103" s="29"/>
      <c r="Z103" s="30">
        <f>2+1</f>
        <v>3</v>
      </c>
      <c r="AA103" s="29"/>
      <c r="AB103" s="30">
        <f>+Z103+1</f>
        <v>4</v>
      </c>
      <c r="AC103" s="29"/>
      <c r="AD103" s="30">
        <f>+Z103*2</f>
        <v>6</v>
      </c>
      <c r="AE103" s="27"/>
      <c r="AF103" s="27"/>
      <c r="AG103" s="27"/>
      <c r="AH103" s="27"/>
      <c r="AI103" s="28">
        <f>118.17+79.92/2+80.54+26.88/2</f>
        <v>252.11</v>
      </c>
      <c r="AJ103" s="32"/>
      <c r="AK103" s="33">
        <v>827.33</v>
      </c>
      <c r="AL103" s="33"/>
      <c r="AM103" s="33">
        <f>+AI103/AK103</f>
        <v>0.3047272551460723</v>
      </c>
      <c r="AN103" s="33">
        <f>+(1+4+21+18)/(1+2+7+3)</f>
        <v>3.3846153846153846</v>
      </c>
      <c r="AO103" s="33">
        <f>+(11*24483+19581*7+5*14688+9793*1)/24*AI103</f>
        <v>5143180.5595833343</v>
      </c>
      <c r="AP103" s="34">
        <v>16481</v>
      </c>
      <c r="AQ103" s="33" t="s">
        <v>36</v>
      </c>
      <c r="AR103" s="34" t="s">
        <v>539</v>
      </c>
      <c r="AS103" s="35">
        <v>44700</v>
      </c>
      <c r="AT103" s="36"/>
      <c r="AU103" s="43" t="s">
        <v>540</v>
      </c>
      <c r="AV103" s="120"/>
      <c r="AW103" s="120"/>
      <c r="AX103" s="120"/>
      <c r="AY103" s="120"/>
      <c r="AZ103" s="120"/>
      <c r="BA103" s="120"/>
      <c r="BB103" s="120"/>
      <c r="BC103" s="120"/>
      <c r="BD103" s="120"/>
      <c r="BE103" s="120"/>
      <c r="BF103" s="120"/>
    </row>
    <row r="104" spans="1:256" s="21" customFormat="1" ht="140.25">
      <c r="A104" s="44"/>
      <c r="B104" s="64">
        <v>91</v>
      </c>
      <c r="C104" s="24">
        <v>541863</v>
      </c>
      <c r="D104" s="25">
        <v>44677</v>
      </c>
      <c r="E104" s="26">
        <v>35880</v>
      </c>
      <c r="F104" s="26">
        <v>135510</v>
      </c>
      <c r="G104" s="26">
        <v>31411</v>
      </c>
      <c r="H104" s="27">
        <v>310</v>
      </c>
      <c r="I104" s="27"/>
      <c r="J104" s="27">
        <v>2</v>
      </c>
      <c r="K104" s="27">
        <v>11</v>
      </c>
      <c r="L104" s="27" t="s">
        <v>240</v>
      </c>
      <c r="M104" s="27" t="s">
        <v>541</v>
      </c>
      <c r="N104" s="27" t="s">
        <v>542</v>
      </c>
      <c r="O104" s="27"/>
      <c r="P104" s="27" t="s">
        <v>99</v>
      </c>
      <c r="Q104" s="27"/>
      <c r="R104" s="27"/>
      <c r="S104" s="27"/>
      <c r="T104" s="27"/>
      <c r="U104" s="28"/>
      <c r="V104" s="27"/>
      <c r="W104" s="27"/>
      <c r="X104" s="27" t="s">
        <v>543</v>
      </c>
      <c r="Y104" s="29"/>
      <c r="Z104" s="30"/>
      <c r="AA104" s="31"/>
      <c r="AB104" s="30"/>
      <c r="AC104" s="31"/>
      <c r="AD104" s="30"/>
      <c r="AE104" s="27"/>
      <c r="AF104" s="27"/>
      <c r="AG104" s="27"/>
      <c r="AH104" s="27"/>
      <c r="AI104" s="28"/>
      <c r="AJ104" s="32"/>
      <c r="AK104" s="33"/>
      <c r="AL104" s="33"/>
      <c r="AM104" s="33"/>
      <c r="AN104" s="33"/>
      <c r="AO104" s="33"/>
      <c r="AP104" s="34">
        <v>141012.85</v>
      </c>
      <c r="AQ104" s="33" t="s">
        <v>71</v>
      </c>
      <c r="AR104" s="34" t="s">
        <v>544</v>
      </c>
      <c r="AS104" s="35">
        <v>44697</v>
      </c>
      <c r="AT104" s="36"/>
      <c r="AU104" s="37">
        <v>44677</v>
      </c>
      <c r="AV104" s="19"/>
      <c r="AW104" s="19"/>
      <c r="AX104" s="19"/>
      <c r="AY104" s="19"/>
      <c r="AZ104" s="19"/>
      <c r="BA104" s="19"/>
      <c r="BB104" s="19"/>
      <c r="BC104" s="19"/>
      <c r="BD104" s="19"/>
      <c r="BE104" s="19"/>
      <c r="BF104" s="19"/>
      <c r="BG104" s="20"/>
      <c r="BH104" s="20"/>
      <c r="BI104" s="20"/>
      <c r="BJ104" s="20"/>
      <c r="BK104" s="20"/>
      <c r="BL104" s="20"/>
      <c r="BM104" s="20"/>
      <c r="BN104" s="20"/>
      <c r="BO104" s="20"/>
      <c r="BP104" s="20"/>
      <c r="BQ104" s="20"/>
      <c r="BR104" s="20"/>
      <c r="BS104" s="20"/>
      <c r="BT104" s="20"/>
      <c r="BU104" s="20"/>
      <c r="BV104" s="20"/>
      <c r="IP104" s="20"/>
      <c r="IQ104" s="20"/>
      <c r="IR104" s="20"/>
      <c r="IS104" s="20"/>
      <c r="IT104" s="20"/>
      <c r="IU104" s="20"/>
      <c r="IV104" s="20"/>
    </row>
    <row r="105" spans="1:256" s="21" customFormat="1" ht="63.75">
      <c r="A105" s="44"/>
      <c r="B105" s="64">
        <v>108</v>
      </c>
      <c r="C105" s="24">
        <v>541550</v>
      </c>
      <c r="D105" s="63">
        <v>44663</v>
      </c>
      <c r="E105" s="26">
        <v>50692</v>
      </c>
      <c r="F105" s="26">
        <v>160658</v>
      </c>
      <c r="G105" s="26">
        <v>32833</v>
      </c>
      <c r="H105" s="27">
        <v>3</v>
      </c>
      <c r="I105" s="27"/>
      <c r="J105" s="27">
        <v>4</v>
      </c>
      <c r="K105" s="27">
        <v>24</v>
      </c>
      <c r="L105" s="27" t="s">
        <v>545</v>
      </c>
      <c r="M105" s="27" t="s">
        <v>546</v>
      </c>
      <c r="N105" s="27" t="s">
        <v>547</v>
      </c>
      <c r="O105" s="27"/>
      <c r="P105" s="27" t="s">
        <v>548</v>
      </c>
      <c r="Q105" s="27" t="s">
        <v>548</v>
      </c>
      <c r="R105" s="27" t="s">
        <v>548</v>
      </c>
      <c r="S105" s="27" t="s">
        <v>161</v>
      </c>
      <c r="T105" s="27"/>
      <c r="U105" s="28">
        <v>1</v>
      </c>
      <c r="V105" s="27"/>
      <c r="W105" s="27"/>
      <c r="X105" s="27" t="s">
        <v>549</v>
      </c>
      <c r="Y105" s="29"/>
      <c r="Z105" s="30">
        <f>1+1</f>
        <v>2</v>
      </c>
      <c r="AA105" s="31"/>
      <c r="AB105" s="30">
        <f>+Z105+1+1</f>
        <v>4</v>
      </c>
      <c r="AC105" s="31"/>
      <c r="AD105" s="30">
        <f>+Z105*2</f>
        <v>4</v>
      </c>
      <c r="AE105" s="27"/>
      <c r="AF105" s="27"/>
      <c r="AG105" s="27"/>
      <c r="AH105" s="27"/>
      <c r="AI105" s="28">
        <f>96.57+54.78/2+41.12+10.92/2</f>
        <v>170.54</v>
      </c>
      <c r="AJ105" s="32"/>
      <c r="AK105" s="33">
        <v>806.52</v>
      </c>
      <c r="AL105" s="33">
        <f>+(96.58+54.78)/AK105</f>
        <v>0.18767048554282598</v>
      </c>
      <c r="AM105" s="33">
        <f>+AI105/AK105</f>
        <v>0.21145166889847741</v>
      </c>
      <c r="AN105" s="33"/>
      <c r="AO105" s="33">
        <f>+(12*24483+8*19581+14688*3)/23*AI105</f>
        <v>3666669.3182608695</v>
      </c>
      <c r="AP105" s="34">
        <v>12274.29</v>
      </c>
      <c r="AQ105" s="33" t="s">
        <v>51</v>
      </c>
      <c r="AR105" s="34" t="s">
        <v>550</v>
      </c>
      <c r="AS105" s="35">
        <v>44708</v>
      </c>
      <c r="AT105" s="36"/>
      <c r="AU105" s="37">
        <v>44672</v>
      </c>
      <c r="AV105" s="19"/>
      <c r="AW105" s="19"/>
      <c r="AX105" s="19"/>
      <c r="AY105" s="19"/>
      <c r="AZ105" s="19"/>
      <c r="BA105" s="19"/>
      <c r="BB105" s="19"/>
      <c r="BC105" s="19"/>
      <c r="BD105" s="19"/>
      <c r="BE105" s="19"/>
      <c r="BF105" s="19"/>
      <c r="BG105" s="20"/>
      <c r="BH105" s="20"/>
      <c r="BI105" s="20"/>
      <c r="BJ105" s="20"/>
      <c r="BK105" s="20"/>
      <c r="BL105" s="20"/>
      <c r="BM105" s="20"/>
      <c r="BN105" s="20"/>
      <c r="BO105" s="20"/>
      <c r="BP105" s="20"/>
      <c r="BQ105" s="20"/>
      <c r="BR105" s="20"/>
      <c r="BS105" s="20"/>
      <c r="BT105" s="20"/>
      <c r="BU105" s="20"/>
      <c r="BV105" s="20"/>
      <c r="IP105" s="20"/>
      <c r="IQ105" s="20"/>
      <c r="IR105" s="20"/>
      <c r="IS105" s="20"/>
      <c r="IT105" s="20"/>
      <c r="IU105" s="20"/>
      <c r="IV105" s="20"/>
    </row>
    <row r="106" spans="1:256" s="21" customFormat="1" ht="63.75">
      <c r="A106" s="44"/>
      <c r="B106" s="23">
        <v>94</v>
      </c>
      <c r="C106" s="24">
        <v>531084</v>
      </c>
      <c r="D106" s="25">
        <v>44322</v>
      </c>
      <c r="E106" s="26">
        <v>23318</v>
      </c>
      <c r="F106" s="26">
        <v>9612</v>
      </c>
      <c r="G106" s="26">
        <v>30075</v>
      </c>
      <c r="H106" s="27">
        <v>308</v>
      </c>
      <c r="I106" s="27"/>
      <c r="J106" s="27"/>
      <c r="K106" s="27">
        <v>1</v>
      </c>
      <c r="L106" s="27" t="s">
        <v>551</v>
      </c>
      <c r="M106" s="27" t="s">
        <v>552</v>
      </c>
      <c r="N106" s="27" t="s">
        <v>553</v>
      </c>
      <c r="O106" s="27"/>
      <c r="P106" s="27" t="s">
        <v>137</v>
      </c>
      <c r="Q106" s="27" t="s">
        <v>137</v>
      </c>
      <c r="R106" s="27" t="s">
        <v>137</v>
      </c>
      <c r="S106" s="27" t="s">
        <v>100</v>
      </c>
      <c r="T106" s="27"/>
      <c r="U106" s="28">
        <v>1</v>
      </c>
      <c r="V106" s="27"/>
      <c r="W106" s="27"/>
      <c r="X106" s="27" t="s">
        <v>441</v>
      </c>
      <c r="Y106" s="29"/>
      <c r="Z106" s="30"/>
      <c r="AA106" s="31"/>
      <c r="AB106" s="30"/>
      <c r="AC106" s="31"/>
      <c r="AD106" s="30"/>
      <c r="AE106" s="27"/>
      <c r="AF106" s="27"/>
      <c r="AG106" s="27"/>
      <c r="AH106" s="27"/>
      <c r="AI106" s="28"/>
      <c r="AJ106" s="32">
        <v>787.5</v>
      </c>
      <c r="AK106" s="33">
        <v>2754.38</v>
      </c>
      <c r="AL106" s="33">
        <f>+AJ106/AK106</f>
        <v>0.28590826247649198</v>
      </c>
      <c r="AM106" s="33">
        <f>+AL106</f>
        <v>0.28590826247649198</v>
      </c>
      <c r="AN106" s="33">
        <f>+(1+6+20+24)/(1+2+5+4)</f>
        <v>4.25</v>
      </c>
      <c r="AO106" s="33">
        <f>+(14688*AJ106)</f>
        <v>11566800</v>
      </c>
      <c r="AP106" s="34">
        <v>150848.31</v>
      </c>
      <c r="AQ106" s="33" t="s">
        <v>71</v>
      </c>
      <c r="AR106" s="34" t="s">
        <v>554</v>
      </c>
      <c r="AS106" s="35">
        <v>44698</v>
      </c>
      <c r="AT106" s="36"/>
      <c r="AU106" s="43" t="s">
        <v>555</v>
      </c>
      <c r="AV106" s="19"/>
      <c r="AW106" s="19"/>
      <c r="AX106" s="19"/>
      <c r="AY106" s="19"/>
      <c r="AZ106" s="19"/>
      <c r="BA106" s="19"/>
      <c r="BB106" s="19"/>
      <c r="BC106" s="19"/>
      <c r="BD106" s="19"/>
      <c r="BE106" s="19"/>
      <c r="BF106" s="19"/>
      <c r="BG106" s="20"/>
      <c r="BH106" s="20"/>
      <c r="BI106" s="20"/>
      <c r="BJ106" s="20"/>
      <c r="BK106" s="20"/>
      <c r="BL106" s="20"/>
      <c r="BM106" s="20"/>
      <c r="BN106" s="20"/>
      <c r="BO106" s="20"/>
      <c r="BP106" s="20"/>
      <c r="BQ106" s="20"/>
      <c r="BR106" s="20"/>
      <c r="BS106" s="20"/>
      <c r="BT106" s="20"/>
      <c r="BU106" s="20"/>
      <c r="BV106" s="20"/>
      <c r="IP106" s="20"/>
      <c r="IQ106" s="20"/>
      <c r="IR106" s="20"/>
      <c r="IS106" s="20"/>
      <c r="IT106" s="20"/>
      <c r="IU106" s="20"/>
      <c r="IV106" s="20"/>
    </row>
    <row r="107" spans="1:256" s="21" customFormat="1" ht="63.75">
      <c r="A107" s="44"/>
      <c r="B107" s="23">
        <v>96</v>
      </c>
      <c r="C107" s="24">
        <v>541098</v>
      </c>
      <c r="D107" s="25">
        <v>44648</v>
      </c>
      <c r="E107" s="26">
        <v>56872</v>
      </c>
      <c r="F107" s="26">
        <v>137921</v>
      </c>
      <c r="G107" s="26">
        <v>31518</v>
      </c>
      <c r="H107" s="27">
        <v>3</v>
      </c>
      <c r="I107" s="27"/>
      <c r="J107" s="27">
        <v>8</v>
      </c>
      <c r="K107" s="27">
        <v>4</v>
      </c>
      <c r="L107" s="27" t="s">
        <v>129</v>
      </c>
      <c r="M107" s="27" t="s">
        <v>270</v>
      </c>
      <c r="N107" s="27" t="s">
        <v>556</v>
      </c>
      <c r="O107" s="27"/>
      <c r="P107" s="27" t="s">
        <v>557</v>
      </c>
      <c r="Q107" s="27" t="s">
        <v>557</v>
      </c>
      <c r="R107" s="27" t="s">
        <v>557</v>
      </c>
      <c r="S107" s="27" t="s">
        <v>100</v>
      </c>
      <c r="T107" s="27"/>
      <c r="U107" s="28">
        <v>1</v>
      </c>
      <c r="V107" s="27"/>
      <c r="W107" s="27"/>
      <c r="X107" s="27" t="s">
        <v>65</v>
      </c>
      <c r="Y107" s="29"/>
      <c r="Z107" s="30">
        <f>1+2</f>
        <v>3</v>
      </c>
      <c r="AA107" s="31"/>
      <c r="AB107" s="30">
        <f>+Z107+1</f>
        <v>4</v>
      </c>
      <c r="AC107" s="31"/>
      <c r="AD107" s="30">
        <f>+Z107*2</f>
        <v>6</v>
      </c>
      <c r="AE107" s="27"/>
      <c r="AF107" s="27"/>
      <c r="AG107" s="27"/>
      <c r="AH107" s="27"/>
      <c r="AI107" s="28">
        <f>121.02+0.47/2+34.02/2+43.42/2+46.12</f>
        <v>206.095</v>
      </c>
      <c r="AJ107" s="32"/>
      <c r="AK107" s="33">
        <v>842.38</v>
      </c>
      <c r="AL107" s="33">
        <f>+(121.02+0.47+34.02+43.42)/AK107</f>
        <v>0.23615233030223889</v>
      </c>
      <c r="AM107" s="33">
        <f>+AI107/AK107</f>
        <v>0.24465799282983927</v>
      </c>
      <c r="AN107" s="33"/>
      <c r="AO107" s="33">
        <f>+(10*24483+12*19581+14688*1)/23*AI107</f>
        <v>4430952.8934782604</v>
      </c>
      <c r="AP107" s="34">
        <v>54006.01</v>
      </c>
      <c r="AQ107" s="33" t="s">
        <v>71</v>
      </c>
      <c r="AR107" s="34" t="s">
        <v>558</v>
      </c>
      <c r="AS107" s="35">
        <v>44700</v>
      </c>
      <c r="AT107" s="36"/>
      <c r="AU107" s="37"/>
      <c r="AV107" s="19"/>
      <c r="AW107" s="19"/>
      <c r="AX107" s="19"/>
      <c r="AY107" s="19"/>
      <c r="AZ107" s="19"/>
      <c r="BA107" s="19"/>
      <c r="BB107" s="19"/>
      <c r="BC107" s="19"/>
      <c r="BD107" s="19"/>
      <c r="BE107" s="19"/>
      <c r="BF107" s="19"/>
      <c r="BG107" s="20"/>
      <c r="BH107" s="20"/>
      <c r="BI107" s="20"/>
      <c r="BJ107" s="20"/>
      <c r="BK107" s="20"/>
      <c r="BL107" s="20"/>
      <c r="BM107" s="20"/>
      <c r="BN107" s="20"/>
      <c r="BO107" s="20"/>
      <c r="BP107" s="20"/>
      <c r="BQ107" s="20"/>
      <c r="BR107" s="20"/>
      <c r="BS107" s="20"/>
      <c r="BT107" s="20"/>
      <c r="BU107" s="20"/>
      <c r="BV107" s="20"/>
      <c r="IP107" s="20"/>
      <c r="IQ107" s="20"/>
      <c r="IR107" s="20"/>
      <c r="IS107" s="20"/>
      <c r="IT107" s="20"/>
      <c r="IU107" s="20"/>
      <c r="IV107" s="20"/>
    </row>
    <row r="108" spans="1:256" s="132" customFormat="1" ht="38.25">
      <c r="A108" s="44"/>
      <c r="B108" s="121">
        <v>100</v>
      </c>
      <c r="C108" s="122">
        <v>541865</v>
      </c>
      <c r="D108" s="123">
        <v>44677</v>
      </c>
      <c r="E108" s="124">
        <v>47631</v>
      </c>
      <c r="F108" s="124">
        <v>60448</v>
      </c>
      <c r="G108" s="124">
        <v>30570</v>
      </c>
      <c r="H108" s="98">
        <v>331</v>
      </c>
      <c r="I108" s="98"/>
      <c r="J108" s="98"/>
      <c r="K108" s="98">
        <v>5</v>
      </c>
      <c r="L108" s="98" t="s">
        <v>96</v>
      </c>
      <c r="M108" s="98" t="s">
        <v>259</v>
      </c>
      <c r="N108" s="98" t="s">
        <v>260</v>
      </c>
      <c r="O108" s="98"/>
      <c r="P108" s="98" t="s">
        <v>261</v>
      </c>
      <c r="Q108" s="98" t="s">
        <v>261</v>
      </c>
      <c r="R108" s="98" t="s">
        <v>261</v>
      </c>
      <c r="S108" s="98" t="s">
        <v>262</v>
      </c>
      <c r="T108" s="98"/>
      <c r="U108" s="98">
        <v>1</v>
      </c>
      <c r="V108" s="98"/>
      <c r="W108" s="98"/>
      <c r="X108" s="98" t="s">
        <v>263</v>
      </c>
      <c r="Y108" s="31"/>
      <c r="Z108" s="31"/>
      <c r="AA108" s="31"/>
      <c r="AB108" s="31"/>
      <c r="AC108" s="31"/>
      <c r="AD108" s="31"/>
      <c r="AE108" s="98"/>
      <c r="AF108" s="98"/>
      <c r="AG108" s="98"/>
      <c r="AH108" s="98">
        <v>20</v>
      </c>
      <c r="AI108" s="98"/>
      <c r="AJ108" s="125">
        <v>1636.92</v>
      </c>
      <c r="AK108" s="125">
        <f>206.6*126.08</f>
        <v>26048.128000000001</v>
      </c>
      <c r="AL108" s="125">
        <f>+(AJ108+AH108)/AK108</f>
        <v>6.360994540567369E-2</v>
      </c>
      <c r="AM108" s="125">
        <f>+(AJ108+AH108)/AK108</f>
        <v>6.360994540567369E-2</v>
      </c>
      <c r="AN108" s="125"/>
      <c r="AO108" s="125">
        <f>42627797.35+2987667.33</f>
        <v>45615464.68</v>
      </c>
      <c r="AP108" s="126">
        <v>206310.37</v>
      </c>
      <c r="AQ108" s="125" t="s">
        <v>71</v>
      </c>
      <c r="AR108" s="126" t="s">
        <v>264</v>
      </c>
      <c r="AS108" s="127">
        <v>44607</v>
      </c>
      <c r="AT108" s="128"/>
      <c r="AU108" s="129" t="s">
        <v>265</v>
      </c>
      <c r="AV108" s="130"/>
      <c r="AW108" s="130"/>
      <c r="AX108" s="130"/>
      <c r="AY108" s="130"/>
      <c r="AZ108" s="130"/>
      <c r="BA108" s="130"/>
      <c r="BB108" s="130"/>
      <c r="BC108" s="130"/>
      <c r="BD108" s="130"/>
      <c r="BE108" s="130"/>
      <c r="BF108" s="130"/>
      <c r="BG108" s="131"/>
      <c r="BH108" s="131"/>
      <c r="BI108" s="131"/>
      <c r="BJ108" s="131"/>
      <c r="BK108" s="131"/>
      <c r="BL108" s="131"/>
      <c r="BM108" s="131"/>
      <c r="BN108" s="131"/>
      <c r="BO108" s="131"/>
      <c r="BP108" s="131"/>
      <c r="BQ108" s="131"/>
      <c r="BR108" s="131"/>
      <c r="BS108" s="131"/>
      <c r="BT108" s="131"/>
      <c r="BU108" s="131"/>
      <c r="BV108" s="131"/>
      <c r="IP108" s="131"/>
      <c r="IQ108" s="131"/>
      <c r="IR108" s="131"/>
      <c r="IS108" s="131"/>
      <c r="IT108" s="131"/>
      <c r="IU108" s="131"/>
      <c r="IV108" s="131"/>
    </row>
    <row r="109" spans="1:256" s="21" customFormat="1" ht="76.5">
      <c r="A109" s="44"/>
      <c r="B109" s="23">
        <v>98</v>
      </c>
      <c r="C109" s="24" t="s">
        <v>559</v>
      </c>
      <c r="D109" s="25">
        <v>44069</v>
      </c>
      <c r="E109" s="26">
        <v>16641</v>
      </c>
      <c r="F109" s="26">
        <v>119241</v>
      </c>
      <c r="G109" s="26">
        <v>31201</v>
      </c>
      <c r="H109" s="27">
        <v>3</v>
      </c>
      <c r="I109" s="27"/>
      <c r="J109" s="27"/>
      <c r="K109" s="27">
        <v>34</v>
      </c>
      <c r="L109" s="27" t="s">
        <v>278</v>
      </c>
      <c r="M109" s="27" t="s">
        <v>560</v>
      </c>
      <c r="N109" s="27" t="s">
        <v>561</v>
      </c>
      <c r="O109" s="27"/>
      <c r="P109" s="27" t="s">
        <v>562</v>
      </c>
      <c r="Q109" s="27" t="s">
        <v>562</v>
      </c>
      <c r="R109" s="27" t="s">
        <v>562</v>
      </c>
      <c r="S109" s="27" t="s">
        <v>563</v>
      </c>
      <c r="T109" s="27"/>
      <c r="U109" s="28">
        <v>1</v>
      </c>
      <c r="V109" s="27"/>
      <c r="W109" s="27"/>
      <c r="X109" s="27" t="s">
        <v>564</v>
      </c>
      <c r="Y109" s="29"/>
      <c r="Z109" s="30"/>
      <c r="AA109" s="31"/>
      <c r="AB109" s="30"/>
      <c r="AC109" s="31"/>
      <c r="AD109" s="30"/>
      <c r="AE109" s="27"/>
      <c r="AF109" s="27"/>
      <c r="AG109" s="27"/>
      <c r="AH109" s="27"/>
      <c r="AI109" s="28"/>
      <c r="AJ109" s="32">
        <f>1347.32+75.95/2+196.81</f>
        <v>1582.1049999999998</v>
      </c>
      <c r="AK109" s="33">
        <v>10000</v>
      </c>
      <c r="AL109" s="33">
        <f>+(1347.32+75.95)/AK109</f>
        <v>0.14232700000000001</v>
      </c>
      <c r="AM109" s="33">
        <f>+AJ109/AK109</f>
        <v>0.15821049999999998</v>
      </c>
      <c r="AN109" s="33"/>
      <c r="AO109" s="33">
        <f>+AJ109*12923</f>
        <v>20445542.914999999</v>
      </c>
      <c r="AP109" s="34">
        <v>127184.57</v>
      </c>
      <c r="AQ109" s="33" t="s">
        <v>71</v>
      </c>
      <c r="AR109" s="34" t="s">
        <v>565</v>
      </c>
      <c r="AS109" s="35">
        <v>44701</v>
      </c>
      <c r="AT109" s="36"/>
      <c r="AU109" s="43"/>
      <c r="AV109" s="19"/>
      <c r="AW109" s="19"/>
      <c r="AX109" s="19"/>
      <c r="AY109" s="19"/>
      <c r="AZ109" s="19"/>
      <c r="BA109" s="19"/>
      <c r="BB109" s="19"/>
      <c r="BC109" s="19"/>
      <c r="BD109" s="19"/>
      <c r="BE109" s="19"/>
      <c r="BF109" s="19"/>
      <c r="BG109" s="20"/>
      <c r="BH109" s="20"/>
      <c r="BI109" s="20"/>
      <c r="BJ109" s="20"/>
      <c r="BK109" s="20"/>
      <c r="BL109" s="20"/>
      <c r="BM109" s="20"/>
      <c r="BN109" s="20"/>
      <c r="BO109" s="20"/>
      <c r="BP109" s="20"/>
      <c r="BQ109" s="20"/>
      <c r="BR109" s="20"/>
      <c r="BS109" s="20"/>
      <c r="BT109" s="20"/>
      <c r="BU109" s="20"/>
      <c r="BV109" s="20"/>
      <c r="IP109" s="20"/>
      <c r="IQ109" s="20"/>
      <c r="IR109" s="20"/>
      <c r="IS109" s="20"/>
      <c r="IT109" s="20"/>
      <c r="IU109" s="20"/>
      <c r="IV109" s="20"/>
    </row>
    <row r="110" spans="1:256" s="21" customFormat="1" ht="38.25">
      <c r="A110" s="44"/>
      <c r="B110" s="24">
        <v>99</v>
      </c>
      <c r="C110" s="133">
        <v>540929</v>
      </c>
      <c r="D110" s="63">
        <v>44702</v>
      </c>
      <c r="E110" s="26">
        <v>45731</v>
      </c>
      <c r="F110" s="26">
        <v>148955</v>
      </c>
      <c r="G110" s="26">
        <v>20152</v>
      </c>
      <c r="H110" s="27">
        <v>16</v>
      </c>
      <c r="I110" s="27"/>
      <c r="J110" s="27">
        <v>272</v>
      </c>
      <c r="K110" s="27">
        <v>1</v>
      </c>
      <c r="L110" s="27" t="s">
        <v>74</v>
      </c>
      <c r="M110" s="27" t="s">
        <v>566</v>
      </c>
      <c r="N110" s="27" t="s">
        <v>567</v>
      </c>
      <c r="O110" s="27"/>
      <c r="P110" s="27" t="s">
        <v>568</v>
      </c>
      <c r="Q110" s="27" t="s">
        <v>568</v>
      </c>
      <c r="R110" s="27" t="s">
        <v>568</v>
      </c>
      <c r="S110" s="27" t="s">
        <v>569</v>
      </c>
      <c r="T110" s="27"/>
      <c r="U110" s="28"/>
      <c r="V110" s="27">
        <v>1</v>
      </c>
      <c r="W110" s="27"/>
      <c r="X110" s="27" t="s">
        <v>65</v>
      </c>
      <c r="Y110" s="29">
        <v>1</v>
      </c>
      <c r="Z110" s="30">
        <v>2</v>
      </c>
      <c r="AA110" s="31">
        <f>+Y110+1</f>
        <v>2</v>
      </c>
      <c r="AB110" s="30">
        <f>+Z110</f>
        <v>2</v>
      </c>
      <c r="AC110" s="31">
        <f>+Y110*2</f>
        <v>2</v>
      </c>
      <c r="AD110" s="30">
        <f>+Z110*2</f>
        <v>4</v>
      </c>
      <c r="AE110" s="27"/>
      <c r="AF110" s="27"/>
      <c r="AG110" s="27"/>
      <c r="AH110" s="27"/>
      <c r="AI110" s="28">
        <f>116.02+9.52/2+30.85+43.71/2</f>
        <v>173.48499999999999</v>
      </c>
      <c r="AJ110" s="32"/>
      <c r="AK110" s="33">
        <v>207.05</v>
      </c>
      <c r="AL110" s="33">
        <f>+(115.02+9.52)/AK110</f>
        <v>0.60149722289302099</v>
      </c>
      <c r="AM110" s="33">
        <f>+AI110/AK110</f>
        <v>0.83788939869596701</v>
      </c>
      <c r="AN110" s="33"/>
      <c r="AO110" s="33">
        <f>297900+((6*24483+11*19581+5*14688)/22*AI110)</f>
        <v>3733920.252954545</v>
      </c>
      <c r="AP110" s="34">
        <v>38870.78</v>
      </c>
      <c r="AQ110" s="33" t="s">
        <v>51</v>
      </c>
      <c r="AR110" s="34" t="s">
        <v>570</v>
      </c>
      <c r="AS110" s="35">
        <v>44704</v>
      </c>
      <c r="AT110" s="36"/>
      <c r="AU110" s="134">
        <v>44643</v>
      </c>
      <c r="AV110" s="19"/>
      <c r="AW110" s="19"/>
      <c r="AX110" s="19"/>
      <c r="AY110" s="19"/>
      <c r="AZ110" s="19"/>
      <c r="BA110" s="19"/>
      <c r="BB110" s="19"/>
      <c r="BC110" s="19"/>
      <c r="BD110" s="19"/>
      <c r="BE110" s="19"/>
      <c r="BF110" s="19"/>
      <c r="BG110" s="20"/>
      <c r="BH110" s="20"/>
      <c r="BI110" s="20"/>
      <c r="BJ110" s="20"/>
      <c r="BK110" s="20"/>
      <c r="BL110" s="20"/>
      <c r="BM110" s="20"/>
      <c r="BN110" s="20"/>
      <c r="BO110" s="20"/>
      <c r="BP110" s="20"/>
      <c r="BQ110" s="20"/>
      <c r="BR110" s="20"/>
      <c r="BS110" s="20"/>
      <c r="BT110" s="20"/>
      <c r="BU110" s="20"/>
      <c r="BV110" s="20"/>
      <c r="IP110" s="20"/>
      <c r="IQ110" s="20"/>
      <c r="IR110" s="20"/>
      <c r="IS110" s="20"/>
      <c r="IT110" s="20"/>
      <c r="IU110" s="20"/>
      <c r="IV110" s="20"/>
    </row>
    <row r="111" spans="1:256" s="21" customFormat="1" ht="51">
      <c r="A111" s="44"/>
      <c r="B111" s="38">
        <v>104</v>
      </c>
      <c r="C111" s="38">
        <v>537705</v>
      </c>
      <c r="D111" s="25">
        <v>44526</v>
      </c>
      <c r="E111" s="26">
        <v>58507</v>
      </c>
      <c r="F111" s="26">
        <v>166822</v>
      </c>
      <c r="G111" s="26">
        <v>33812</v>
      </c>
      <c r="H111" s="27">
        <v>247</v>
      </c>
      <c r="I111" s="27"/>
      <c r="J111" s="27">
        <v>5</v>
      </c>
      <c r="K111" s="27">
        <v>3</v>
      </c>
      <c r="L111" s="27" t="s">
        <v>240</v>
      </c>
      <c r="M111" s="27" t="s">
        <v>571</v>
      </c>
      <c r="N111" s="27" t="s">
        <v>572</v>
      </c>
      <c r="O111" s="27"/>
      <c r="P111" s="27" t="s">
        <v>573</v>
      </c>
      <c r="Q111" s="27"/>
      <c r="R111" s="27"/>
      <c r="S111" s="27"/>
      <c r="T111" s="27">
        <v>1</v>
      </c>
      <c r="U111" s="28"/>
      <c r="V111" s="27"/>
      <c r="W111" s="27"/>
      <c r="X111" s="27" t="s">
        <v>65</v>
      </c>
      <c r="Y111" s="29">
        <v>1</v>
      </c>
      <c r="Z111" s="30"/>
      <c r="AA111" s="31"/>
      <c r="AB111" s="30"/>
      <c r="AC111" s="31"/>
      <c r="AD111" s="30"/>
      <c r="AE111" s="27"/>
      <c r="AF111" s="27"/>
      <c r="AG111" s="27">
        <f>58.7+32.44/2</f>
        <v>74.92</v>
      </c>
      <c r="AH111" s="27"/>
      <c r="AI111" s="28"/>
      <c r="AJ111" s="32"/>
      <c r="AK111" s="33">
        <v>480</v>
      </c>
      <c r="AL111" s="33">
        <f>+(58.7+32.44)/AK111</f>
        <v>0.18987499999999999</v>
      </c>
      <c r="AM111" s="33">
        <f>+AG111/AK111</f>
        <v>0.15608333333333332</v>
      </c>
      <c r="AN111" s="33"/>
      <c r="AO111" s="33">
        <f>354886+((7*24483+4*19581+6*14688+3*9793)/20*AG111)</f>
        <v>1730462.152</v>
      </c>
      <c r="AP111" s="34">
        <v>35091.800000000003</v>
      </c>
      <c r="AQ111" s="33" t="s">
        <v>71</v>
      </c>
      <c r="AR111" s="34" t="s">
        <v>574</v>
      </c>
      <c r="AS111" s="35">
        <v>44705</v>
      </c>
      <c r="AT111" s="36"/>
      <c r="AU111" s="43" t="s">
        <v>575</v>
      </c>
      <c r="AV111" s="19"/>
      <c r="AW111" s="19"/>
      <c r="AX111" s="19"/>
      <c r="AY111" s="19"/>
      <c r="AZ111" s="19"/>
      <c r="BA111" s="19"/>
      <c r="BB111" s="19"/>
      <c r="BC111" s="19"/>
      <c r="BD111" s="19"/>
      <c r="BE111" s="19"/>
      <c r="BF111" s="19"/>
      <c r="BG111" s="20"/>
      <c r="BH111" s="20"/>
      <c r="BI111" s="20"/>
      <c r="BJ111" s="20"/>
      <c r="BK111" s="20"/>
      <c r="BL111" s="20"/>
      <c r="BM111" s="20"/>
      <c r="BN111" s="20"/>
      <c r="BO111" s="20"/>
      <c r="BP111" s="20"/>
      <c r="BQ111" s="20"/>
      <c r="BR111" s="20"/>
      <c r="BS111" s="20"/>
      <c r="BT111" s="20"/>
      <c r="BU111" s="20"/>
      <c r="BV111" s="20"/>
      <c r="IP111" s="20"/>
      <c r="IQ111" s="20"/>
      <c r="IR111" s="20"/>
      <c r="IS111" s="20"/>
      <c r="IT111" s="20"/>
      <c r="IU111" s="20"/>
      <c r="IV111" s="20"/>
    </row>
    <row r="112" spans="1:256" s="21" customFormat="1" ht="63.75">
      <c r="A112" s="135"/>
      <c r="B112" s="24">
        <v>101</v>
      </c>
      <c r="C112" s="24">
        <v>542436</v>
      </c>
      <c r="D112" s="25">
        <v>44697</v>
      </c>
      <c r="E112" s="26">
        <v>-46888</v>
      </c>
      <c r="F112" s="26">
        <v>149832</v>
      </c>
      <c r="G112" s="26">
        <v>9165</v>
      </c>
      <c r="H112" s="27"/>
      <c r="I112" s="27"/>
      <c r="J112" s="27">
        <v>478</v>
      </c>
      <c r="K112" s="27">
        <v>5</v>
      </c>
      <c r="L112" s="27" t="s">
        <v>46</v>
      </c>
      <c r="M112" s="27" t="s">
        <v>576</v>
      </c>
      <c r="N112" s="27" t="s">
        <v>577</v>
      </c>
      <c r="O112" s="27"/>
      <c r="P112" s="27" t="s">
        <v>137</v>
      </c>
      <c r="Q112" s="27" t="s">
        <v>137</v>
      </c>
      <c r="R112" s="27" t="s">
        <v>137</v>
      </c>
      <c r="S112" s="27" t="s">
        <v>100</v>
      </c>
      <c r="T112" s="27"/>
      <c r="U112" s="28">
        <v>1</v>
      </c>
      <c r="V112" s="27"/>
      <c r="W112" s="27"/>
      <c r="X112" s="27" t="s">
        <v>578</v>
      </c>
      <c r="Y112" s="29"/>
      <c r="Z112" s="30"/>
      <c r="AA112" s="31"/>
      <c r="AB112" s="30"/>
      <c r="AC112" s="31"/>
      <c r="AD112" s="30"/>
      <c r="AE112" s="27"/>
      <c r="AF112" s="27"/>
      <c r="AG112" s="27"/>
      <c r="AH112" s="27"/>
      <c r="AI112" s="28"/>
      <c r="AJ112" s="32">
        <f>20/2</f>
        <v>10</v>
      </c>
      <c r="AK112" s="33">
        <v>4446.4799999999996</v>
      </c>
      <c r="AL112" s="33"/>
      <c r="AM112" s="33"/>
      <c r="AN112" s="33"/>
      <c r="AO112" s="33">
        <f>14688*AJ112</f>
        <v>146880</v>
      </c>
      <c r="AP112" s="34">
        <v>954.31</v>
      </c>
      <c r="AQ112" s="33" t="s">
        <v>71</v>
      </c>
      <c r="AR112" s="34" t="s">
        <v>579</v>
      </c>
      <c r="AS112" s="35">
        <v>44704</v>
      </c>
      <c r="AT112" s="36"/>
      <c r="AU112" s="134" t="s">
        <v>580</v>
      </c>
      <c r="AV112" s="19"/>
      <c r="AW112" s="19"/>
      <c r="AX112" s="19"/>
      <c r="AY112" s="19"/>
      <c r="AZ112" s="19"/>
      <c r="BA112" s="19"/>
      <c r="BB112" s="19"/>
      <c r="BC112" s="19"/>
      <c r="BD112" s="19"/>
      <c r="BE112" s="19"/>
      <c r="BF112" s="19"/>
      <c r="BG112" s="20"/>
      <c r="BH112" s="20"/>
      <c r="BI112" s="20"/>
      <c r="BJ112" s="20"/>
      <c r="BK112" s="20"/>
      <c r="BL112" s="20"/>
      <c r="BM112" s="20"/>
      <c r="BN112" s="20"/>
      <c r="BO112" s="20"/>
      <c r="BP112" s="20"/>
      <c r="BQ112" s="20"/>
      <c r="BR112" s="20"/>
      <c r="BS112" s="20"/>
      <c r="BT112" s="20"/>
      <c r="BU112" s="20"/>
      <c r="BV112" s="20"/>
      <c r="IP112" s="20"/>
      <c r="IQ112" s="20"/>
      <c r="IR112" s="20"/>
      <c r="IS112" s="20"/>
      <c r="IT112" s="20"/>
      <c r="IU112" s="20"/>
      <c r="IV112" s="20"/>
    </row>
    <row r="113" spans="1:256" s="21" customFormat="1" ht="76.5">
      <c r="A113" s="135"/>
      <c r="B113" s="24">
        <v>102</v>
      </c>
      <c r="C113" s="24">
        <v>542435</v>
      </c>
      <c r="D113" s="25">
        <v>44697</v>
      </c>
      <c r="E113" s="26">
        <v>32811</v>
      </c>
      <c r="F113" s="26">
        <v>131537</v>
      </c>
      <c r="G113" s="26">
        <v>20211</v>
      </c>
      <c r="H113" s="27">
        <v>42</v>
      </c>
      <c r="I113" s="27"/>
      <c r="J113" s="27">
        <v>368</v>
      </c>
      <c r="K113" s="27">
        <v>2</v>
      </c>
      <c r="L113" s="27" t="s">
        <v>74</v>
      </c>
      <c r="M113" s="27" t="s">
        <v>581</v>
      </c>
      <c r="N113" s="27" t="s">
        <v>582</v>
      </c>
      <c r="O113" s="27"/>
      <c r="P113" s="27" t="s">
        <v>137</v>
      </c>
      <c r="Q113" s="27"/>
      <c r="R113" s="27"/>
      <c r="S113" s="27"/>
      <c r="T113" s="27">
        <v>2</v>
      </c>
      <c r="U113" s="28"/>
      <c r="V113" s="27"/>
      <c r="W113" s="27"/>
      <c r="X113" s="27" t="s">
        <v>77</v>
      </c>
      <c r="Y113" s="29">
        <f>2+2</f>
        <v>4</v>
      </c>
      <c r="Z113" s="30"/>
      <c r="AA113" s="31">
        <f>+Y113+1+1</f>
        <v>6</v>
      </c>
      <c r="AB113" s="30"/>
      <c r="AC113" s="31">
        <f>+Y113*2</f>
        <v>8</v>
      </c>
      <c r="AD113" s="30"/>
      <c r="AE113" s="27"/>
      <c r="AF113" s="27"/>
      <c r="AG113" s="27">
        <f>183.2+45.15/2</f>
        <v>205.77499999999998</v>
      </c>
      <c r="AH113" s="27"/>
      <c r="AI113" s="28"/>
      <c r="AJ113" s="32"/>
      <c r="AK113" s="33">
        <v>770</v>
      </c>
      <c r="AL113" s="33">
        <f>+(183.2+45.15)/AK113</f>
        <v>0.29655844155844158</v>
      </c>
      <c r="AM113" s="33">
        <f>+AG113/AK113</f>
        <v>0.26724025974025972</v>
      </c>
      <c r="AN113" s="33"/>
      <c r="AO113" s="33"/>
      <c r="AP113" s="34">
        <v>44799.99</v>
      </c>
      <c r="AQ113" s="33" t="s">
        <v>71</v>
      </c>
      <c r="AR113" s="34" t="s">
        <v>583</v>
      </c>
      <c r="AS113" s="35">
        <v>44704</v>
      </c>
      <c r="AT113" s="36"/>
      <c r="AU113" s="134">
        <v>44700</v>
      </c>
      <c r="AV113" s="19"/>
      <c r="AW113" s="19"/>
      <c r="AX113" s="19"/>
      <c r="AY113" s="19"/>
      <c r="AZ113" s="19"/>
      <c r="BA113" s="19"/>
      <c r="BB113" s="19"/>
      <c r="BC113" s="19"/>
      <c r="BD113" s="19"/>
      <c r="BE113" s="19"/>
      <c r="BF113" s="19"/>
      <c r="BG113" s="20"/>
      <c r="BH113" s="20"/>
      <c r="BI113" s="20"/>
      <c r="BJ113" s="20"/>
      <c r="BK113" s="20"/>
      <c r="BL113" s="20"/>
      <c r="BM113" s="20"/>
      <c r="BN113" s="20"/>
      <c r="BO113" s="20"/>
      <c r="BP113" s="20"/>
      <c r="BQ113" s="20"/>
      <c r="BR113" s="20"/>
      <c r="BS113" s="20"/>
      <c r="BT113" s="20"/>
      <c r="BU113" s="20"/>
      <c r="BV113" s="20"/>
      <c r="IP113" s="20"/>
      <c r="IQ113" s="20"/>
      <c r="IR113" s="20"/>
      <c r="IS113" s="20"/>
      <c r="IT113" s="20"/>
      <c r="IU113" s="20"/>
      <c r="IV113" s="20"/>
    </row>
    <row r="114" spans="1:256" s="21" customFormat="1" ht="63.75">
      <c r="A114" s="135"/>
      <c r="B114" s="24">
        <v>103</v>
      </c>
      <c r="C114" s="24">
        <v>542192</v>
      </c>
      <c r="D114" s="25">
        <v>44687</v>
      </c>
      <c r="E114" s="26">
        <v>-48449</v>
      </c>
      <c r="F114" s="26">
        <v>91382</v>
      </c>
      <c r="G114" s="26">
        <v>32501</v>
      </c>
      <c r="H114" s="27">
        <v>331</v>
      </c>
      <c r="I114" s="27"/>
      <c r="J114" s="27">
        <v>6</v>
      </c>
      <c r="K114" s="27">
        <v>1</v>
      </c>
      <c r="L114" s="27" t="s">
        <v>500</v>
      </c>
      <c r="M114" s="27" t="s">
        <v>584</v>
      </c>
      <c r="N114" s="27" t="s">
        <v>585</v>
      </c>
      <c r="O114" s="27"/>
      <c r="P114" s="27" t="s">
        <v>137</v>
      </c>
      <c r="Q114" s="27" t="s">
        <v>137</v>
      </c>
      <c r="R114" s="27" t="s">
        <v>137</v>
      </c>
      <c r="S114" s="27" t="s">
        <v>100</v>
      </c>
      <c r="T114" s="27"/>
      <c r="U114" s="28">
        <v>1</v>
      </c>
      <c r="V114" s="27"/>
      <c r="W114" s="27"/>
      <c r="X114" s="27" t="s">
        <v>65</v>
      </c>
      <c r="Y114" s="29"/>
      <c r="Z114" s="30">
        <v>1</v>
      </c>
      <c r="AA114" s="31"/>
      <c r="AB114" s="30">
        <f>+Z114+1</f>
        <v>2</v>
      </c>
      <c r="AC114" s="31"/>
      <c r="AD114" s="30">
        <f>+Z114*2</f>
        <v>2</v>
      </c>
      <c r="AE114" s="27"/>
      <c r="AF114" s="27"/>
      <c r="AG114" s="27"/>
      <c r="AH114" s="27"/>
      <c r="AI114" s="28">
        <v>60</v>
      </c>
      <c r="AJ114" s="32"/>
      <c r="AK114" s="33">
        <v>800</v>
      </c>
      <c r="AL114" s="33">
        <f>+AI114/AK114</f>
        <v>7.4999999999999997E-2</v>
      </c>
      <c r="AM114" s="33">
        <f>+AL114</f>
        <v>7.4999999999999997E-2</v>
      </c>
      <c r="AN114" s="33"/>
      <c r="AO114" s="33">
        <f>+(24483+8*19581+7*14688+4*9793)/20*AI114</f>
        <v>969357</v>
      </c>
      <c r="AP114" s="34">
        <v>3661.38</v>
      </c>
      <c r="AQ114" s="33" t="s">
        <v>71</v>
      </c>
      <c r="AR114" s="34" t="s">
        <v>586</v>
      </c>
      <c r="AS114" s="35">
        <v>44705</v>
      </c>
      <c r="AT114" s="36"/>
      <c r="AU114" s="134" t="s">
        <v>587</v>
      </c>
      <c r="AV114" s="19"/>
      <c r="AW114" s="19"/>
      <c r="AX114" s="19"/>
      <c r="AY114" s="19"/>
      <c r="AZ114" s="19"/>
      <c r="BA114" s="19"/>
      <c r="BB114" s="19"/>
      <c r="BC114" s="19"/>
      <c r="BD114" s="19"/>
      <c r="BE114" s="19"/>
      <c r="BF114" s="19"/>
      <c r="BG114" s="20"/>
      <c r="BH114" s="20"/>
      <c r="BI114" s="20"/>
      <c r="BJ114" s="20"/>
      <c r="BK114" s="20"/>
      <c r="BL114" s="20"/>
      <c r="BM114" s="20"/>
      <c r="BN114" s="20"/>
      <c r="BO114" s="20"/>
      <c r="BP114" s="20"/>
      <c r="BQ114" s="20"/>
      <c r="BR114" s="20"/>
      <c r="BS114" s="20"/>
      <c r="BT114" s="20"/>
      <c r="BU114" s="20"/>
      <c r="BV114" s="20"/>
      <c r="IP114" s="20"/>
      <c r="IQ114" s="20"/>
      <c r="IR114" s="20"/>
      <c r="IS114" s="20"/>
      <c r="IT114" s="20"/>
      <c r="IU114" s="20"/>
      <c r="IV114" s="20"/>
    </row>
    <row r="115" spans="1:256" s="21" customFormat="1" ht="38.25">
      <c r="A115" s="135"/>
      <c r="B115" s="24">
        <v>109</v>
      </c>
      <c r="C115" s="24">
        <v>542493</v>
      </c>
      <c r="D115" s="25">
        <v>44698</v>
      </c>
      <c r="E115" s="26">
        <v>38434</v>
      </c>
      <c r="F115" s="26">
        <v>137460</v>
      </c>
      <c r="G115" s="26">
        <v>8038</v>
      </c>
      <c r="H115" s="27"/>
      <c r="I115" s="27"/>
      <c r="J115" s="27">
        <v>668</v>
      </c>
      <c r="K115" s="27">
        <v>13</v>
      </c>
      <c r="L115" s="27" t="s">
        <v>60</v>
      </c>
      <c r="M115" s="27" t="s">
        <v>588</v>
      </c>
      <c r="N115" s="27" t="s">
        <v>589</v>
      </c>
      <c r="O115" s="27"/>
      <c r="P115" s="27" t="s">
        <v>590</v>
      </c>
      <c r="Q115" s="27"/>
      <c r="R115" s="27"/>
      <c r="S115" s="27"/>
      <c r="T115" s="27">
        <f>2+3</f>
        <v>5</v>
      </c>
      <c r="U115" s="28"/>
      <c r="V115" s="27"/>
      <c r="W115" s="27"/>
      <c r="X115" s="27" t="s">
        <v>77</v>
      </c>
      <c r="Y115" s="29">
        <f>2+2+1+1+1</f>
        <v>7</v>
      </c>
      <c r="Z115" s="30"/>
      <c r="AA115" s="31">
        <f>+Y115+1+1</f>
        <v>9</v>
      </c>
      <c r="AB115" s="30"/>
      <c r="AC115" s="31">
        <f>+Y115*2</f>
        <v>14</v>
      </c>
      <c r="AD115" s="30"/>
      <c r="AE115" s="27"/>
      <c r="AF115" s="27"/>
      <c r="AG115" s="27">
        <f>212.79+96.05/2</f>
        <v>260.815</v>
      </c>
      <c r="AH115" s="27"/>
      <c r="AI115" s="28"/>
      <c r="AJ115" s="32"/>
      <c r="AK115" s="33">
        <v>246.4</v>
      </c>
      <c r="AL115" s="33">
        <f>+(142.52+5.76)/AK115</f>
        <v>0.60178571428571426</v>
      </c>
      <c r="AM115" s="33">
        <f>+AG115/AK115</f>
        <v>1.058502435064935</v>
      </c>
      <c r="AN115" s="33"/>
      <c r="AO115" s="33">
        <f>+(2*24483+5*19581+14688*12+8*9793)/27*AG115</f>
        <v>3878135.5135185183</v>
      </c>
      <c r="AP115" s="34">
        <v>49968.49</v>
      </c>
      <c r="AQ115" s="33" t="s">
        <v>36</v>
      </c>
      <c r="AR115" s="34" t="s">
        <v>591</v>
      </c>
      <c r="AS115" s="35">
        <v>44708</v>
      </c>
      <c r="AT115" s="36"/>
      <c r="AU115" s="134">
        <v>44704</v>
      </c>
      <c r="AV115" s="19"/>
      <c r="AW115" s="19"/>
      <c r="AX115" s="19"/>
      <c r="AY115" s="19"/>
      <c r="AZ115" s="19"/>
      <c r="BA115" s="19"/>
      <c r="BB115" s="19"/>
      <c r="BC115" s="19"/>
      <c r="BD115" s="19"/>
      <c r="BE115" s="19"/>
      <c r="BF115" s="19"/>
      <c r="BG115" s="20"/>
      <c r="BH115" s="20"/>
      <c r="BI115" s="20"/>
      <c r="BJ115" s="20"/>
      <c r="BK115" s="20"/>
      <c r="BL115" s="20"/>
      <c r="BM115" s="20"/>
      <c r="BN115" s="20"/>
      <c r="BO115" s="20"/>
      <c r="BP115" s="20"/>
      <c r="BQ115" s="20"/>
      <c r="BR115" s="20"/>
      <c r="BS115" s="20"/>
      <c r="BT115" s="20"/>
      <c r="BU115" s="20"/>
      <c r="BV115" s="20"/>
      <c r="IP115" s="20"/>
      <c r="IQ115" s="20"/>
      <c r="IR115" s="20"/>
      <c r="IS115" s="20"/>
      <c r="IT115" s="20"/>
      <c r="IU115" s="20"/>
      <c r="IV115" s="20"/>
    </row>
    <row r="116" spans="1:256" s="21" customFormat="1" ht="51">
      <c r="A116" s="135"/>
      <c r="B116" s="24">
        <v>107</v>
      </c>
      <c r="C116" s="24">
        <v>538449</v>
      </c>
      <c r="D116" s="25">
        <v>44547</v>
      </c>
      <c r="E116" s="26">
        <v>37738</v>
      </c>
      <c r="F116" s="26">
        <v>301</v>
      </c>
      <c r="G116" s="26">
        <v>4346</v>
      </c>
      <c r="H116" s="27"/>
      <c r="I116" s="27"/>
      <c r="J116" s="27">
        <v>112</v>
      </c>
      <c r="K116" s="27">
        <v>5</v>
      </c>
      <c r="L116" s="27" t="s">
        <v>88</v>
      </c>
      <c r="M116" s="27" t="s">
        <v>592</v>
      </c>
      <c r="N116" s="27" t="s">
        <v>593</v>
      </c>
      <c r="O116" s="27"/>
      <c r="P116" s="27" t="s">
        <v>201</v>
      </c>
      <c r="Q116" s="27"/>
      <c r="R116" s="27"/>
      <c r="S116" s="27"/>
      <c r="T116" s="27">
        <v>2</v>
      </c>
      <c r="U116" s="28"/>
      <c r="V116" s="27"/>
      <c r="W116" s="27"/>
      <c r="X116" s="27" t="s">
        <v>77</v>
      </c>
      <c r="Y116" s="29">
        <f>3+1</f>
        <v>4</v>
      </c>
      <c r="Z116" s="30"/>
      <c r="AA116" s="31">
        <f>+Y116+1+1</f>
        <v>6</v>
      </c>
      <c r="AB116" s="30"/>
      <c r="AC116" s="31">
        <f>+Y116*2</f>
        <v>8</v>
      </c>
      <c r="AD116" s="30"/>
      <c r="AE116" s="27"/>
      <c r="AF116" s="27"/>
      <c r="AG116" s="27">
        <f>162.55+19.09+43.65/2</f>
        <v>203.465</v>
      </c>
      <c r="AH116" s="27"/>
      <c r="AI116" s="28"/>
      <c r="AJ116" s="32"/>
      <c r="AK116" s="33">
        <v>402.45</v>
      </c>
      <c r="AL116" s="33">
        <f>+(182.55+43.65)/AK116</f>
        <v>0.56205739843458824</v>
      </c>
      <c r="AM116" s="33">
        <f>+AG116/AK116</f>
        <v>0.50556590880854768</v>
      </c>
      <c r="AN116" s="33"/>
      <c r="AO116" s="33">
        <f>+(7*24483+9*19581+14688*5+9793*4)/25*AG116</f>
        <v>3745562.7692000004</v>
      </c>
      <c r="AP116" s="34">
        <v>54204.69</v>
      </c>
      <c r="AQ116" s="33" t="s">
        <v>71</v>
      </c>
      <c r="AR116" s="34" t="s">
        <v>594</v>
      </c>
      <c r="AS116" s="35">
        <v>44708</v>
      </c>
      <c r="AT116" s="36"/>
      <c r="AU116" s="134">
        <v>44551</v>
      </c>
      <c r="AV116" s="19"/>
      <c r="AW116" s="19"/>
      <c r="AX116" s="19"/>
      <c r="AY116" s="19"/>
      <c r="AZ116" s="19"/>
      <c r="BA116" s="19"/>
      <c r="BB116" s="19"/>
      <c r="BC116" s="19"/>
      <c r="BD116" s="19"/>
      <c r="BE116" s="19"/>
      <c r="BF116" s="19"/>
      <c r="BG116" s="20"/>
      <c r="BH116" s="20"/>
      <c r="BI116" s="20"/>
      <c r="BJ116" s="20"/>
      <c r="BK116" s="20"/>
      <c r="BL116" s="20"/>
      <c r="BM116" s="20"/>
      <c r="BN116" s="20"/>
      <c r="BO116" s="20"/>
      <c r="BP116" s="20"/>
      <c r="BQ116" s="20"/>
      <c r="BR116" s="20"/>
      <c r="BS116" s="20"/>
      <c r="BT116" s="20"/>
      <c r="BU116" s="20"/>
      <c r="BV116" s="20"/>
      <c r="IP116" s="20"/>
      <c r="IQ116" s="20"/>
      <c r="IR116" s="20"/>
      <c r="IS116" s="20"/>
      <c r="IT116" s="20"/>
      <c r="IU116" s="20"/>
      <c r="IV116" s="20"/>
    </row>
    <row r="117" spans="1:256" s="21" customFormat="1" ht="63.75">
      <c r="A117" s="135"/>
      <c r="B117" s="39">
        <v>110</v>
      </c>
      <c r="C117" s="39">
        <v>537738</v>
      </c>
      <c r="D117" s="25">
        <v>44529</v>
      </c>
      <c r="E117" s="26">
        <v>35851</v>
      </c>
      <c r="F117" s="26">
        <v>135392</v>
      </c>
      <c r="G117" s="26">
        <v>7508</v>
      </c>
      <c r="H117" s="27"/>
      <c r="I117" s="27"/>
      <c r="J117" s="27">
        <v>454</v>
      </c>
      <c r="K117" s="27">
        <v>8</v>
      </c>
      <c r="L117" s="27" t="s">
        <v>38</v>
      </c>
      <c r="M117" s="27" t="s">
        <v>595</v>
      </c>
      <c r="N117" s="27" t="s">
        <v>596</v>
      </c>
      <c r="O117" s="27"/>
      <c r="P117" s="27" t="s">
        <v>597</v>
      </c>
      <c r="Q117" s="27" t="s">
        <v>597</v>
      </c>
      <c r="R117" s="27" t="s">
        <v>597</v>
      </c>
      <c r="S117" s="27" t="s">
        <v>598</v>
      </c>
      <c r="T117" s="27">
        <v>2</v>
      </c>
      <c r="U117" s="28">
        <f>2+2</f>
        <v>4</v>
      </c>
      <c r="V117" s="27"/>
      <c r="W117" s="27"/>
      <c r="X117" s="27" t="s">
        <v>599</v>
      </c>
      <c r="Y117" s="29">
        <f>2+2</f>
        <v>4</v>
      </c>
      <c r="Z117" s="30">
        <f>1+2</f>
        <v>3</v>
      </c>
      <c r="AA117" s="31">
        <f>+Y117+1+1</f>
        <v>6</v>
      </c>
      <c r="AB117" s="30">
        <f>+Z117+1+1</f>
        <v>5</v>
      </c>
      <c r="AC117" s="31">
        <f>+Y117*2</f>
        <v>8</v>
      </c>
      <c r="AD117" s="30">
        <f>+Z117*2</f>
        <v>6</v>
      </c>
      <c r="AE117" s="27">
        <f>79.78+57.36/2</f>
        <v>108.46000000000001</v>
      </c>
      <c r="AF117" s="27"/>
      <c r="AG117" s="27"/>
      <c r="AH117" s="27"/>
      <c r="AI117" s="28">
        <f>80.37+24.92/2+102.47+2.25/2</f>
        <v>196.42500000000001</v>
      </c>
      <c r="AJ117" s="32"/>
      <c r="AK117" s="33">
        <v>426</v>
      </c>
      <c r="AL117" s="33">
        <f>+(80.37+24.92+79.78+57.36)/AK117</f>
        <v>0.56908450704225355</v>
      </c>
      <c r="AM117" s="33">
        <f>+(AE117+AI117)/AK117</f>
        <v>0.71569248826291076</v>
      </c>
      <c r="AN117" s="33"/>
      <c r="AO117" s="33">
        <v>6736520</v>
      </c>
      <c r="AP117" s="34">
        <v>31640.02</v>
      </c>
      <c r="AQ117" s="33" t="s">
        <v>71</v>
      </c>
      <c r="AR117" s="34" t="s">
        <v>600</v>
      </c>
      <c r="AS117" s="35">
        <v>44711</v>
      </c>
      <c r="AT117" s="36"/>
      <c r="AU117" s="134">
        <v>44531</v>
      </c>
      <c r="AV117" s="19"/>
      <c r="AW117" s="19"/>
      <c r="AX117" s="19"/>
      <c r="AY117" s="19"/>
      <c r="AZ117" s="19"/>
      <c r="BA117" s="19"/>
      <c r="BB117" s="19"/>
      <c r="BC117" s="19"/>
      <c r="BD117" s="19"/>
      <c r="BE117" s="19"/>
      <c r="BF117" s="19"/>
      <c r="BG117" s="20"/>
      <c r="BH117" s="20"/>
      <c r="BI117" s="20"/>
      <c r="BJ117" s="20"/>
      <c r="BK117" s="20"/>
      <c r="BL117" s="20"/>
      <c r="BM117" s="20"/>
      <c r="BN117" s="20"/>
      <c r="BO117" s="20"/>
      <c r="BP117" s="20"/>
      <c r="BQ117" s="20"/>
      <c r="BR117" s="20"/>
      <c r="BS117" s="20"/>
      <c r="BT117" s="20"/>
      <c r="BU117" s="20"/>
      <c r="BV117" s="20"/>
      <c r="IP117" s="20"/>
      <c r="IQ117" s="20"/>
      <c r="IR117" s="20"/>
      <c r="IS117" s="20"/>
      <c r="IT117" s="20"/>
      <c r="IU117" s="20"/>
      <c r="IV117" s="20"/>
    </row>
    <row r="118" spans="1:256" s="21" customFormat="1" ht="51">
      <c r="A118" s="135"/>
      <c r="B118" s="39">
        <v>106</v>
      </c>
      <c r="C118" s="39">
        <v>540362</v>
      </c>
      <c r="D118" s="100">
        <v>44622</v>
      </c>
      <c r="E118" s="26">
        <v>26786</v>
      </c>
      <c r="F118" s="26"/>
      <c r="G118" s="26">
        <v>30073</v>
      </c>
      <c r="H118" s="27">
        <v>290</v>
      </c>
      <c r="I118" s="27"/>
      <c r="J118" s="101"/>
      <c r="K118" s="27">
        <v>1</v>
      </c>
      <c r="L118" s="101" t="s">
        <v>129</v>
      </c>
      <c r="M118" s="27" t="s">
        <v>601</v>
      </c>
      <c r="N118" s="102" t="s">
        <v>602</v>
      </c>
      <c r="O118" s="27" t="s">
        <v>603</v>
      </c>
      <c r="P118" s="27" t="s">
        <v>149</v>
      </c>
      <c r="Q118" s="27"/>
      <c r="R118" s="27"/>
      <c r="S118" s="27"/>
      <c r="T118" s="27">
        <v>1</v>
      </c>
      <c r="U118" s="28"/>
      <c r="V118" s="27"/>
      <c r="W118" s="27"/>
      <c r="X118" s="27" t="s">
        <v>604</v>
      </c>
      <c r="Y118" s="29"/>
      <c r="Z118" s="30"/>
      <c r="AA118" s="31"/>
      <c r="AB118" s="30"/>
      <c r="AC118" s="31"/>
      <c r="AD118" s="30"/>
      <c r="AE118" s="27">
        <f>1554.08+464.15/2</f>
        <v>1786.155</v>
      </c>
      <c r="AF118" s="27"/>
      <c r="AG118" s="27"/>
      <c r="AH118" s="27">
        <f>13.63+300</f>
        <v>313.63</v>
      </c>
      <c r="AI118" s="28"/>
      <c r="AJ118" s="32"/>
      <c r="AK118" s="33">
        <v>550640</v>
      </c>
      <c r="AL118" s="33"/>
      <c r="AM118" s="33"/>
      <c r="AN118" s="33"/>
      <c r="AO118" s="33"/>
      <c r="AP118" s="34">
        <v>48656</v>
      </c>
      <c r="AQ118" s="33" t="s">
        <v>605</v>
      </c>
      <c r="AR118" s="34" t="s">
        <v>606</v>
      </c>
      <c r="AS118" s="35">
        <v>44714</v>
      </c>
      <c r="AT118" s="36"/>
      <c r="AU118" s="134" t="s">
        <v>607</v>
      </c>
      <c r="AV118" s="19"/>
      <c r="AW118" s="19"/>
      <c r="AX118" s="19"/>
      <c r="AY118" s="19"/>
      <c r="AZ118" s="19"/>
      <c r="BA118" s="19"/>
      <c r="BB118" s="19"/>
      <c r="BC118" s="19"/>
      <c r="BD118" s="19"/>
      <c r="BE118" s="19"/>
      <c r="BF118" s="19"/>
      <c r="BG118" s="20"/>
      <c r="BH118" s="20"/>
      <c r="BI118" s="20"/>
      <c r="BJ118" s="20"/>
      <c r="BK118" s="20"/>
      <c r="BL118" s="20"/>
      <c r="BM118" s="20"/>
      <c r="BN118" s="20"/>
      <c r="BO118" s="20"/>
      <c r="BP118" s="20"/>
      <c r="BQ118" s="20"/>
      <c r="BR118" s="20"/>
      <c r="BS118" s="20"/>
      <c r="BT118" s="20"/>
      <c r="BU118" s="20"/>
      <c r="BV118" s="20"/>
      <c r="IP118" s="20"/>
      <c r="IQ118" s="20"/>
      <c r="IR118" s="20"/>
      <c r="IS118" s="20"/>
      <c r="IT118" s="20"/>
      <c r="IU118" s="20"/>
      <c r="IV118" s="20"/>
    </row>
    <row r="119" spans="1:256" s="21" customFormat="1" ht="51">
      <c r="A119" s="135"/>
      <c r="B119" s="24">
        <v>111</v>
      </c>
      <c r="C119" s="24">
        <v>538800</v>
      </c>
      <c r="D119" s="25">
        <v>44564</v>
      </c>
      <c r="E119" s="26">
        <v>55562</v>
      </c>
      <c r="F119" s="26">
        <v>164489</v>
      </c>
      <c r="G119" s="26">
        <v>33478</v>
      </c>
      <c r="H119" s="27">
        <v>247</v>
      </c>
      <c r="I119" s="27"/>
      <c r="J119" s="27">
        <v>3</v>
      </c>
      <c r="K119" s="27">
        <v>4</v>
      </c>
      <c r="L119" s="27" t="s">
        <v>129</v>
      </c>
      <c r="M119" s="27" t="s">
        <v>608</v>
      </c>
      <c r="N119" s="27" t="s">
        <v>609</v>
      </c>
      <c r="O119" s="27"/>
      <c r="P119" s="27" t="s">
        <v>399</v>
      </c>
      <c r="Q119" s="27" t="s">
        <v>399</v>
      </c>
      <c r="R119" s="27" t="s">
        <v>399</v>
      </c>
      <c r="S119" s="27" t="s">
        <v>610</v>
      </c>
      <c r="T119" s="27"/>
      <c r="U119" s="28">
        <v>1</v>
      </c>
      <c r="V119" s="27"/>
      <c r="W119" s="27"/>
      <c r="X119" s="27" t="s">
        <v>611</v>
      </c>
      <c r="Y119" s="29"/>
      <c r="Z119" s="30">
        <v>2</v>
      </c>
      <c r="AA119" s="31"/>
      <c r="AB119" s="30">
        <f>+Z119+1</f>
        <v>3</v>
      </c>
      <c r="AC119" s="31"/>
      <c r="AD119" s="30">
        <f>+Z119*2</f>
        <v>4</v>
      </c>
      <c r="AE119" s="27"/>
      <c r="AF119" s="27"/>
      <c r="AG119" s="27"/>
      <c r="AH119" s="27"/>
      <c r="AI119" s="28">
        <f>94.9+42.7/2</f>
        <v>116.25</v>
      </c>
      <c r="AJ119" s="32"/>
      <c r="AK119" s="33">
        <v>327.39999999999998</v>
      </c>
      <c r="AL119" s="33">
        <f>+(94.9+42.7)/AK119</f>
        <v>0.42028100183262074</v>
      </c>
      <c r="AM119" s="33">
        <f>+AI119/AK119</f>
        <v>0.35507025045815521</v>
      </c>
      <c r="AN119" s="33"/>
      <c r="AO119" s="33">
        <f>+(7*24483+19581*7+14688*6+9793*1)/AI119</f>
        <v>3495.6473118279569</v>
      </c>
      <c r="AP119" s="34">
        <v>8948.86</v>
      </c>
      <c r="AQ119" s="33" t="s">
        <v>71</v>
      </c>
      <c r="AR119" s="34" t="s">
        <v>612</v>
      </c>
      <c r="AS119" s="35">
        <v>44719</v>
      </c>
      <c r="AT119" s="36"/>
      <c r="AU119" s="134" t="s">
        <v>332</v>
      </c>
      <c r="AV119" s="19"/>
      <c r="AW119" s="19"/>
      <c r="AX119" s="19"/>
      <c r="AY119" s="19"/>
      <c r="AZ119" s="19"/>
      <c r="BA119" s="19"/>
      <c r="BB119" s="19"/>
      <c r="BC119" s="19"/>
      <c r="BD119" s="19"/>
      <c r="BE119" s="19"/>
      <c r="BF119" s="19"/>
      <c r="BG119" s="20"/>
      <c r="BH119" s="20"/>
      <c r="BI119" s="20"/>
      <c r="BJ119" s="20"/>
      <c r="BK119" s="20"/>
      <c r="BL119" s="20"/>
      <c r="BM119" s="20"/>
      <c r="BN119" s="20"/>
      <c r="BO119" s="20"/>
      <c r="BP119" s="20"/>
      <c r="BQ119" s="20"/>
      <c r="BR119" s="20"/>
      <c r="BS119" s="20"/>
      <c r="BT119" s="20"/>
      <c r="BU119" s="20"/>
      <c r="BV119" s="20"/>
      <c r="IP119" s="20"/>
      <c r="IQ119" s="20"/>
      <c r="IR119" s="20"/>
      <c r="IS119" s="20"/>
      <c r="IT119" s="20"/>
      <c r="IU119" s="20"/>
      <c r="IV119" s="20"/>
    </row>
    <row r="120" spans="1:256" s="21" customFormat="1" ht="76.5">
      <c r="A120" s="136"/>
      <c r="B120" s="137">
        <v>125</v>
      </c>
      <c r="C120" s="27">
        <v>517089</v>
      </c>
      <c r="D120" s="138">
        <v>43815</v>
      </c>
      <c r="E120" s="26">
        <v>7627</v>
      </c>
      <c r="F120" s="26">
        <v>2108</v>
      </c>
      <c r="G120" s="26">
        <v>2307</v>
      </c>
      <c r="H120" s="27"/>
      <c r="I120" s="27"/>
      <c r="J120" s="27">
        <v>56</v>
      </c>
      <c r="K120" s="27">
        <v>11</v>
      </c>
      <c r="L120" s="27" t="s">
        <v>88</v>
      </c>
      <c r="M120" s="27" t="s">
        <v>613</v>
      </c>
      <c r="N120" s="27" t="s">
        <v>614</v>
      </c>
      <c r="O120" s="139"/>
      <c r="P120" s="27" t="s">
        <v>615</v>
      </c>
      <c r="Q120" s="27"/>
      <c r="R120" s="27"/>
      <c r="S120" s="27"/>
      <c r="T120" s="27">
        <f>1+7</f>
        <v>8</v>
      </c>
      <c r="U120" s="28"/>
      <c r="V120" s="27"/>
      <c r="W120" s="27"/>
      <c r="X120" s="27" t="s">
        <v>77</v>
      </c>
      <c r="Y120" s="29">
        <f>4+3+4</f>
        <v>11</v>
      </c>
      <c r="Z120" s="30"/>
      <c r="AA120" s="31">
        <f>+Y120+1</f>
        <v>12</v>
      </c>
      <c r="AB120" s="30"/>
      <c r="AC120" s="31">
        <f>+Y120*2</f>
        <v>22</v>
      </c>
      <c r="AD120" s="30"/>
      <c r="AE120" s="27">
        <f>65+50</f>
        <v>115</v>
      </c>
      <c r="AF120" s="27"/>
      <c r="AG120" s="27">
        <f>47.9+46.1+128</f>
        <v>222</v>
      </c>
      <c r="AH120" s="27"/>
      <c r="AI120" s="28"/>
      <c r="AJ120" s="32"/>
      <c r="AK120" s="33">
        <v>403.2</v>
      </c>
      <c r="AL120" s="33">
        <f>+(115+47.9+46.1)/AK120</f>
        <v>0.51835317460317465</v>
      </c>
      <c r="AM120" s="33">
        <f>+(115+47.6+(46.9/2)+128)/AK120</f>
        <v>0.77889384920634908</v>
      </c>
      <c r="AN120" s="33">
        <f>+(6+24)/(2+6)</f>
        <v>3.75</v>
      </c>
      <c r="AO120" s="33">
        <f>+(((7*11168)+(7*8934)+(4*6700)+(2*4466))/(7+7+4+2))*(47.9+(46.1/2)+128)</f>
        <v>1755196.5849999997</v>
      </c>
      <c r="AP120" s="33">
        <v>70940.05</v>
      </c>
      <c r="AQ120" s="33" t="s">
        <v>36</v>
      </c>
      <c r="AR120" s="108" t="s">
        <v>616</v>
      </c>
      <c r="AS120" s="35">
        <v>44722</v>
      </c>
      <c r="AT120" s="36"/>
      <c r="AU120" s="140"/>
      <c r="AV120" s="19"/>
      <c r="AW120" s="19"/>
      <c r="AX120" s="19"/>
      <c r="AY120" s="19"/>
      <c r="AZ120" s="19"/>
      <c r="BA120" s="19"/>
      <c r="BB120" s="19"/>
      <c r="BC120" s="19"/>
      <c r="BD120" s="19"/>
      <c r="BE120" s="19"/>
      <c r="BF120" s="19"/>
      <c r="BG120" s="20"/>
      <c r="BH120" s="20"/>
      <c r="BI120" s="20"/>
      <c r="BJ120" s="20"/>
      <c r="BK120" s="20"/>
      <c r="BL120" s="20"/>
      <c r="BM120" s="20"/>
      <c r="BN120" s="20"/>
      <c r="BO120" s="20"/>
      <c r="BP120" s="20"/>
      <c r="BQ120" s="20"/>
      <c r="BR120" s="20"/>
      <c r="BS120" s="20"/>
      <c r="BT120" s="20"/>
      <c r="BU120" s="20"/>
      <c r="BV120" s="20"/>
      <c r="IP120" s="20"/>
      <c r="IQ120" s="20"/>
      <c r="IR120" s="20"/>
      <c r="IS120" s="20"/>
      <c r="IT120" s="20"/>
      <c r="IU120" s="20"/>
      <c r="IV120" s="20"/>
    </row>
    <row r="121" spans="1:256" s="21" customFormat="1" ht="76.5">
      <c r="A121" s="135"/>
      <c r="B121" s="24">
        <v>117</v>
      </c>
      <c r="C121" s="24">
        <v>541915</v>
      </c>
      <c r="D121" s="25">
        <v>44678</v>
      </c>
      <c r="E121" s="26">
        <v>52658</v>
      </c>
      <c r="F121" s="26">
        <v>141427</v>
      </c>
      <c r="G121" s="26">
        <v>20588</v>
      </c>
      <c r="H121" s="27"/>
      <c r="I121" s="27"/>
      <c r="J121" s="27">
        <v>326</v>
      </c>
      <c r="K121" s="27">
        <v>1</v>
      </c>
      <c r="L121" s="27" t="s">
        <v>74</v>
      </c>
      <c r="M121" s="27" t="s">
        <v>617</v>
      </c>
      <c r="N121" s="27" t="s">
        <v>618</v>
      </c>
      <c r="O121" s="27"/>
      <c r="P121" s="27" t="s">
        <v>568</v>
      </c>
      <c r="Q121" s="27" t="s">
        <v>568</v>
      </c>
      <c r="R121" s="27" t="s">
        <v>568</v>
      </c>
      <c r="S121" s="27" t="s">
        <v>569</v>
      </c>
      <c r="T121" s="27"/>
      <c r="U121" s="28"/>
      <c r="V121" s="27">
        <v>1</v>
      </c>
      <c r="W121" s="27"/>
      <c r="X121" s="27" t="s">
        <v>77</v>
      </c>
      <c r="Y121" s="29"/>
      <c r="Z121" s="30">
        <v>2</v>
      </c>
      <c r="AA121" s="31"/>
      <c r="AB121" s="30">
        <f>+Z121+1</f>
        <v>3</v>
      </c>
      <c r="AC121" s="31"/>
      <c r="AD121" s="30">
        <f>+Z121*2</f>
        <v>4</v>
      </c>
      <c r="AE121" s="27"/>
      <c r="AF121" s="27"/>
      <c r="AG121" s="27"/>
      <c r="AH121" s="27"/>
      <c r="AI121" s="28">
        <f>62+36/2+18+37/2</f>
        <v>116.5</v>
      </c>
      <c r="AJ121" s="32"/>
      <c r="AK121" s="33">
        <v>462</v>
      </c>
      <c r="AL121" s="33">
        <f>+(62+36)/AK121</f>
        <v>0.21212121212121213</v>
      </c>
      <c r="AM121" s="33">
        <f>+AI121/AK121</f>
        <v>0.25216450216450215</v>
      </c>
      <c r="AN121" s="33"/>
      <c r="AO121" s="33">
        <f>+(15*19581+6*14688+1*9793)/22*AI121</f>
        <v>2073890.6363636365</v>
      </c>
      <c r="AP121" s="34">
        <v>23086.59</v>
      </c>
      <c r="AQ121" s="33" t="s">
        <v>51</v>
      </c>
      <c r="AR121" s="34" t="s">
        <v>619</v>
      </c>
      <c r="AS121" s="35">
        <v>44721</v>
      </c>
      <c r="AT121" s="36"/>
      <c r="AU121" s="134" t="s">
        <v>620</v>
      </c>
      <c r="AV121" s="19"/>
      <c r="AW121" s="19"/>
      <c r="AX121" s="19"/>
      <c r="AY121" s="19"/>
      <c r="AZ121" s="19"/>
      <c r="BA121" s="19"/>
      <c r="BB121" s="19"/>
      <c r="BC121" s="19"/>
      <c r="BD121" s="19"/>
      <c r="BE121" s="19"/>
      <c r="BF121" s="19"/>
      <c r="BG121" s="20"/>
      <c r="BH121" s="20"/>
      <c r="BI121" s="20"/>
      <c r="BJ121" s="20"/>
      <c r="BK121" s="20"/>
      <c r="BL121" s="20"/>
      <c r="BM121" s="20"/>
      <c r="BN121" s="20"/>
      <c r="BO121" s="20"/>
      <c r="BP121" s="20"/>
      <c r="BQ121" s="20"/>
      <c r="BR121" s="20"/>
      <c r="BS121" s="20"/>
      <c r="BT121" s="20"/>
      <c r="BU121" s="20"/>
      <c r="BV121" s="20"/>
      <c r="IP121" s="20"/>
      <c r="IQ121" s="20"/>
      <c r="IR121" s="20"/>
      <c r="IS121" s="20"/>
      <c r="IT121" s="20"/>
      <c r="IU121" s="20"/>
      <c r="IV121" s="20"/>
    </row>
    <row r="122" spans="1:256" s="21" customFormat="1" ht="114.75">
      <c r="A122" s="141"/>
      <c r="B122" s="39">
        <v>142</v>
      </c>
      <c r="C122" s="39">
        <v>537967</v>
      </c>
      <c r="D122" s="142">
        <v>44533</v>
      </c>
      <c r="E122" s="27">
        <v>56290</v>
      </c>
      <c r="F122" s="27">
        <v>165033</v>
      </c>
      <c r="G122" s="27">
        <v>33543</v>
      </c>
      <c r="H122" s="27">
        <v>354</v>
      </c>
      <c r="I122" s="27"/>
      <c r="J122" s="27"/>
      <c r="K122" s="27">
        <v>89</v>
      </c>
      <c r="L122" s="27" t="s">
        <v>621</v>
      </c>
      <c r="M122" s="27" t="s">
        <v>622</v>
      </c>
      <c r="N122" s="27" t="s">
        <v>623</v>
      </c>
      <c r="O122" s="27"/>
      <c r="P122" s="27" t="s">
        <v>191</v>
      </c>
      <c r="Q122" s="27" t="s">
        <v>191</v>
      </c>
      <c r="R122" s="27" t="s">
        <v>191</v>
      </c>
      <c r="S122" s="27" t="s">
        <v>161</v>
      </c>
      <c r="T122" s="27">
        <v>2</v>
      </c>
      <c r="U122" s="28">
        <v>2</v>
      </c>
      <c r="V122" s="27"/>
      <c r="W122" s="27"/>
      <c r="X122" s="27" t="s">
        <v>77</v>
      </c>
      <c r="Y122" s="27">
        <v>2</v>
      </c>
      <c r="Z122" s="28"/>
      <c r="AA122" s="98">
        <v>2</v>
      </c>
      <c r="AB122" s="28"/>
      <c r="AC122" s="98">
        <f>+Y122*2</f>
        <v>4</v>
      </c>
      <c r="AD122" s="28"/>
      <c r="AE122" s="27"/>
      <c r="AF122" s="27"/>
      <c r="AG122" s="27">
        <v>63.6</v>
      </c>
      <c r="AH122" s="143"/>
      <c r="AI122" s="144"/>
      <c r="AJ122" s="144"/>
      <c r="AK122" s="143">
        <f>46.8*20</f>
        <v>936</v>
      </c>
      <c r="AL122" s="143">
        <f>+AG122/AK122</f>
        <v>6.7948717948717957E-2</v>
      </c>
      <c r="AM122" s="143">
        <f>+AG122/AK122</f>
        <v>6.7948717948717957E-2</v>
      </c>
      <c r="AN122" s="143">
        <f>+(9+24)/(3+6)</f>
        <v>3.6666666666666665</v>
      </c>
      <c r="AO122" s="145">
        <f>+(6*8934+6700*12+2*4466)/20*AG122</f>
        <v>454536.48000000004</v>
      </c>
      <c r="AP122" s="108">
        <f>55980.88+9156.33</f>
        <v>65137.21</v>
      </c>
      <c r="AQ122" s="36" t="s">
        <v>71</v>
      </c>
      <c r="AR122" s="36" t="s">
        <v>624</v>
      </c>
      <c r="AS122" s="146">
        <v>44746</v>
      </c>
      <c r="AT122" s="143"/>
      <c r="AU122" s="147" t="s">
        <v>625</v>
      </c>
      <c r="AV122" s="148"/>
      <c r="AW122" s="148"/>
      <c r="AX122" s="148"/>
      <c r="AY122" s="148"/>
      <c r="AZ122" s="148"/>
      <c r="BA122" s="148"/>
      <c r="BB122" s="148"/>
      <c r="BC122" s="148"/>
      <c r="BD122" s="148"/>
      <c r="BE122" s="20"/>
      <c r="BF122" s="20"/>
      <c r="BG122" s="20"/>
      <c r="BH122" s="20"/>
      <c r="BI122" s="20"/>
      <c r="BJ122" s="20"/>
      <c r="BK122" s="20"/>
      <c r="BL122" s="20"/>
      <c r="BM122" s="20"/>
      <c r="BN122" s="20"/>
      <c r="BO122" s="20"/>
      <c r="BP122" s="20"/>
      <c r="BQ122" s="20"/>
      <c r="BR122" s="20"/>
      <c r="BS122" s="20"/>
      <c r="BT122" s="20"/>
      <c r="IN122" s="20"/>
      <c r="IO122" s="20"/>
      <c r="IP122" s="20"/>
      <c r="IQ122" s="20"/>
      <c r="IR122" s="20"/>
      <c r="IS122" s="20"/>
      <c r="IT122" s="20"/>
      <c r="IU122" s="20"/>
      <c r="IV122" s="20"/>
    </row>
    <row r="123" spans="1:256" s="21" customFormat="1" ht="51">
      <c r="A123" s="135"/>
      <c r="B123" s="24">
        <v>124</v>
      </c>
      <c r="C123" s="24">
        <v>541849</v>
      </c>
      <c r="D123" s="25">
        <v>44676</v>
      </c>
      <c r="E123" s="26">
        <v>59515</v>
      </c>
      <c r="F123" s="26">
        <v>158717</v>
      </c>
      <c r="G123" s="26">
        <v>32425</v>
      </c>
      <c r="H123" s="27">
        <v>111</v>
      </c>
      <c r="I123" s="27"/>
      <c r="J123" s="27">
        <v>2</v>
      </c>
      <c r="K123" s="27">
        <v>1</v>
      </c>
      <c r="L123" s="27" t="s">
        <v>337</v>
      </c>
      <c r="M123" s="27" t="s">
        <v>626</v>
      </c>
      <c r="N123" s="27" t="s">
        <v>627</v>
      </c>
      <c r="O123" s="27"/>
      <c r="P123" s="27" t="s">
        <v>191</v>
      </c>
      <c r="Q123" s="27" t="s">
        <v>191</v>
      </c>
      <c r="R123" s="27" t="s">
        <v>191</v>
      </c>
      <c r="S123" s="27" t="s">
        <v>161</v>
      </c>
      <c r="T123" s="27"/>
      <c r="U123" s="28">
        <v>1</v>
      </c>
      <c r="V123" s="27"/>
      <c r="W123" s="27"/>
      <c r="X123" s="27" t="s">
        <v>65</v>
      </c>
      <c r="Y123" s="29"/>
      <c r="Z123" s="30">
        <v>2</v>
      </c>
      <c r="AA123" s="31"/>
      <c r="AB123" s="30">
        <f>+Z123+1</f>
        <v>3</v>
      </c>
      <c r="AC123" s="31"/>
      <c r="AD123" s="30">
        <f>+Z123*2</f>
        <v>4</v>
      </c>
      <c r="AE123" s="27"/>
      <c r="AF123" s="27"/>
      <c r="AG123" s="27"/>
      <c r="AH123" s="27"/>
      <c r="AI123" s="28">
        <f>163.53+70.87/2</f>
        <v>198.965</v>
      </c>
      <c r="AJ123" s="32"/>
      <c r="AK123" s="33">
        <v>2160</v>
      </c>
      <c r="AL123" s="33">
        <f>+(163.53+70.87)/AK123</f>
        <v>0.10851851851851853</v>
      </c>
      <c r="AM123" s="33">
        <f>+AI123/AK123</f>
        <v>9.2113425925925932E-2</v>
      </c>
      <c r="AN123" s="33">
        <f>+(2+21)/(1+7)</f>
        <v>2.875</v>
      </c>
      <c r="AO123" s="33">
        <f>+(8*24483+6*19581+14688*4+3*9793)/21*AI123</f>
        <v>3803841.2935714289</v>
      </c>
      <c r="AP123" s="34">
        <v>10536.24</v>
      </c>
      <c r="AQ123" s="33" t="s">
        <v>71</v>
      </c>
      <c r="AR123" s="34" t="s">
        <v>628</v>
      </c>
      <c r="AS123" s="35">
        <v>44722</v>
      </c>
      <c r="AT123" s="36"/>
      <c r="AU123" s="134" t="s">
        <v>629</v>
      </c>
      <c r="AV123" s="19"/>
      <c r="AW123" s="19"/>
      <c r="AX123" s="19"/>
      <c r="AY123" s="19"/>
      <c r="AZ123" s="19"/>
      <c r="BA123" s="19"/>
      <c r="BB123" s="19"/>
      <c r="BC123" s="19"/>
      <c r="BD123" s="19"/>
      <c r="BE123" s="19"/>
      <c r="BF123" s="19"/>
      <c r="BG123" s="20"/>
      <c r="BH123" s="20"/>
      <c r="BI123" s="20"/>
      <c r="BJ123" s="20"/>
      <c r="BK123" s="20"/>
      <c r="BL123" s="20"/>
      <c r="BM123" s="20"/>
      <c r="BN123" s="20"/>
      <c r="BO123" s="20"/>
      <c r="BP123" s="20"/>
      <c r="BQ123" s="20"/>
      <c r="BR123" s="20"/>
      <c r="BS123" s="20"/>
      <c r="BT123" s="20"/>
      <c r="BU123" s="20"/>
      <c r="BV123" s="20"/>
      <c r="IP123" s="20"/>
      <c r="IQ123" s="20"/>
      <c r="IR123" s="20"/>
      <c r="IS123" s="20"/>
      <c r="IT123" s="20"/>
      <c r="IU123" s="20"/>
      <c r="IV123" s="20"/>
    </row>
    <row r="124" spans="1:256" s="21" customFormat="1" ht="76.5">
      <c r="A124" s="141"/>
      <c r="B124" s="24">
        <v>212</v>
      </c>
      <c r="C124" s="24">
        <v>541759</v>
      </c>
      <c r="D124" s="25">
        <v>44671</v>
      </c>
      <c r="E124" s="26">
        <v>35153</v>
      </c>
      <c r="F124" s="26">
        <v>135039</v>
      </c>
      <c r="G124" s="26">
        <v>31382</v>
      </c>
      <c r="H124" s="27"/>
      <c r="I124" s="27"/>
      <c r="J124" s="27">
        <v>2</v>
      </c>
      <c r="K124" s="27">
        <v>10</v>
      </c>
      <c r="L124" s="27" t="s">
        <v>630</v>
      </c>
      <c r="M124" s="27" t="s">
        <v>631</v>
      </c>
      <c r="N124" s="27" t="s">
        <v>632</v>
      </c>
      <c r="O124" s="27"/>
      <c r="P124" s="27" t="s">
        <v>143</v>
      </c>
      <c r="Q124" s="27"/>
      <c r="R124" s="27"/>
      <c r="S124" s="27"/>
      <c r="T124" s="27">
        <v>1</v>
      </c>
      <c r="U124" s="28"/>
      <c r="V124" s="27"/>
      <c r="W124" s="27"/>
      <c r="X124" s="27" t="s">
        <v>65</v>
      </c>
      <c r="Y124" s="29">
        <v>4</v>
      </c>
      <c r="Z124" s="30"/>
      <c r="AA124" s="31">
        <f>+Y124+1</f>
        <v>5</v>
      </c>
      <c r="AB124" s="30"/>
      <c r="AC124" s="31">
        <f>+Y124*2</f>
        <v>8</v>
      </c>
      <c r="AD124" s="30"/>
      <c r="AE124" s="27"/>
      <c r="AF124" s="27"/>
      <c r="AG124" s="27">
        <f>206.17+224.92/2</f>
        <v>318.63</v>
      </c>
      <c r="AH124" s="27"/>
      <c r="AI124" s="28"/>
      <c r="AJ124" s="32"/>
      <c r="AK124" s="33">
        <v>2590</v>
      </c>
      <c r="AL124" s="33">
        <f>+(206.17+224.92)/AK124</f>
        <v>0.16644401544401544</v>
      </c>
      <c r="AM124" s="33">
        <f>+AG124/AK124</f>
        <v>0.12302316602316603</v>
      </c>
      <c r="AN124" s="33"/>
      <c r="AO124" s="33">
        <f>+(800000)+((9*33123+26491*10+3*19871)/22*AG124)</f>
        <v>9817663.4954545461</v>
      </c>
      <c r="AP124" s="34">
        <v>170625.59</v>
      </c>
      <c r="AQ124" s="33" t="s">
        <v>51</v>
      </c>
      <c r="AR124" s="34" t="s">
        <v>633</v>
      </c>
      <c r="AS124" s="35">
        <v>44819</v>
      </c>
      <c r="AT124" s="36"/>
      <c r="AU124" s="134">
        <v>44677</v>
      </c>
      <c r="AV124" s="19"/>
      <c r="AW124" s="19"/>
      <c r="AX124" s="19"/>
      <c r="AY124" s="19"/>
      <c r="AZ124" s="19"/>
      <c r="BA124" s="19"/>
      <c r="BB124" s="19"/>
      <c r="BC124" s="19"/>
      <c r="BD124" s="19"/>
      <c r="BE124" s="19"/>
      <c r="BF124" s="19"/>
      <c r="BG124" s="20"/>
      <c r="BH124" s="20"/>
      <c r="BI124" s="20"/>
      <c r="BJ124" s="20"/>
      <c r="BK124" s="20"/>
      <c r="BL124" s="20"/>
      <c r="BM124" s="20"/>
      <c r="BN124" s="20"/>
      <c r="BO124" s="20"/>
      <c r="BP124" s="20"/>
      <c r="BQ124" s="20"/>
      <c r="BR124" s="20"/>
      <c r="BS124" s="20"/>
      <c r="BT124" s="20"/>
      <c r="BU124" s="20"/>
      <c r="BV124" s="20"/>
      <c r="IP124" s="20"/>
      <c r="IQ124" s="20"/>
      <c r="IR124" s="20"/>
      <c r="IS124" s="20"/>
      <c r="IT124" s="20"/>
      <c r="IU124" s="20"/>
      <c r="IV124" s="20"/>
    </row>
    <row r="125" spans="1:256" s="21" customFormat="1" ht="38.25">
      <c r="A125" s="44"/>
      <c r="B125" s="64">
        <v>123</v>
      </c>
      <c r="C125" s="24">
        <v>395341</v>
      </c>
      <c r="D125" s="25">
        <v>41906</v>
      </c>
      <c r="E125" s="26">
        <v>19509</v>
      </c>
      <c r="F125" s="26"/>
      <c r="G125" s="26">
        <v>431</v>
      </c>
      <c r="H125" s="27"/>
      <c r="I125" s="27"/>
      <c r="J125" s="27">
        <v>137</v>
      </c>
      <c r="K125" s="27">
        <v>17</v>
      </c>
      <c r="L125" s="27" t="s">
        <v>88</v>
      </c>
      <c r="M125" s="27" t="s">
        <v>634</v>
      </c>
      <c r="N125" s="27" t="s">
        <v>635</v>
      </c>
      <c r="O125" s="27"/>
      <c r="P125" s="27" t="s">
        <v>184</v>
      </c>
      <c r="Q125" s="27" t="s">
        <v>184</v>
      </c>
      <c r="R125" s="27" t="s">
        <v>184</v>
      </c>
      <c r="S125" s="27"/>
      <c r="T125" s="27">
        <v>6</v>
      </c>
      <c r="U125" s="28"/>
      <c r="V125" s="27"/>
      <c r="W125" s="27"/>
      <c r="X125" s="27" t="s">
        <v>77</v>
      </c>
      <c r="Y125" s="29">
        <v>6</v>
      </c>
      <c r="Z125" s="30"/>
      <c r="AA125" s="31">
        <f>+Y125+6</f>
        <v>12</v>
      </c>
      <c r="AB125" s="30"/>
      <c r="AC125" s="31">
        <f>+Y125*2</f>
        <v>12</v>
      </c>
      <c r="AD125" s="30"/>
      <c r="AE125" s="27">
        <f>67.14+45.61/2+86.49+19.11/2+86.49+12.91/2+5.25+3.9/2</f>
        <v>286.13499999999999</v>
      </c>
      <c r="AF125" s="27"/>
      <c r="AG125" s="27">
        <f>86.87+46.41/2+12.65/2</f>
        <v>116.4</v>
      </c>
      <c r="AH125" s="27"/>
      <c r="AI125" s="28"/>
      <c r="AJ125" s="32"/>
      <c r="AK125" s="33">
        <v>326.89999999999998</v>
      </c>
      <c r="AL125" s="33">
        <v>0.52400000000000002</v>
      </c>
      <c r="AM125" s="33">
        <v>1.0734999999999999</v>
      </c>
      <c r="AN125" s="33"/>
      <c r="AO125" s="33">
        <f>677756.9+365162.5</f>
        <v>1042919.4</v>
      </c>
      <c r="AP125" s="34">
        <v>39976.660000000003</v>
      </c>
      <c r="AQ125" s="33" t="s">
        <v>71</v>
      </c>
      <c r="AR125" s="34" t="s">
        <v>636</v>
      </c>
      <c r="AS125" s="35">
        <v>44722</v>
      </c>
      <c r="AT125" s="36"/>
      <c r="AU125" s="37">
        <v>41914</v>
      </c>
      <c r="AV125" s="19"/>
      <c r="AW125" s="19"/>
      <c r="AX125" s="19"/>
      <c r="AY125" s="19"/>
      <c r="AZ125" s="19"/>
      <c r="BA125" s="19"/>
      <c r="BB125" s="19"/>
      <c r="BC125" s="19"/>
      <c r="BD125" s="19"/>
      <c r="BE125" s="19"/>
      <c r="BF125" s="19"/>
      <c r="BG125" s="20"/>
      <c r="BH125" s="20"/>
      <c r="BI125" s="20"/>
      <c r="BJ125" s="20"/>
      <c r="BK125" s="20"/>
      <c r="BL125" s="20"/>
      <c r="BM125" s="20"/>
      <c r="BN125" s="20"/>
      <c r="BO125" s="20"/>
      <c r="BP125" s="20"/>
      <c r="BQ125" s="20"/>
      <c r="BR125" s="20"/>
      <c r="BS125" s="20"/>
      <c r="BT125" s="20"/>
      <c r="BU125" s="20"/>
      <c r="BV125" s="20"/>
      <c r="IP125" s="20"/>
      <c r="IQ125" s="20"/>
      <c r="IR125" s="20"/>
      <c r="IS125" s="20"/>
      <c r="IT125" s="20"/>
      <c r="IU125" s="20"/>
      <c r="IV125" s="20"/>
    </row>
    <row r="126" spans="1:256" s="21" customFormat="1" ht="63.75">
      <c r="A126" s="141"/>
      <c r="B126" s="24">
        <v>116</v>
      </c>
      <c r="C126" s="24">
        <v>542031</v>
      </c>
      <c r="D126" s="25">
        <v>44683</v>
      </c>
      <c r="E126" s="26">
        <v>42282</v>
      </c>
      <c r="F126" s="26"/>
      <c r="G126" s="26">
        <v>31808</v>
      </c>
      <c r="H126" s="27">
        <v>355</v>
      </c>
      <c r="I126" s="27"/>
      <c r="J126" s="27">
        <v>6</v>
      </c>
      <c r="K126" s="27">
        <v>2</v>
      </c>
      <c r="L126" s="27" t="s">
        <v>637</v>
      </c>
      <c r="M126" s="27" t="s">
        <v>638</v>
      </c>
      <c r="N126" s="27" t="s">
        <v>639</v>
      </c>
      <c r="O126" s="27"/>
      <c r="P126" s="27" t="s">
        <v>640</v>
      </c>
      <c r="Q126" s="27"/>
      <c r="R126" s="27"/>
      <c r="S126" s="27"/>
      <c r="T126" s="27">
        <v>1</v>
      </c>
      <c r="U126" s="28"/>
      <c r="V126" s="27"/>
      <c r="W126" s="27"/>
      <c r="X126" s="27" t="s">
        <v>65</v>
      </c>
      <c r="Y126" s="29">
        <v>2</v>
      </c>
      <c r="Z126" s="30"/>
      <c r="AA126" s="31">
        <f>+Y126+1</f>
        <v>3</v>
      </c>
      <c r="AB126" s="30"/>
      <c r="AC126" s="31">
        <f>+Y126*2</f>
        <v>4</v>
      </c>
      <c r="AD126" s="30"/>
      <c r="AE126" s="27"/>
      <c r="AF126" s="27"/>
      <c r="AG126" s="27">
        <f>72.03+29.47/2</f>
        <v>86.765000000000001</v>
      </c>
      <c r="AH126" s="27"/>
      <c r="AI126" s="28"/>
      <c r="AJ126" s="32"/>
      <c r="AK126" s="33">
        <v>450</v>
      </c>
      <c r="AL126" s="33">
        <f>+(72.03+29.47)/AK126</f>
        <v>0.22555555555555556</v>
      </c>
      <c r="AM126" s="33">
        <f>+AG126/AK126</f>
        <v>0.1928111111111111</v>
      </c>
      <c r="AN126" s="33"/>
      <c r="AO126" s="33">
        <f>+(24482*2+10*19581+14688*5+2*9793)/20*AG126</f>
        <v>1465460.85</v>
      </c>
      <c r="AP126" s="34">
        <v>36338.07</v>
      </c>
      <c r="AQ126" s="33" t="s">
        <v>71</v>
      </c>
      <c r="AR126" s="34" t="s">
        <v>641</v>
      </c>
      <c r="AS126" s="35">
        <v>44720</v>
      </c>
      <c r="AT126" s="34">
        <v>53160.12</v>
      </c>
      <c r="AU126" s="134">
        <v>44684</v>
      </c>
      <c r="AV126" s="19"/>
      <c r="AW126" s="19"/>
      <c r="AX126" s="19"/>
      <c r="AY126" s="19"/>
      <c r="AZ126" s="19"/>
      <c r="BA126" s="19"/>
      <c r="BB126" s="19"/>
      <c r="BC126" s="19"/>
      <c r="BD126" s="19"/>
      <c r="BE126" s="19"/>
      <c r="BF126" s="19"/>
      <c r="BG126" s="20"/>
      <c r="BH126" s="20"/>
      <c r="BI126" s="20"/>
      <c r="BJ126" s="20"/>
      <c r="BK126" s="20"/>
      <c r="BL126" s="20"/>
      <c r="BM126" s="20"/>
      <c r="BN126" s="20"/>
      <c r="BO126" s="20"/>
      <c r="BP126" s="20"/>
      <c r="BQ126" s="20"/>
      <c r="BR126" s="20"/>
      <c r="BS126" s="20"/>
      <c r="BT126" s="20"/>
      <c r="BU126" s="20"/>
      <c r="BV126" s="20"/>
      <c r="IP126" s="20"/>
      <c r="IQ126" s="20"/>
      <c r="IR126" s="20"/>
      <c r="IS126" s="20"/>
      <c r="IT126" s="20"/>
      <c r="IU126" s="20"/>
      <c r="IV126" s="20"/>
    </row>
    <row r="127" spans="1:256" s="21" customFormat="1" ht="38.25">
      <c r="A127" s="135"/>
      <c r="B127" s="24">
        <v>115</v>
      </c>
      <c r="C127" s="24">
        <v>542247</v>
      </c>
      <c r="D127" s="25">
        <v>44691</v>
      </c>
      <c r="E127" s="26">
        <v>-46839</v>
      </c>
      <c r="F127" s="26">
        <v>159550</v>
      </c>
      <c r="G127" s="26">
        <v>30561</v>
      </c>
      <c r="H127" s="27">
        <v>327</v>
      </c>
      <c r="I127" s="27"/>
      <c r="J127" s="27">
        <v>5</v>
      </c>
      <c r="K127" s="27">
        <v>1</v>
      </c>
      <c r="L127" s="27" t="s">
        <v>74</v>
      </c>
      <c r="M127" s="27" t="s">
        <v>642</v>
      </c>
      <c r="N127" s="27" t="s">
        <v>643</v>
      </c>
      <c r="O127" s="27"/>
      <c r="P127" s="27" t="s">
        <v>568</v>
      </c>
      <c r="Q127" s="27" t="s">
        <v>568</v>
      </c>
      <c r="R127" s="27" t="s">
        <v>568</v>
      </c>
      <c r="S127" s="27">
        <v>559</v>
      </c>
      <c r="T127" s="27"/>
      <c r="U127" s="28">
        <v>1</v>
      </c>
      <c r="V127" s="27"/>
      <c r="W127" s="27"/>
      <c r="X127" s="27" t="s">
        <v>65</v>
      </c>
      <c r="Y127" s="29"/>
      <c r="Z127" s="30">
        <v>2</v>
      </c>
      <c r="AA127" s="31"/>
      <c r="AB127" s="30">
        <f>+Z127+1</f>
        <v>3</v>
      </c>
      <c r="AC127" s="31"/>
      <c r="AD127" s="30">
        <f>+Z127*2</f>
        <v>4</v>
      </c>
      <c r="AE127" s="27"/>
      <c r="AF127" s="27"/>
      <c r="AG127" s="27"/>
      <c r="AH127" s="27"/>
      <c r="AI127" s="28">
        <f>50.08+3.57/2</f>
        <v>51.864999999999995</v>
      </c>
      <c r="AJ127" s="32"/>
      <c r="AK127" s="33">
        <v>374.5</v>
      </c>
      <c r="AL127" s="33"/>
      <c r="AM127" s="33">
        <f>+AI127/AK127</f>
        <v>0.13849132176234979</v>
      </c>
      <c r="AN127" s="33"/>
      <c r="AO127" s="33">
        <f>+(7*19581+6*14688+9793*6)/19*AI127</f>
        <v>775116.96552631573</v>
      </c>
      <c r="AP127" s="34">
        <v>3465.03</v>
      </c>
      <c r="AQ127" s="33" t="s">
        <v>51</v>
      </c>
      <c r="AR127" s="34" t="s">
        <v>644</v>
      </c>
      <c r="AS127" s="35">
        <v>44720</v>
      </c>
      <c r="AT127" s="36"/>
      <c r="AU127" s="134" t="s">
        <v>645</v>
      </c>
      <c r="AV127" s="19"/>
      <c r="AW127" s="19"/>
      <c r="AX127" s="19"/>
      <c r="AY127" s="19"/>
      <c r="AZ127" s="19"/>
      <c r="BA127" s="19"/>
      <c r="BB127" s="19"/>
      <c r="BC127" s="19"/>
      <c r="BD127" s="19"/>
      <c r="BE127" s="19"/>
      <c r="BF127" s="19"/>
      <c r="BG127" s="20"/>
      <c r="BH127" s="20"/>
      <c r="BI127" s="20"/>
      <c r="BJ127" s="20"/>
      <c r="BK127" s="20"/>
      <c r="BL127" s="20"/>
      <c r="BM127" s="20"/>
      <c r="BN127" s="20"/>
      <c r="BO127" s="20"/>
      <c r="BP127" s="20"/>
      <c r="BQ127" s="20"/>
      <c r="BR127" s="20"/>
      <c r="BS127" s="20"/>
      <c r="BT127" s="20"/>
      <c r="BU127" s="20"/>
      <c r="BV127" s="20"/>
      <c r="IP127" s="20"/>
      <c r="IQ127" s="20"/>
      <c r="IR127" s="20"/>
      <c r="IS127" s="20"/>
      <c r="IT127" s="20"/>
      <c r="IU127" s="20"/>
      <c r="IV127" s="20"/>
    </row>
    <row r="128" spans="1:256" s="21" customFormat="1" ht="38.25">
      <c r="A128" s="135"/>
      <c r="B128" s="24">
        <v>114</v>
      </c>
      <c r="C128" s="24">
        <v>435547</v>
      </c>
      <c r="D128" s="25">
        <v>43011</v>
      </c>
      <c r="E128" s="26">
        <v>17253</v>
      </c>
      <c r="F128" s="26">
        <v>1371</v>
      </c>
      <c r="G128" s="26">
        <v>815</v>
      </c>
      <c r="H128" s="27"/>
      <c r="I128" s="27"/>
      <c r="J128" s="27">
        <v>74</v>
      </c>
      <c r="K128" s="27">
        <v>7</v>
      </c>
      <c r="L128" s="27" t="s">
        <v>31</v>
      </c>
      <c r="M128" s="27" t="s">
        <v>646</v>
      </c>
      <c r="N128" s="27" t="s">
        <v>647</v>
      </c>
      <c r="O128" s="27"/>
      <c r="P128" s="27" t="s">
        <v>648</v>
      </c>
      <c r="Q128" s="27" t="s">
        <v>648</v>
      </c>
      <c r="R128" s="27" t="s">
        <v>648</v>
      </c>
      <c r="S128" s="27"/>
      <c r="T128" s="27"/>
      <c r="U128" s="28"/>
      <c r="V128" s="27">
        <v>2</v>
      </c>
      <c r="W128" s="27"/>
      <c r="X128" s="27" t="s">
        <v>186</v>
      </c>
      <c r="Y128" s="29"/>
      <c r="Z128" s="30"/>
      <c r="AA128" s="31"/>
      <c r="AB128" s="30"/>
      <c r="AC128" s="31"/>
      <c r="AD128" s="30"/>
      <c r="AE128" s="27"/>
      <c r="AF128" s="27"/>
      <c r="AG128" s="27"/>
      <c r="AH128" s="27"/>
      <c r="AI128" s="28"/>
      <c r="AJ128" s="32">
        <f>139.88+9.52/2+97.96</f>
        <v>242.59999999999997</v>
      </c>
      <c r="AK128" s="33"/>
      <c r="AL128" s="33"/>
      <c r="AM128" s="33"/>
      <c r="AN128" s="33"/>
      <c r="AO128" s="33">
        <f>+AJ128*19581</f>
        <v>4750350.5999999996</v>
      </c>
      <c r="AP128" s="34">
        <v>70715.23</v>
      </c>
      <c r="AQ128" s="33" t="s">
        <v>605</v>
      </c>
      <c r="AR128" s="34" t="s">
        <v>649</v>
      </c>
      <c r="AS128" s="35">
        <v>44719</v>
      </c>
      <c r="AT128" s="36"/>
      <c r="AU128" s="34"/>
      <c r="AV128" s="19"/>
      <c r="AW128" s="19"/>
      <c r="AX128" s="19"/>
      <c r="AY128" s="19"/>
      <c r="AZ128" s="19"/>
      <c r="BA128" s="19"/>
      <c r="BB128" s="19"/>
      <c r="BC128" s="19"/>
      <c r="BD128" s="19"/>
      <c r="BE128" s="19"/>
      <c r="BF128" s="19"/>
      <c r="BG128" s="20"/>
      <c r="BH128" s="20"/>
      <c r="BI128" s="20"/>
      <c r="BJ128" s="20"/>
      <c r="BK128" s="20"/>
      <c r="BL128" s="20"/>
      <c r="BM128" s="20"/>
      <c r="BN128" s="20"/>
      <c r="BO128" s="20"/>
      <c r="BP128" s="20"/>
      <c r="BQ128" s="20"/>
      <c r="BR128" s="20"/>
      <c r="BS128" s="20"/>
      <c r="BT128" s="20"/>
      <c r="BU128" s="20"/>
      <c r="BV128" s="20"/>
      <c r="IP128" s="20"/>
      <c r="IQ128" s="20"/>
      <c r="IR128" s="20"/>
      <c r="IS128" s="20"/>
      <c r="IT128" s="20"/>
      <c r="IU128" s="20"/>
      <c r="IV128" s="20"/>
    </row>
    <row r="129" spans="1:256" s="21" customFormat="1" ht="51">
      <c r="A129" s="135"/>
      <c r="B129" s="39">
        <v>113</v>
      </c>
      <c r="C129" s="39" t="s">
        <v>650</v>
      </c>
      <c r="D129" s="100">
        <v>44607</v>
      </c>
      <c r="E129" s="26">
        <v>21513</v>
      </c>
      <c r="F129" s="26">
        <v>110740</v>
      </c>
      <c r="G129" s="26">
        <v>5194</v>
      </c>
      <c r="H129" s="27"/>
      <c r="I129" s="27"/>
      <c r="J129" s="101">
        <v>543</v>
      </c>
      <c r="K129" s="27">
        <v>10</v>
      </c>
      <c r="L129" s="101" t="s">
        <v>38</v>
      </c>
      <c r="M129" s="27" t="s">
        <v>651</v>
      </c>
      <c r="N129" s="102" t="s">
        <v>652</v>
      </c>
      <c r="O129" s="27"/>
      <c r="P129" s="27" t="s">
        <v>399</v>
      </c>
      <c r="Q129" s="27" t="s">
        <v>399</v>
      </c>
      <c r="R129" s="27" t="s">
        <v>399</v>
      </c>
      <c r="S129" s="27" t="s">
        <v>653</v>
      </c>
      <c r="T129" s="27">
        <v>1</v>
      </c>
      <c r="U129" s="28">
        <v>1</v>
      </c>
      <c r="V129" s="27"/>
      <c r="W129" s="27"/>
      <c r="X129" s="27" t="s">
        <v>77</v>
      </c>
      <c r="Y129" s="29"/>
      <c r="Z129" s="30"/>
      <c r="AA129" s="31"/>
      <c r="AB129" s="30"/>
      <c r="AC129" s="31"/>
      <c r="AD129" s="30"/>
      <c r="AE129" s="27">
        <f>54.52+18.17/2</f>
        <v>63.605000000000004</v>
      </c>
      <c r="AF129" s="27"/>
      <c r="AG129" s="27"/>
      <c r="AH129" s="27"/>
      <c r="AI129" s="28">
        <f>56.72+8.41/2</f>
        <v>60.924999999999997</v>
      </c>
      <c r="AJ129" s="32"/>
      <c r="AK129" s="33">
        <v>366.3</v>
      </c>
      <c r="AL129" s="33">
        <f>+(54.62+18.17+56.72+8.41)/AK129</f>
        <v>0.3765219765219765</v>
      </c>
      <c r="AM129" s="33">
        <f>+(AE129+AI129)/AK129</f>
        <v>0.33996723996723999</v>
      </c>
      <c r="AN129" s="33">
        <f>+(2+21+4+18)/(1+7+1+3)</f>
        <v>3.75</v>
      </c>
      <c r="AO129" s="33">
        <f>+(3*24483+3*19581+14688*7+9793*7)/20*AI129</f>
        <v>924716.60375000001</v>
      </c>
      <c r="AP129" s="34">
        <v>4807.7</v>
      </c>
      <c r="AQ129" s="33" t="s">
        <v>71</v>
      </c>
      <c r="AR129" s="34" t="s">
        <v>654</v>
      </c>
      <c r="AS129" s="35">
        <v>44719</v>
      </c>
      <c r="AT129" s="36"/>
      <c r="AU129" s="134"/>
      <c r="AV129" s="19"/>
      <c r="AW129" s="19"/>
      <c r="AX129" s="19"/>
      <c r="AY129" s="19"/>
      <c r="AZ129" s="19"/>
      <c r="BA129" s="19"/>
      <c r="BB129" s="19"/>
      <c r="BC129" s="19"/>
      <c r="BD129" s="19"/>
      <c r="BE129" s="19"/>
      <c r="BF129" s="19"/>
      <c r="BG129" s="20"/>
      <c r="BH129" s="20"/>
      <c r="BI129" s="20"/>
      <c r="BJ129" s="20"/>
      <c r="BK129" s="20"/>
      <c r="BL129" s="20"/>
      <c r="BM129" s="20"/>
      <c r="BN129" s="20"/>
      <c r="BO129" s="20"/>
      <c r="BP129" s="20"/>
      <c r="BQ129" s="20"/>
      <c r="BR129" s="20"/>
      <c r="BS129" s="20"/>
      <c r="BT129" s="20"/>
      <c r="BU129" s="20"/>
      <c r="BV129" s="20"/>
      <c r="IP129" s="20"/>
      <c r="IQ129" s="20"/>
      <c r="IR129" s="20"/>
      <c r="IS129" s="20"/>
      <c r="IT129" s="20"/>
      <c r="IU129" s="20"/>
      <c r="IV129" s="20"/>
    </row>
    <row r="130" spans="1:256" s="21" customFormat="1" ht="63.75">
      <c r="A130" s="135"/>
      <c r="B130" s="24">
        <v>112</v>
      </c>
      <c r="C130" s="24">
        <v>541370</v>
      </c>
      <c r="D130" s="25">
        <v>44657</v>
      </c>
      <c r="E130" s="26">
        <v>52519</v>
      </c>
      <c r="F130" s="26">
        <v>162101</v>
      </c>
      <c r="G130" s="26">
        <v>33098</v>
      </c>
      <c r="H130" s="27">
        <v>3</v>
      </c>
      <c r="I130" s="27"/>
      <c r="J130" s="27">
        <v>4</v>
      </c>
      <c r="K130" s="27">
        <v>27</v>
      </c>
      <c r="L130" s="27" t="s">
        <v>630</v>
      </c>
      <c r="M130" s="27" t="s">
        <v>270</v>
      </c>
      <c r="N130" s="27" t="s">
        <v>655</v>
      </c>
      <c r="O130" s="27"/>
      <c r="P130" s="27" t="s">
        <v>478</v>
      </c>
      <c r="Q130" s="27" t="s">
        <v>478</v>
      </c>
      <c r="R130" s="27" t="s">
        <v>478</v>
      </c>
      <c r="S130" s="27" t="s">
        <v>138</v>
      </c>
      <c r="T130" s="27"/>
      <c r="U130" s="28">
        <v>1</v>
      </c>
      <c r="V130" s="27"/>
      <c r="W130" s="27"/>
      <c r="X130" s="27" t="s">
        <v>65</v>
      </c>
      <c r="Y130" s="29"/>
      <c r="Z130" s="30">
        <v>2</v>
      </c>
      <c r="AA130" s="31"/>
      <c r="AB130" s="30">
        <f>+Z130+1</f>
        <v>3</v>
      </c>
      <c r="AC130" s="31"/>
      <c r="AD130" s="30">
        <f>+Z130*2</f>
        <v>4</v>
      </c>
      <c r="AE130" s="27"/>
      <c r="AF130" s="27"/>
      <c r="AG130" s="27"/>
      <c r="AH130" s="27"/>
      <c r="AI130" s="28">
        <f>120.26+98.16/2</f>
        <v>169.34</v>
      </c>
      <c r="AJ130" s="32"/>
      <c r="AK130" s="33">
        <v>803.38</v>
      </c>
      <c r="AL130" s="33">
        <f>+(120.26+98.16)/AK130</f>
        <v>0.27187632253728</v>
      </c>
      <c r="AM130" s="33">
        <f>+AI130/AK130</f>
        <v>0.21078443575891859</v>
      </c>
      <c r="AN130" s="33"/>
      <c r="AO130" s="33">
        <f>+(3*24483+6*19581+14688*5+7*9793)/21*AI130</f>
        <v>2684651.8495238097</v>
      </c>
      <c r="AP130" s="34">
        <v>28774.47</v>
      </c>
      <c r="AQ130" s="33" t="s">
        <v>71</v>
      </c>
      <c r="AR130" s="34" t="s">
        <v>656</v>
      </c>
      <c r="AS130" s="35">
        <v>44719</v>
      </c>
      <c r="AT130" s="36"/>
      <c r="AU130" s="134" t="s">
        <v>657</v>
      </c>
      <c r="AV130" s="19"/>
      <c r="AW130" s="19"/>
      <c r="AX130" s="19"/>
      <c r="AY130" s="19"/>
      <c r="AZ130" s="19"/>
      <c r="BA130" s="19"/>
      <c r="BB130" s="19"/>
      <c r="BC130" s="19"/>
      <c r="BD130" s="19"/>
      <c r="BE130" s="19"/>
      <c r="BF130" s="19"/>
      <c r="BG130" s="20"/>
      <c r="BH130" s="20"/>
      <c r="BI130" s="20"/>
      <c r="BJ130" s="20"/>
      <c r="BK130" s="20"/>
      <c r="BL130" s="20"/>
      <c r="BM130" s="20"/>
      <c r="BN130" s="20"/>
      <c r="BO130" s="20"/>
      <c r="BP130" s="20"/>
      <c r="BQ130" s="20"/>
      <c r="BR130" s="20"/>
      <c r="BS130" s="20"/>
      <c r="BT130" s="20"/>
      <c r="BU130" s="20"/>
      <c r="BV130" s="20"/>
      <c r="IP130" s="20"/>
      <c r="IQ130" s="20"/>
      <c r="IR130" s="20"/>
      <c r="IS130" s="20"/>
      <c r="IT130" s="20"/>
      <c r="IU130" s="20"/>
      <c r="IV130" s="20"/>
    </row>
    <row r="131" spans="1:256" s="21" customFormat="1" ht="51">
      <c r="A131" s="135"/>
      <c r="B131" s="24">
        <v>121</v>
      </c>
      <c r="C131" s="24">
        <v>541861</v>
      </c>
      <c r="D131" s="25">
        <v>44676</v>
      </c>
      <c r="E131" s="26">
        <v>57509</v>
      </c>
      <c r="F131" s="26">
        <v>166079</v>
      </c>
      <c r="G131" s="26">
        <v>33720</v>
      </c>
      <c r="H131" s="27">
        <v>327</v>
      </c>
      <c r="I131" s="27"/>
      <c r="J131" s="27"/>
      <c r="K131" s="27"/>
      <c r="L131" s="27" t="s">
        <v>74</v>
      </c>
      <c r="M131" s="27" t="s">
        <v>658</v>
      </c>
      <c r="N131" s="27" t="s">
        <v>659</v>
      </c>
      <c r="O131" s="27"/>
      <c r="P131" s="27" t="s">
        <v>285</v>
      </c>
      <c r="Q131" s="27" t="s">
        <v>660</v>
      </c>
      <c r="R131" s="27" t="s">
        <v>285</v>
      </c>
      <c r="S131" s="27" t="s">
        <v>100</v>
      </c>
      <c r="T131" s="27"/>
      <c r="U131" s="28">
        <v>1</v>
      </c>
      <c r="V131" s="27"/>
      <c r="W131" s="27"/>
      <c r="X131" s="27" t="s">
        <v>151</v>
      </c>
      <c r="Y131" s="29"/>
      <c r="Z131" s="30">
        <v>2</v>
      </c>
      <c r="AA131" s="31"/>
      <c r="AB131" s="30">
        <f>+Z131+1</f>
        <v>3</v>
      </c>
      <c r="AC131" s="31"/>
      <c r="AD131" s="30">
        <f>+Z131*2</f>
        <v>4</v>
      </c>
      <c r="AE131" s="27"/>
      <c r="AF131" s="27"/>
      <c r="AG131" s="27"/>
      <c r="AH131" s="27"/>
      <c r="AI131" s="28">
        <v>56.31</v>
      </c>
      <c r="AJ131" s="32">
        <v>56.31</v>
      </c>
      <c r="AK131" s="33">
        <v>321</v>
      </c>
      <c r="AL131" s="33">
        <f>+AI131/AK131</f>
        <v>0.17542056074766355</v>
      </c>
      <c r="AM131" s="33">
        <f>+(AI131+AJ131)/AK131</f>
        <v>0.35084112149532709</v>
      </c>
      <c r="AN131" s="33">
        <f>+(15+16)/(5+4)</f>
        <v>3.4444444444444446</v>
      </c>
      <c r="AO131" s="33">
        <f>+(AJ131*19581)+((4*24483+19581*2+13*14688+9793*2)/21*AI131)</f>
        <v>2034735.0357142859</v>
      </c>
      <c r="AP131" s="34">
        <v>8913.6299999999992</v>
      </c>
      <c r="AQ131" s="33" t="s">
        <v>71</v>
      </c>
      <c r="AR131" s="34" t="s">
        <v>661</v>
      </c>
      <c r="AS131" s="35">
        <v>44721</v>
      </c>
      <c r="AT131" s="36"/>
      <c r="AU131" s="134" t="s">
        <v>662</v>
      </c>
      <c r="AV131" s="19"/>
      <c r="AW131" s="19"/>
      <c r="AX131" s="19"/>
      <c r="AY131" s="19"/>
      <c r="AZ131" s="19"/>
      <c r="BA131" s="19"/>
      <c r="BB131" s="19"/>
      <c r="BC131" s="19"/>
      <c r="BD131" s="19"/>
      <c r="BE131" s="19"/>
      <c r="BF131" s="19"/>
      <c r="BG131" s="20"/>
      <c r="BH131" s="20"/>
      <c r="BI131" s="20"/>
      <c r="BJ131" s="20"/>
      <c r="BK131" s="20"/>
      <c r="BL131" s="20"/>
      <c r="BM131" s="20"/>
      <c r="BN131" s="20"/>
      <c r="BO131" s="20"/>
      <c r="BP131" s="20"/>
      <c r="BQ131" s="20"/>
      <c r="BR131" s="20"/>
      <c r="BS131" s="20"/>
      <c r="BT131" s="20"/>
      <c r="BU131" s="20"/>
      <c r="BV131" s="20"/>
      <c r="IP131" s="20"/>
      <c r="IQ131" s="20"/>
      <c r="IR131" s="20"/>
      <c r="IS131" s="20"/>
      <c r="IT131" s="20"/>
      <c r="IU131" s="20"/>
      <c r="IV131" s="20"/>
    </row>
    <row r="132" spans="1:256" s="21" customFormat="1" ht="63.75">
      <c r="A132" s="135"/>
      <c r="B132" s="24">
        <v>118</v>
      </c>
      <c r="C132" s="24">
        <v>542343</v>
      </c>
      <c r="D132" s="25">
        <v>44694</v>
      </c>
      <c r="E132" s="26">
        <v>43193</v>
      </c>
      <c r="F132" s="26">
        <v>141244</v>
      </c>
      <c r="G132" s="26">
        <v>20611</v>
      </c>
      <c r="H132" s="27">
        <v>62</v>
      </c>
      <c r="I132" s="27"/>
      <c r="J132" s="27">
        <v>461</v>
      </c>
      <c r="K132" s="27">
        <v>1</v>
      </c>
      <c r="L132" s="27" t="s">
        <v>74</v>
      </c>
      <c r="M132" s="27"/>
      <c r="N132" s="27" t="s">
        <v>663</v>
      </c>
      <c r="O132" s="27"/>
      <c r="P132" s="27" t="s">
        <v>63</v>
      </c>
      <c r="Q132" s="27"/>
      <c r="R132" s="27"/>
      <c r="S132" s="27"/>
      <c r="T132" s="27">
        <v>1</v>
      </c>
      <c r="U132" s="28"/>
      <c r="V132" s="27"/>
      <c r="W132" s="27"/>
      <c r="X132" s="27" t="s">
        <v>186</v>
      </c>
      <c r="Y132" s="29"/>
      <c r="Z132" s="30"/>
      <c r="AA132" s="31"/>
      <c r="AB132" s="30"/>
      <c r="AC132" s="31"/>
      <c r="AD132" s="30"/>
      <c r="AE132" s="27"/>
      <c r="AF132" s="27"/>
      <c r="AG132" s="27"/>
      <c r="AH132" s="27">
        <f>157.1+61.48</f>
        <v>218.57999999999998</v>
      </c>
      <c r="AI132" s="28"/>
      <c r="AJ132" s="32"/>
      <c r="AK132" s="33">
        <v>312.45999999999998</v>
      </c>
      <c r="AL132" s="33">
        <f>157.1/AK132</f>
        <v>0.50278435639761887</v>
      </c>
      <c r="AM132" s="33">
        <f>+AH132/AK132</f>
        <v>0.69954554182935413</v>
      </c>
      <c r="AN132" s="33"/>
      <c r="AO132" s="33">
        <f>+AH132*14488</f>
        <v>3166787.0399999996</v>
      </c>
      <c r="AP132" s="34">
        <v>63300.71</v>
      </c>
      <c r="AQ132" s="33" t="s">
        <v>36</v>
      </c>
      <c r="AR132" s="34" t="s">
        <v>664</v>
      </c>
      <c r="AS132" s="35">
        <v>44721</v>
      </c>
      <c r="AT132" s="36"/>
      <c r="AU132" s="134">
        <v>44697</v>
      </c>
      <c r="AV132" s="19"/>
      <c r="AW132" s="19"/>
      <c r="AX132" s="19"/>
      <c r="AY132" s="19"/>
      <c r="AZ132" s="19"/>
      <c r="BA132" s="19"/>
      <c r="BB132" s="19"/>
      <c r="BC132" s="19"/>
      <c r="BD132" s="19"/>
      <c r="BE132" s="19"/>
      <c r="BF132" s="19"/>
      <c r="BG132" s="20"/>
      <c r="BH132" s="20"/>
      <c r="BI132" s="20"/>
      <c r="BJ132" s="20"/>
      <c r="BK132" s="20"/>
      <c r="BL132" s="20"/>
      <c r="BM132" s="20"/>
      <c r="BN132" s="20"/>
      <c r="BO132" s="20"/>
      <c r="BP132" s="20"/>
      <c r="BQ132" s="20"/>
      <c r="BR132" s="20"/>
      <c r="BS132" s="20"/>
      <c r="BT132" s="20"/>
      <c r="BU132" s="20"/>
      <c r="BV132" s="20"/>
      <c r="IP132" s="20"/>
      <c r="IQ132" s="20"/>
      <c r="IR132" s="20"/>
      <c r="IS132" s="20"/>
      <c r="IT132" s="20"/>
      <c r="IU132" s="20"/>
      <c r="IV132" s="20"/>
    </row>
    <row r="133" spans="1:256" s="21" customFormat="1" ht="51">
      <c r="A133" s="44"/>
      <c r="B133" s="64">
        <v>120</v>
      </c>
      <c r="C133" s="64">
        <v>541383</v>
      </c>
      <c r="D133" s="66">
        <v>44293</v>
      </c>
      <c r="E133" s="26">
        <v>21038</v>
      </c>
      <c r="F133" s="26">
        <v>110372</v>
      </c>
      <c r="G133" s="26">
        <v>1793</v>
      </c>
      <c r="H133" s="27"/>
      <c r="I133" s="27"/>
      <c r="J133" s="27">
        <v>648</v>
      </c>
      <c r="K133" s="27">
        <v>16</v>
      </c>
      <c r="L133" s="27" t="s">
        <v>60</v>
      </c>
      <c r="M133" s="27" t="s">
        <v>665</v>
      </c>
      <c r="N133" s="27" t="s">
        <v>666</v>
      </c>
      <c r="O133" s="27"/>
      <c r="P133" s="27" t="s">
        <v>285</v>
      </c>
      <c r="Q133" s="27"/>
      <c r="R133" s="27"/>
      <c r="S133" s="27"/>
      <c r="T133" s="27">
        <v>1</v>
      </c>
      <c r="U133" s="28"/>
      <c r="V133" s="27">
        <v>1</v>
      </c>
      <c r="W133" s="27"/>
      <c r="X133" s="27" t="s">
        <v>151</v>
      </c>
      <c r="Y133" s="29">
        <v>2</v>
      </c>
      <c r="Z133" s="30"/>
      <c r="AA133" s="31">
        <f>+Y133+1</f>
        <v>3</v>
      </c>
      <c r="AB133" s="30"/>
      <c r="AC133" s="31">
        <f>+Y133*2</f>
        <v>4</v>
      </c>
      <c r="AD133" s="30"/>
      <c r="AE133" s="27">
        <f>165.5+20.06/2</f>
        <v>175.53</v>
      </c>
      <c r="AF133" s="27"/>
      <c r="AG133" s="27"/>
      <c r="AH133" s="27">
        <v>71.650000000000006</v>
      </c>
      <c r="AI133" s="28"/>
      <c r="AJ133" s="32"/>
      <c r="AK133" s="33">
        <v>270.58999999999997</v>
      </c>
      <c r="AL133" s="33">
        <f>+(165.5+29.06+71.65)/AK133</f>
        <v>0.98381314904468042</v>
      </c>
      <c r="AM133" s="33">
        <f>+(AE133+AH133)/AK133</f>
        <v>0.91348534683469462</v>
      </c>
      <c r="AN133" s="33"/>
      <c r="AO133" s="33">
        <f>+(AH133*19581)</f>
        <v>1402978.6500000001</v>
      </c>
      <c r="AP133" s="34">
        <v>21602.09</v>
      </c>
      <c r="AQ133" s="33" t="s">
        <v>71</v>
      </c>
      <c r="AR133" s="34" t="s">
        <v>667</v>
      </c>
      <c r="AS133" s="35">
        <v>44721</v>
      </c>
      <c r="AT133" s="36"/>
      <c r="AU133" s="37">
        <v>44672</v>
      </c>
      <c r="AV133" s="19"/>
      <c r="AW133" s="19"/>
      <c r="AX133" s="19"/>
      <c r="AY133" s="19"/>
      <c r="AZ133" s="19"/>
      <c r="BA133" s="19"/>
      <c r="BB133" s="19"/>
      <c r="BC133" s="19"/>
      <c r="BD133" s="19"/>
      <c r="BE133" s="19"/>
      <c r="BF133" s="19"/>
      <c r="BG133" s="20"/>
      <c r="BH133" s="20"/>
      <c r="BI133" s="20"/>
      <c r="BJ133" s="20"/>
      <c r="BK133" s="20"/>
      <c r="BL133" s="20"/>
      <c r="BM133" s="20"/>
      <c r="BN133" s="20"/>
      <c r="BO133" s="20"/>
      <c r="BP133" s="20"/>
      <c r="BQ133" s="20"/>
      <c r="BR133" s="20"/>
      <c r="BS133" s="20"/>
      <c r="BT133" s="20"/>
      <c r="BU133" s="20"/>
      <c r="BV133" s="20"/>
      <c r="IP133" s="20"/>
      <c r="IQ133" s="20"/>
      <c r="IR133" s="20"/>
      <c r="IS133" s="20"/>
      <c r="IT133" s="20"/>
      <c r="IU133" s="20"/>
      <c r="IV133" s="20"/>
    </row>
    <row r="134" spans="1:256" s="21" customFormat="1" ht="51">
      <c r="A134" s="44"/>
      <c r="B134" s="64">
        <v>127</v>
      </c>
      <c r="C134" s="64">
        <v>542896</v>
      </c>
      <c r="D134" s="66">
        <v>44713</v>
      </c>
      <c r="E134" s="26">
        <v>29704</v>
      </c>
      <c r="F134" s="26">
        <v>91608</v>
      </c>
      <c r="G134" s="26">
        <v>30062</v>
      </c>
      <c r="H134" s="27">
        <v>367</v>
      </c>
      <c r="I134" s="27"/>
      <c r="J134" s="27"/>
      <c r="K134" s="27">
        <v>2</v>
      </c>
      <c r="L134" s="27" t="s">
        <v>500</v>
      </c>
      <c r="M134" s="27" t="s">
        <v>668</v>
      </c>
      <c r="N134" s="27" t="s">
        <v>669</v>
      </c>
      <c r="O134" s="27"/>
      <c r="P134" s="27" t="s">
        <v>184</v>
      </c>
      <c r="Q134" s="27"/>
      <c r="R134" s="27"/>
      <c r="S134" s="27"/>
      <c r="T134" s="27">
        <v>1</v>
      </c>
      <c r="U134" s="28"/>
      <c r="V134" s="27"/>
      <c r="W134" s="27"/>
      <c r="X134" s="27" t="s">
        <v>670</v>
      </c>
      <c r="Y134" s="29">
        <v>2</v>
      </c>
      <c r="Z134" s="30"/>
      <c r="AA134" s="31">
        <f>+Y134+1</f>
        <v>3</v>
      </c>
      <c r="AB134" s="30"/>
      <c r="AC134" s="31">
        <f>+Y134*2</f>
        <v>4</v>
      </c>
      <c r="AD134" s="30"/>
      <c r="AE134" s="27"/>
      <c r="AF134" s="27"/>
      <c r="AG134" s="27">
        <v>105.3</v>
      </c>
      <c r="AH134" s="27"/>
      <c r="AI134" s="28"/>
      <c r="AJ134" s="32"/>
      <c r="AK134" s="33">
        <v>79980</v>
      </c>
      <c r="AL134" s="33">
        <v>1.2999999999999999E-3</v>
      </c>
      <c r="AM134" s="33">
        <f>+AG134/AK134</f>
        <v>1.3165791447861965E-3</v>
      </c>
      <c r="AN134" s="33"/>
      <c r="AO134" s="33">
        <f>+(5*24483+7*19581+4*14688+4*9793)/20*AG134</f>
        <v>1881742.5899999999</v>
      </c>
      <c r="AP134" s="34">
        <v>27330.92</v>
      </c>
      <c r="AQ134" s="33" t="s">
        <v>71</v>
      </c>
      <c r="AR134" s="34" t="s">
        <v>671</v>
      </c>
      <c r="AS134" s="35">
        <v>44725</v>
      </c>
      <c r="AT134" s="36"/>
      <c r="AU134" s="37">
        <v>44718</v>
      </c>
      <c r="AV134" s="19"/>
      <c r="AW134" s="19"/>
      <c r="AX134" s="19"/>
      <c r="AY134" s="19"/>
      <c r="AZ134" s="19"/>
      <c r="BA134" s="19"/>
      <c r="BB134" s="19"/>
      <c r="BC134" s="19"/>
      <c r="BD134" s="19"/>
      <c r="BE134" s="19"/>
      <c r="BF134" s="19"/>
      <c r="BG134" s="20"/>
      <c r="BH134" s="20"/>
      <c r="BI134" s="20"/>
      <c r="BJ134" s="20"/>
      <c r="BK134" s="20"/>
      <c r="BL134" s="20"/>
      <c r="BM134" s="20"/>
      <c r="BN134" s="20"/>
      <c r="BO134" s="20"/>
      <c r="BP134" s="20"/>
      <c r="BQ134" s="20"/>
      <c r="BR134" s="20"/>
      <c r="BS134" s="20"/>
      <c r="BT134" s="20"/>
      <c r="BU134" s="20"/>
      <c r="BV134" s="20"/>
      <c r="IP134" s="20"/>
      <c r="IQ134" s="20"/>
      <c r="IR134" s="20"/>
      <c r="IS134" s="20"/>
      <c r="IT134" s="20"/>
      <c r="IU134" s="20"/>
      <c r="IV134" s="20"/>
    </row>
    <row r="135" spans="1:256" s="21" customFormat="1" ht="51">
      <c r="A135" s="149"/>
      <c r="B135" s="24">
        <v>119</v>
      </c>
      <c r="C135" s="24">
        <v>541394</v>
      </c>
      <c r="D135" s="25">
        <v>44627</v>
      </c>
      <c r="E135" s="26">
        <v>60965</v>
      </c>
      <c r="F135" s="26">
        <v>168714</v>
      </c>
      <c r="G135" s="26">
        <v>3918</v>
      </c>
      <c r="H135" s="27">
        <v>327</v>
      </c>
      <c r="I135" s="27"/>
      <c r="J135" s="27">
        <v>8</v>
      </c>
      <c r="K135" s="27">
        <v>9</v>
      </c>
      <c r="L135" s="27" t="s">
        <v>74</v>
      </c>
      <c r="M135" s="27" t="s">
        <v>658</v>
      </c>
      <c r="N135" s="27" t="s">
        <v>672</v>
      </c>
      <c r="O135" s="27"/>
      <c r="P135" s="27" t="s">
        <v>285</v>
      </c>
      <c r="Q135" s="27" t="s">
        <v>285</v>
      </c>
      <c r="R135" s="27" t="s">
        <v>285</v>
      </c>
      <c r="S135" s="27" t="s">
        <v>100</v>
      </c>
      <c r="T135" s="27"/>
      <c r="U135" s="28">
        <v>2</v>
      </c>
      <c r="V135" s="27"/>
      <c r="W135" s="27"/>
      <c r="X135" s="27" t="s">
        <v>77</v>
      </c>
      <c r="Y135" s="29"/>
      <c r="Z135" s="30">
        <f>2*U135</f>
        <v>4</v>
      </c>
      <c r="AA135" s="31"/>
      <c r="AB135" s="30">
        <f>+Z135+1+1</f>
        <v>6</v>
      </c>
      <c r="AC135" s="31"/>
      <c r="AD135" s="30">
        <f>+Z135*2</f>
        <v>8</v>
      </c>
      <c r="AE135" s="27"/>
      <c r="AF135" s="27"/>
      <c r="AG135" s="27"/>
      <c r="AH135" s="27"/>
      <c r="AI135" s="28">
        <f>117.7+5.6/2</f>
        <v>120.5</v>
      </c>
      <c r="AJ135" s="32"/>
      <c r="AK135" s="33">
        <v>327</v>
      </c>
      <c r="AL135" s="33">
        <f>+(117.7+5.6)/AK135</f>
        <v>0.37706422018348623</v>
      </c>
      <c r="AM135" s="33">
        <f>+AI135/AK135</f>
        <v>0.36850152905198774</v>
      </c>
      <c r="AN135" s="33">
        <f>+(6+28)/(2+7)</f>
        <v>3.7777777777777777</v>
      </c>
      <c r="AO135" s="33">
        <f>+(2*24483+3*19581+14688*10+5*9793)/20*AI135</f>
        <v>1828912.85</v>
      </c>
      <c r="AP135" s="34">
        <v>6310.41</v>
      </c>
      <c r="AQ135" s="33" t="s">
        <v>71</v>
      </c>
      <c r="AR135" s="34" t="s">
        <v>673</v>
      </c>
      <c r="AS135" s="35">
        <v>44721</v>
      </c>
      <c r="AT135" s="36"/>
      <c r="AU135" s="134" t="s">
        <v>674</v>
      </c>
      <c r="AV135" s="19"/>
      <c r="AW135" s="19"/>
      <c r="AX135" s="19"/>
      <c r="AY135" s="19"/>
      <c r="AZ135" s="19"/>
      <c r="BA135" s="19"/>
      <c r="BB135" s="19"/>
      <c r="BC135" s="19"/>
      <c r="BD135" s="19"/>
      <c r="BE135" s="19"/>
      <c r="BF135" s="19"/>
      <c r="BG135" s="20"/>
      <c r="BH135" s="20"/>
      <c r="BI135" s="20"/>
      <c r="BJ135" s="20"/>
      <c r="BK135" s="20"/>
      <c r="BL135" s="20"/>
      <c r="BM135" s="20"/>
      <c r="BN135" s="20"/>
      <c r="BO135" s="20"/>
      <c r="BP135" s="20"/>
      <c r="BQ135" s="20"/>
      <c r="BR135" s="20"/>
      <c r="BS135" s="20"/>
      <c r="BT135" s="20"/>
      <c r="BU135" s="20"/>
      <c r="BV135" s="20"/>
      <c r="IP135" s="20"/>
      <c r="IQ135" s="20"/>
      <c r="IR135" s="20"/>
      <c r="IS135" s="20"/>
      <c r="IT135" s="20"/>
      <c r="IU135" s="20"/>
      <c r="IV135" s="20"/>
    </row>
    <row r="136" spans="1:256" s="21" customFormat="1" ht="25.5">
      <c r="A136" s="149"/>
      <c r="B136" s="24">
        <v>122</v>
      </c>
      <c r="C136" s="24">
        <v>542935</v>
      </c>
      <c r="D136" s="25">
        <v>44714</v>
      </c>
      <c r="E136" s="26">
        <v>49714</v>
      </c>
      <c r="F136" s="26">
        <v>160020</v>
      </c>
      <c r="G136" s="26">
        <v>9525</v>
      </c>
      <c r="H136" s="27"/>
      <c r="I136" s="27"/>
      <c r="J136" s="27">
        <v>777</v>
      </c>
      <c r="K136" s="27">
        <v>15</v>
      </c>
      <c r="L136" s="27" t="s">
        <v>60</v>
      </c>
      <c r="M136" s="27" t="s">
        <v>675</v>
      </c>
      <c r="N136" s="27" t="s">
        <v>676</v>
      </c>
      <c r="O136" s="27"/>
      <c r="P136" s="27" t="s">
        <v>677</v>
      </c>
      <c r="Q136" s="27" t="s">
        <v>677</v>
      </c>
      <c r="R136" s="27" t="s">
        <v>677</v>
      </c>
      <c r="S136" s="27" t="s">
        <v>678</v>
      </c>
      <c r="T136" s="27"/>
      <c r="U136" s="28">
        <v>1</v>
      </c>
      <c r="V136" s="27"/>
      <c r="W136" s="27"/>
      <c r="X136" s="27" t="s">
        <v>35</v>
      </c>
      <c r="Y136" s="29"/>
      <c r="Z136" s="30"/>
      <c r="AA136" s="31"/>
      <c r="AB136" s="30"/>
      <c r="AC136" s="31"/>
      <c r="AD136" s="30"/>
      <c r="AE136" s="27"/>
      <c r="AF136" s="27"/>
      <c r="AG136" s="27"/>
      <c r="AH136" s="27"/>
      <c r="AI136" s="28"/>
      <c r="AJ136" s="32">
        <v>30.79</v>
      </c>
      <c r="AK136" s="33">
        <v>286.8</v>
      </c>
      <c r="AL136" s="33">
        <f>+AJ136/AK136</f>
        <v>0.10735704323570432</v>
      </c>
      <c r="AM136" s="33">
        <f>+AJ136/AK136</f>
        <v>0.10735704323570432</v>
      </c>
      <c r="AN136" s="33"/>
      <c r="AO136" s="33">
        <v>602898.99</v>
      </c>
      <c r="AP136" s="34">
        <v>2567.0700000000002</v>
      </c>
      <c r="AQ136" s="33" t="s">
        <v>458</v>
      </c>
      <c r="AR136" s="34" t="s">
        <v>679</v>
      </c>
      <c r="AS136" s="35">
        <v>44722</v>
      </c>
      <c r="AT136" s="36"/>
      <c r="AU136" s="134" t="s">
        <v>680</v>
      </c>
      <c r="AV136" s="19"/>
      <c r="AW136" s="19"/>
      <c r="AX136" s="19"/>
      <c r="AY136" s="19"/>
      <c r="AZ136" s="19"/>
      <c r="BA136" s="19"/>
      <c r="BB136" s="19"/>
      <c r="BC136" s="19"/>
      <c r="BD136" s="19"/>
      <c r="BE136" s="19"/>
      <c r="BF136" s="19"/>
      <c r="BG136" s="20"/>
      <c r="BH136" s="20"/>
      <c r="BI136" s="20"/>
      <c r="BJ136" s="20"/>
      <c r="BK136" s="20"/>
      <c r="BL136" s="20"/>
      <c r="BM136" s="20"/>
      <c r="BN136" s="20"/>
      <c r="BO136" s="20"/>
      <c r="BP136" s="20"/>
      <c r="BQ136" s="20"/>
      <c r="BR136" s="20"/>
      <c r="BS136" s="20"/>
      <c r="BT136" s="20"/>
      <c r="BU136" s="20"/>
      <c r="BV136" s="20"/>
      <c r="IP136" s="20"/>
      <c r="IQ136" s="20"/>
      <c r="IR136" s="20"/>
      <c r="IS136" s="20"/>
      <c r="IT136" s="20"/>
      <c r="IU136" s="20"/>
      <c r="IV136" s="20"/>
    </row>
    <row r="137" spans="1:256" s="62" customFormat="1" ht="38.25" customHeight="1">
      <c r="A137" s="149"/>
      <c r="B137" s="249">
        <v>129</v>
      </c>
      <c r="C137" s="249" t="s">
        <v>681</v>
      </c>
      <c r="D137" s="250">
        <v>44415</v>
      </c>
      <c r="E137" s="48">
        <v>38812</v>
      </c>
      <c r="F137" s="48"/>
      <c r="G137" s="48">
        <v>31341</v>
      </c>
      <c r="H137" s="49"/>
      <c r="I137" s="49"/>
      <c r="J137" s="49"/>
      <c r="K137" s="49"/>
      <c r="L137" s="251" t="s">
        <v>129</v>
      </c>
      <c r="M137" s="49"/>
      <c r="N137" s="49" t="s">
        <v>682</v>
      </c>
      <c r="O137" s="251" t="s">
        <v>683</v>
      </c>
      <c r="P137" s="49" t="s">
        <v>120</v>
      </c>
      <c r="Q137" s="49"/>
      <c r="R137" s="49"/>
      <c r="S137" s="49"/>
      <c r="T137" s="49">
        <v>1</v>
      </c>
      <c r="U137" s="50"/>
      <c r="V137" s="49"/>
      <c r="W137" s="49"/>
      <c r="X137" s="251" t="s">
        <v>684</v>
      </c>
      <c r="Y137" s="51"/>
      <c r="Z137" s="52"/>
      <c r="AA137" s="53"/>
      <c r="AB137" s="52"/>
      <c r="AC137" s="53"/>
      <c r="AD137" s="52"/>
      <c r="AE137" s="49"/>
      <c r="AF137" s="49">
        <f>2538.02+212.59+259.54/2+278.69</f>
        <v>3159.07</v>
      </c>
      <c r="AG137" s="49"/>
      <c r="AH137" s="49">
        <f>3177.35+65.2/2</f>
        <v>3209.95</v>
      </c>
      <c r="AI137" s="50"/>
      <c r="AJ137" s="54"/>
      <c r="AK137" s="55">
        <v>10375</v>
      </c>
      <c r="AL137" s="55">
        <v>0.6</v>
      </c>
      <c r="AM137" s="55">
        <f>+(AF137+AH137)/AK137</f>
        <v>0.61388144578313253</v>
      </c>
      <c r="AN137" s="55"/>
      <c r="AO137" s="55">
        <v>85900910.430000007</v>
      </c>
      <c r="AP137" s="56">
        <v>1228658.02</v>
      </c>
      <c r="AQ137" s="252" t="s">
        <v>71</v>
      </c>
      <c r="AR137" s="253" t="s">
        <v>685</v>
      </c>
      <c r="AS137" s="254">
        <v>44726</v>
      </c>
      <c r="AT137" s="58"/>
      <c r="AU137" s="251"/>
      <c r="AV137" s="60"/>
      <c r="AW137" s="60"/>
      <c r="AX137" s="60"/>
      <c r="AY137" s="60"/>
      <c r="AZ137" s="60"/>
      <c r="BA137" s="60"/>
      <c r="BB137" s="60"/>
      <c r="BC137" s="60"/>
      <c r="BD137" s="60"/>
      <c r="BE137" s="60"/>
      <c r="BF137" s="60"/>
      <c r="BG137" s="61"/>
      <c r="BH137" s="61"/>
      <c r="BI137" s="61"/>
      <c r="BJ137" s="61"/>
      <c r="BK137" s="61"/>
      <c r="BL137" s="61"/>
      <c r="BM137" s="61"/>
      <c r="BN137" s="61"/>
      <c r="BO137" s="61"/>
      <c r="BP137" s="61"/>
      <c r="BQ137" s="61"/>
      <c r="BR137" s="61"/>
      <c r="BS137" s="61"/>
      <c r="BT137" s="61"/>
      <c r="BU137" s="61"/>
      <c r="BV137" s="61"/>
      <c r="IP137" s="61"/>
      <c r="IQ137" s="61"/>
      <c r="IR137" s="61"/>
      <c r="IS137" s="61"/>
      <c r="IT137" s="61"/>
      <c r="IU137" s="61"/>
      <c r="IV137" s="61"/>
    </row>
    <row r="138" spans="1:256" s="62" customFormat="1" ht="25.5">
      <c r="A138" s="149"/>
      <c r="B138" s="255"/>
      <c r="C138" s="255"/>
      <c r="D138" s="256"/>
      <c r="E138" s="48">
        <v>32790</v>
      </c>
      <c r="F138" s="48"/>
      <c r="G138" s="48">
        <v>30280</v>
      </c>
      <c r="H138" s="49"/>
      <c r="I138" s="49"/>
      <c r="J138" s="49"/>
      <c r="K138" s="49"/>
      <c r="L138" s="257"/>
      <c r="M138" s="49"/>
      <c r="N138" s="49" t="s">
        <v>686</v>
      </c>
      <c r="O138" s="257"/>
      <c r="P138" s="49"/>
      <c r="Q138" s="49"/>
      <c r="R138" s="49"/>
      <c r="S138" s="49"/>
      <c r="T138" s="49">
        <v>1</v>
      </c>
      <c r="U138" s="50"/>
      <c r="V138" s="49"/>
      <c r="W138" s="49"/>
      <c r="X138" s="257"/>
      <c r="Y138" s="51"/>
      <c r="Z138" s="52"/>
      <c r="AA138" s="53"/>
      <c r="AB138" s="52"/>
      <c r="AC138" s="53"/>
      <c r="AD138" s="52"/>
      <c r="AE138" s="49"/>
      <c r="AF138" s="49"/>
      <c r="AG138" s="49"/>
      <c r="AH138" s="49">
        <f>5325.79+206.83</f>
        <v>5532.62</v>
      </c>
      <c r="AI138" s="50"/>
      <c r="AJ138" s="54"/>
      <c r="AK138" s="55">
        <v>13549</v>
      </c>
      <c r="AL138" s="55">
        <v>0.39</v>
      </c>
      <c r="AM138" s="55">
        <f>+AH138/AK138</f>
        <v>0.40834157502398699</v>
      </c>
      <c r="AN138" s="55"/>
      <c r="AO138" s="55">
        <v>35596947.369999997</v>
      </c>
      <c r="AP138" s="56">
        <v>513749.95</v>
      </c>
      <c r="AQ138" s="258"/>
      <c r="AR138" s="259"/>
      <c r="AS138" s="260"/>
      <c r="AT138" s="58"/>
      <c r="AU138" s="257"/>
      <c r="AV138" s="60"/>
      <c r="AW138" s="60"/>
      <c r="AX138" s="60"/>
      <c r="AY138" s="60"/>
      <c r="AZ138" s="60"/>
      <c r="BA138" s="60"/>
      <c r="BB138" s="60"/>
      <c r="BC138" s="60"/>
      <c r="BD138" s="60"/>
      <c r="BE138" s="60"/>
      <c r="BF138" s="60"/>
      <c r="BG138" s="61"/>
      <c r="BH138" s="61"/>
      <c r="BI138" s="61"/>
      <c r="BJ138" s="61"/>
      <c r="BK138" s="61"/>
      <c r="BL138" s="61"/>
      <c r="BM138" s="61"/>
      <c r="BN138" s="61"/>
      <c r="BO138" s="61"/>
      <c r="BP138" s="61"/>
      <c r="BQ138" s="61"/>
      <c r="BR138" s="61"/>
      <c r="BS138" s="61"/>
      <c r="BT138" s="61"/>
      <c r="BU138" s="61"/>
      <c r="BV138" s="61"/>
      <c r="IP138" s="61"/>
      <c r="IQ138" s="61"/>
      <c r="IR138" s="61"/>
      <c r="IS138" s="61"/>
      <c r="IT138" s="61"/>
      <c r="IU138" s="61"/>
      <c r="IV138" s="61"/>
    </row>
    <row r="139" spans="1:256" s="21" customFormat="1" ht="63.75">
      <c r="A139" s="135"/>
      <c r="B139" s="24">
        <v>126</v>
      </c>
      <c r="C139" s="24">
        <v>540732</v>
      </c>
      <c r="D139" s="25">
        <v>44678</v>
      </c>
      <c r="E139" s="26">
        <v>42495</v>
      </c>
      <c r="F139" s="26">
        <v>140945</v>
      </c>
      <c r="G139" s="26">
        <v>31977</v>
      </c>
      <c r="H139" s="27">
        <v>327</v>
      </c>
      <c r="I139" s="27"/>
      <c r="J139" s="27"/>
      <c r="K139" s="27">
        <v>15</v>
      </c>
      <c r="L139" s="27" t="s">
        <v>74</v>
      </c>
      <c r="M139" s="27" t="s">
        <v>687</v>
      </c>
      <c r="N139" s="27" t="s">
        <v>688</v>
      </c>
      <c r="O139" s="27"/>
      <c r="P139" s="27" t="s">
        <v>347</v>
      </c>
      <c r="Q139" s="27"/>
      <c r="R139" s="27"/>
      <c r="S139" s="27"/>
      <c r="T139" s="27">
        <v>1</v>
      </c>
      <c r="U139" s="28"/>
      <c r="V139" s="27"/>
      <c r="W139" s="27"/>
      <c r="X139" s="27" t="s">
        <v>186</v>
      </c>
      <c r="Y139" s="29"/>
      <c r="Z139" s="30"/>
      <c r="AA139" s="31"/>
      <c r="AB139" s="30"/>
      <c r="AC139" s="31"/>
      <c r="AD139" s="30"/>
      <c r="AE139" s="27"/>
      <c r="AF139" s="27"/>
      <c r="AG139" s="27"/>
      <c r="AH139" s="27">
        <v>100.24</v>
      </c>
      <c r="AI139" s="28"/>
      <c r="AJ139" s="32"/>
      <c r="AK139" s="33">
        <v>321</v>
      </c>
      <c r="AL139" s="33">
        <f>+AH139/AK139</f>
        <v>0.31227414330218067</v>
      </c>
      <c r="AM139" s="33">
        <f>+AH139/AK139</f>
        <v>0.31227414330218067</v>
      </c>
      <c r="AN139" s="33"/>
      <c r="AO139" s="33">
        <f>+AH139*19688</f>
        <v>1973525.1199999999</v>
      </c>
      <c r="AP139" s="34">
        <v>29158.03</v>
      </c>
      <c r="AQ139" s="33" t="s">
        <v>71</v>
      </c>
      <c r="AR139" s="34" t="s">
        <v>689</v>
      </c>
      <c r="AS139" s="35">
        <v>44722</v>
      </c>
      <c r="AT139" s="36"/>
      <c r="AU139" s="134">
        <v>44679</v>
      </c>
      <c r="AV139" s="19"/>
      <c r="AW139" s="19"/>
      <c r="AX139" s="19"/>
      <c r="AY139" s="19"/>
      <c r="AZ139" s="19"/>
      <c r="BA139" s="19"/>
      <c r="BB139" s="19"/>
      <c r="BC139" s="19"/>
      <c r="BD139" s="19"/>
      <c r="BE139" s="19"/>
      <c r="BF139" s="19"/>
      <c r="BG139" s="20"/>
      <c r="BH139" s="20"/>
      <c r="BI139" s="20"/>
      <c r="BJ139" s="20"/>
      <c r="BK139" s="20"/>
      <c r="BL139" s="20"/>
      <c r="BM139" s="20"/>
      <c r="BN139" s="20"/>
      <c r="BO139" s="20"/>
      <c r="BP139" s="20"/>
      <c r="BQ139" s="20"/>
      <c r="BR139" s="20"/>
      <c r="BS139" s="20"/>
      <c r="BT139" s="20"/>
      <c r="BU139" s="20"/>
      <c r="BV139" s="20"/>
      <c r="IP139" s="20"/>
      <c r="IQ139" s="20"/>
      <c r="IR139" s="20"/>
      <c r="IS139" s="20"/>
      <c r="IT139" s="20"/>
      <c r="IU139" s="20"/>
      <c r="IV139" s="20"/>
    </row>
    <row r="140" spans="1:256" s="21" customFormat="1" ht="63.75">
      <c r="A140" s="135"/>
      <c r="B140" s="65">
        <v>128</v>
      </c>
      <c r="C140" s="103" t="s">
        <v>690</v>
      </c>
      <c r="D140" s="103">
        <v>44501</v>
      </c>
      <c r="E140" s="26">
        <v>46885</v>
      </c>
      <c r="F140" s="26">
        <v>149900</v>
      </c>
      <c r="G140" s="26">
        <v>20922</v>
      </c>
      <c r="H140" s="27">
        <v>40</v>
      </c>
      <c r="I140" s="27"/>
      <c r="J140" s="27">
        <v>391</v>
      </c>
      <c r="K140" s="27">
        <v>11</v>
      </c>
      <c r="L140" s="27"/>
      <c r="M140" s="27" t="s">
        <v>691</v>
      </c>
      <c r="N140" s="27" t="s">
        <v>692</v>
      </c>
      <c r="O140" s="27" t="s">
        <v>693</v>
      </c>
      <c r="P140" s="27" t="s">
        <v>694</v>
      </c>
      <c r="Q140" s="27"/>
      <c r="R140" s="27"/>
      <c r="S140" s="27"/>
      <c r="T140" s="27">
        <v>2</v>
      </c>
      <c r="U140" s="28"/>
      <c r="V140" s="27"/>
      <c r="W140" s="27"/>
      <c r="X140" s="27" t="s">
        <v>77</v>
      </c>
      <c r="Y140" s="29">
        <f>1+1</f>
        <v>2</v>
      </c>
      <c r="Z140" s="30"/>
      <c r="AA140" s="31">
        <f>+Y140+1+1</f>
        <v>4</v>
      </c>
      <c r="AB140" s="30"/>
      <c r="AC140" s="31">
        <f>+Y140*2</f>
        <v>4</v>
      </c>
      <c r="AD140" s="30"/>
      <c r="AE140" s="27"/>
      <c r="AF140" s="27"/>
      <c r="AG140" s="27">
        <f>68+31/2</f>
        <v>83.5</v>
      </c>
      <c r="AH140" s="27"/>
      <c r="AI140" s="28"/>
      <c r="AJ140" s="32"/>
      <c r="AK140" s="33">
        <v>312</v>
      </c>
      <c r="AL140" s="33">
        <f>+(68+31)/AK140</f>
        <v>0.31730769230769229</v>
      </c>
      <c r="AM140" s="33">
        <f>+AG140/AK140</f>
        <v>0.26762820512820512</v>
      </c>
      <c r="AN140" s="33"/>
      <c r="AO140" s="33">
        <f>+(19588+5*14688+9793*14)/20*AG140</f>
        <v>960792.75</v>
      </c>
      <c r="AP140" s="34">
        <v>15694.67</v>
      </c>
      <c r="AQ140" s="33" t="s">
        <v>71</v>
      </c>
      <c r="AR140" s="34" t="s">
        <v>695</v>
      </c>
      <c r="AS140" s="35">
        <v>44725</v>
      </c>
      <c r="AT140" s="36"/>
      <c r="AU140" s="134">
        <v>44638</v>
      </c>
      <c r="AV140" s="19"/>
      <c r="AW140" s="19"/>
      <c r="AX140" s="19"/>
      <c r="AY140" s="19"/>
      <c r="AZ140" s="19"/>
      <c r="BA140" s="19"/>
      <c r="BB140" s="19"/>
      <c r="BC140" s="19"/>
      <c r="BD140" s="19"/>
      <c r="BE140" s="19"/>
      <c r="BF140" s="19"/>
      <c r="BG140" s="20"/>
      <c r="BH140" s="20"/>
      <c r="BI140" s="20"/>
      <c r="BJ140" s="20"/>
      <c r="BK140" s="20"/>
      <c r="BL140" s="20"/>
      <c r="BM140" s="20"/>
      <c r="BN140" s="20"/>
      <c r="BO140" s="20"/>
      <c r="BP140" s="20"/>
      <c r="BQ140" s="20"/>
      <c r="BR140" s="20"/>
      <c r="BS140" s="20"/>
      <c r="BT140" s="20"/>
      <c r="BU140" s="20"/>
      <c r="BV140" s="20"/>
      <c r="IP140" s="20"/>
      <c r="IQ140" s="20"/>
      <c r="IR140" s="20"/>
      <c r="IS140" s="20"/>
      <c r="IT140" s="20"/>
      <c r="IU140" s="20"/>
      <c r="IV140" s="20"/>
    </row>
    <row r="141" spans="1:256" s="21" customFormat="1" ht="102">
      <c r="A141" s="135"/>
      <c r="B141" s="24">
        <v>130</v>
      </c>
      <c r="C141" s="24" t="s">
        <v>696</v>
      </c>
      <c r="D141" s="25">
        <v>44679</v>
      </c>
      <c r="E141" s="26">
        <v>18754</v>
      </c>
      <c r="F141" s="26">
        <v>108566</v>
      </c>
      <c r="G141" s="26">
        <v>3566</v>
      </c>
      <c r="H141" s="27"/>
      <c r="I141" s="27"/>
      <c r="J141" s="27">
        <v>731</v>
      </c>
      <c r="K141" s="27">
        <v>11</v>
      </c>
      <c r="L141" s="27" t="s">
        <v>60</v>
      </c>
      <c r="M141" s="27" t="s">
        <v>697</v>
      </c>
      <c r="N141" s="27" t="s">
        <v>698</v>
      </c>
      <c r="O141" s="27"/>
      <c r="P141" s="27" t="s">
        <v>699</v>
      </c>
      <c r="Q141" s="27"/>
      <c r="R141" s="27"/>
      <c r="S141" s="27"/>
      <c r="T141" s="27">
        <f>1+3</f>
        <v>4</v>
      </c>
      <c r="U141" s="28"/>
      <c r="V141" s="27"/>
      <c r="W141" s="27"/>
      <c r="X141" s="27" t="s">
        <v>77</v>
      </c>
      <c r="Y141" s="29">
        <f>5+3</f>
        <v>8</v>
      </c>
      <c r="Z141" s="30"/>
      <c r="AA141" s="31">
        <f>+Y141+1</f>
        <v>9</v>
      </c>
      <c r="AB141" s="30"/>
      <c r="AC141" s="31">
        <f>+Y141*2</f>
        <v>16</v>
      </c>
      <c r="AD141" s="30"/>
      <c r="AE141" s="27"/>
      <c r="AF141" s="27"/>
      <c r="AG141" s="27">
        <f>128.68+57.17/2</f>
        <v>157.26500000000001</v>
      </c>
      <c r="AH141" s="27"/>
      <c r="AI141" s="28"/>
      <c r="AJ141" s="32"/>
      <c r="AK141" s="33">
        <v>360</v>
      </c>
      <c r="AL141" s="33">
        <f>+(126.68+57.17)/AK141</f>
        <v>0.51069444444444456</v>
      </c>
      <c r="AM141" s="33">
        <f>+AG141/AK141</f>
        <v>0.43684722222222228</v>
      </c>
      <c r="AN141" s="33"/>
      <c r="AO141" s="33">
        <f>+(24483+7*19581+14688*4+9*9793)/20*AG141</f>
        <v>2425332.9667500001</v>
      </c>
      <c r="AP141" s="34">
        <v>33946.71</v>
      </c>
      <c r="AQ141" s="33" t="s">
        <v>71</v>
      </c>
      <c r="AR141" s="34" t="s">
        <v>700</v>
      </c>
      <c r="AS141" s="35">
        <v>44727</v>
      </c>
      <c r="AT141" s="36"/>
      <c r="AU141" s="134">
        <v>44722</v>
      </c>
      <c r="AV141" s="19"/>
      <c r="AW141" s="19"/>
      <c r="AX141" s="19"/>
      <c r="AY141" s="19"/>
      <c r="AZ141" s="19"/>
      <c r="BA141" s="19"/>
      <c r="BB141" s="19"/>
      <c r="BC141" s="19"/>
      <c r="BD141" s="19"/>
      <c r="BE141" s="19"/>
      <c r="BF141" s="19"/>
      <c r="BG141" s="20"/>
      <c r="BH141" s="20"/>
      <c r="BI141" s="20"/>
      <c r="BJ141" s="20"/>
      <c r="BK141" s="20"/>
      <c r="BL141" s="20"/>
      <c r="BM141" s="20"/>
      <c r="BN141" s="20"/>
      <c r="BO141" s="20"/>
      <c r="BP141" s="20"/>
      <c r="BQ141" s="20"/>
      <c r="BR141" s="20"/>
      <c r="BS141" s="20"/>
      <c r="BT141" s="20"/>
      <c r="BU141" s="20"/>
      <c r="BV141" s="20"/>
      <c r="IP141" s="20"/>
      <c r="IQ141" s="20"/>
      <c r="IR141" s="20"/>
      <c r="IS141" s="20"/>
      <c r="IT141" s="20"/>
      <c r="IU141" s="20"/>
      <c r="IV141" s="20"/>
    </row>
    <row r="142" spans="1:256" s="21" customFormat="1" ht="38.25">
      <c r="A142" s="135"/>
      <c r="B142" s="24">
        <v>131</v>
      </c>
      <c r="C142" s="24" t="s">
        <v>701</v>
      </c>
      <c r="D142" s="25">
        <v>44558</v>
      </c>
      <c r="E142" s="26"/>
      <c r="F142" s="26">
        <v>142439</v>
      </c>
      <c r="G142" s="26">
        <v>20805</v>
      </c>
      <c r="H142" s="27">
        <v>101</v>
      </c>
      <c r="I142" s="27"/>
      <c r="J142" s="27">
        <v>408</v>
      </c>
      <c r="K142" s="27">
        <v>6</v>
      </c>
      <c r="L142" s="27" t="s">
        <v>74</v>
      </c>
      <c r="M142" s="27" t="s">
        <v>702</v>
      </c>
      <c r="N142" s="27" t="s">
        <v>703</v>
      </c>
      <c r="O142" s="27"/>
      <c r="P142" s="27" t="s">
        <v>498</v>
      </c>
      <c r="Q142" s="27"/>
      <c r="R142" s="27"/>
      <c r="S142" s="27"/>
      <c r="T142" s="27">
        <v>1</v>
      </c>
      <c r="U142" s="28"/>
      <c r="V142" s="27"/>
      <c r="W142" s="27"/>
      <c r="X142" s="27" t="s">
        <v>578</v>
      </c>
      <c r="Y142" s="29"/>
      <c r="Z142" s="30"/>
      <c r="AA142" s="31"/>
      <c r="AB142" s="30"/>
      <c r="AC142" s="31"/>
      <c r="AD142" s="30"/>
      <c r="AE142" s="27"/>
      <c r="AF142" s="27"/>
      <c r="AG142" s="27">
        <f>27/2</f>
        <v>13.5</v>
      </c>
      <c r="AH142" s="27"/>
      <c r="AI142" s="28"/>
      <c r="AJ142" s="32"/>
      <c r="AK142" s="33">
        <v>473.27</v>
      </c>
      <c r="AL142" s="33">
        <f>27/AK142</f>
        <v>5.704988695670548E-2</v>
      </c>
      <c r="AM142" s="33">
        <f>+AG142/AK142</f>
        <v>2.852494347835274E-2</v>
      </c>
      <c r="AN142" s="33"/>
      <c r="AO142" s="33">
        <v>52569</v>
      </c>
      <c r="AP142" s="34">
        <v>1988.74</v>
      </c>
      <c r="AQ142" s="33" t="s">
        <v>71</v>
      </c>
      <c r="AR142" s="34" t="s">
        <v>704</v>
      </c>
      <c r="AS142" s="35">
        <v>44727</v>
      </c>
      <c r="AT142" s="36"/>
      <c r="AU142" s="134">
        <v>44725</v>
      </c>
      <c r="AV142" s="19"/>
      <c r="AW142" s="19"/>
      <c r="AX142" s="19"/>
      <c r="AY142" s="19"/>
      <c r="AZ142" s="19"/>
      <c r="BA142" s="19"/>
      <c r="BB142" s="19"/>
      <c r="BC142" s="19"/>
      <c r="BD142" s="19"/>
      <c r="BE142" s="19"/>
      <c r="BF142" s="19"/>
      <c r="BG142" s="20"/>
      <c r="BH142" s="20"/>
      <c r="BI142" s="20"/>
      <c r="BJ142" s="20"/>
      <c r="BK142" s="20"/>
      <c r="BL142" s="20"/>
      <c r="BM142" s="20"/>
      <c r="BN142" s="20"/>
      <c r="BO142" s="20"/>
      <c r="BP142" s="20"/>
      <c r="BQ142" s="20"/>
      <c r="BR142" s="20"/>
      <c r="BS142" s="20"/>
      <c r="BT142" s="20"/>
      <c r="BU142" s="20"/>
      <c r="BV142" s="20"/>
      <c r="IP142" s="20"/>
      <c r="IQ142" s="20"/>
      <c r="IR142" s="20"/>
      <c r="IS142" s="20"/>
      <c r="IT142" s="20"/>
      <c r="IU142" s="20"/>
      <c r="IV142" s="20"/>
    </row>
    <row r="143" spans="1:256" s="21" customFormat="1" ht="76.5">
      <c r="A143" s="135"/>
      <c r="B143" s="24">
        <v>132</v>
      </c>
      <c r="C143" s="24" t="s">
        <v>705</v>
      </c>
      <c r="D143" s="25">
        <v>44712</v>
      </c>
      <c r="E143" s="26">
        <v>20708</v>
      </c>
      <c r="F143" s="26">
        <v>1438</v>
      </c>
      <c r="G143" s="26">
        <v>4672</v>
      </c>
      <c r="H143" s="27"/>
      <c r="I143" s="27"/>
      <c r="J143" s="27">
        <v>104</v>
      </c>
      <c r="K143" s="27">
        <v>8</v>
      </c>
      <c r="L143" s="27" t="s">
        <v>31</v>
      </c>
      <c r="M143" s="27" t="s">
        <v>706</v>
      </c>
      <c r="N143" s="27" t="s">
        <v>707</v>
      </c>
      <c r="O143" s="27"/>
      <c r="P143" s="27" t="s">
        <v>708</v>
      </c>
      <c r="Q143" s="27"/>
      <c r="R143" s="27"/>
      <c r="S143" s="27"/>
      <c r="T143" s="27">
        <v>1</v>
      </c>
      <c r="U143" s="28"/>
      <c r="V143" s="27"/>
      <c r="W143" s="27"/>
      <c r="X143" s="27" t="s">
        <v>65</v>
      </c>
      <c r="Y143" s="29">
        <v>2</v>
      </c>
      <c r="Z143" s="30"/>
      <c r="AA143" s="31">
        <f>+Y143+1+1</f>
        <v>4</v>
      </c>
      <c r="AB143" s="30"/>
      <c r="AC143" s="31">
        <f>+Y143*2</f>
        <v>4</v>
      </c>
      <c r="AD143" s="30"/>
      <c r="AE143" s="27"/>
      <c r="AF143" s="27"/>
      <c r="AG143" s="27">
        <f>30.78+17.82/2+21.89+27.03/2+115.35</f>
        <v>190.44499999999999</v>
      </c>
      <c r="AH143" s="27"/>
      <c r="AI143" s="28"/>
      <c r="AJ143" s="32"/>
      <c r="AK143" s="33">
        <v>674.05</v>
      </c>
      <c r="AL143" s="33">
        <f>+(27.03+115.35+17.82+21.89)/AK143</f>
        <v>0.27014316445367553</v>
      </c>
      <c r="AM143" s="33">
        <f>+AG143/AK143</f>
        <v>0.28253838735998815</v>
      </c>
      <c r="AN143" s="33"/>
      <c r="AO143" s="33">
        <f>+(5*24483+19581*13+6*14688+9793*1)/25*AG143</f>
        <v>3617609.4242000002</v>
      </c>
      <c r="AP143" s="34">
        <v>53098.17</v>
      </c>
      <c r="AQ143" s="33" t="s">
        <v>71</v>
      </c>
      <c r="AR143" s="34" t="s">
        <v>709</v>
      </c>
      <c r="AS143" s="35">
        <v>44728</v>
      </c>
      <c r="AT143" s="36"/>
      <c r="AU143" s="134">
        <v>44726</v>
      </c>
      <c r="AV143" s="19"/>
      <c r="AW143" s="19"/>
      <c r="AX143" s="19"/>
      <c r="AY143" s="19"/>
      <c r="AZ143" s="19"/>
      <c r="BA143" s="19"/>
      <c r="BB143" s="19"/>
      <c r="BC143" s="19"/>
      <c r="BD143" s="19"/>
      <c r="BE143" s="19"/>
      <c r="BF143" s="19"/>
      <c r="BG143" s="20"/>
      <c r="BH143" s="20"/>
      <c r="BI143" s="20"/>
      <c r="BJ143" s="20"/>
      <c r="BK143" s="20"/>
      <c r="BL143" s="20"/>
      <c r="BM143" s="20"/>
      <c r="BN143" s="20"/>
      <c r="BO143" s="20"/>
      <c r="BP143" s="20"/>
      <c r="BQ143" s="20"/>
      <c r="BR143" s="20"/>
      <c r="BS143" s="20"/>
      <c r="BT143" s="20"/>
      <c r="BU143" s="20"/>
      <c r="BV143" s="20"/>
      <c r="IP143" s="20"/>
      <c r="IQ143" s="20"/>
      <c r="IR143" s="20"/>
      <c r="IS143" s="20"/>
      <c r="IT143" s="20"/>
      <c r="IU143" s="20"/>
      <c r="IV143" s="20"/>
    </row>
    <row r="144" spans="1:256" s="21" customFormat="1" ht="89.25">
      <c r="A144" s="135"/>
      <c r="B144" s="24">
        <v>133</v>
      </c>
      <c r="C144" s="24">
        <v>540242</v>
      </c>
      <c r="D144" s="25">
        <v>44615</v>
      </c>
      <c r="E144" s="26">
        <v>52592</v>
      </c>
      <c r="F144" s="26">
        <v>162231</v>
      </c>
      <c r="G144" s="26">
        <v>21257</v>
      </c>
      <c r="H144" s="27">
        <v>41</v>
      </c>
      <c r="I144" s="27"/>
      <c r="J144" s="27">
        <v>366</v>
      </c>
      <c r="K144" s="27">
        <v>2</v>
      </c>
      <c r="L144" s="27" t="s">
        <v>46</v>
      </c>
      <c r="M144" s="27" t="s">
        <v>710</v>
      </c>
      <c r="N144" s="27" t="s">
        <v>711</v>
      </c>
      <c r="O144" s="27"/>
      <c r="P144" s="27" t="s">
        <v>285</v>
      </c>
      <c r="Q144" s="27" t="s">
        <v>285</v>
      </c>
      <c r="R144" s="27" t="s">
        <v>285</v>
      </c>
      <c r="S144" s="27" t="s">
        <v>138</v>
      </c>
      <c r="T144" s="27"/>
      <c r="U144" s="28">
        <v>1</v>
      </c>
      <c r="V144" s="27"/>
      <c r="W144" s="27"/>
      <c r="X144" s="27" t="s">
        <v>65</v>
      </c>
      <c r="Y144" s="29"/>
      <c r="Z144" s="30">
        <v>5</v>
      </c>
      <c r="AA144" s="31"/>
      <c r="AB144" s="30">
        <f>+Z144+1</f>
        <v>6</v>
      </c>
      <c r="AC144" s="31"/>
      <c r="AD144" s="30">
        <f>+Z144*2</f>
        <v>10</v>
      </c>
      <c r="AE144" s="27">
        <f>123.8+4.85</f>
        <v>128.65</v>
      </c>
      <c r="AF144" s="27"/>
      <c r="AG144" s="27"/>
      <c r="AH144" s="27"/>
      <c r="AI144" s="28">
        <v>71.2</v>
      </c>
      <c r="AJ144" s="32"/>
      <c r="AK144" s="33">
        <v>680.78</v>
      </c>
      <c r="AL144" s="33">
        <f>+(123.8+4.85+4.85)/AK144</f>
        <v>0.19609859279062253</v>
      </c>
      <c r="AM144" s="33">
        <f>+(AE144+AI144)/AK144</f>
        <v>0.29356032785922037</v>
      </c>
      <c r="AN144" s="33">
        <f>+(2+18+8)/(1+6+2)</f>
        <v>3.1111111111111112</v>
      </c>
      <c r="AO144" s="33">
        <f>+(2*24483+19581*5+14688*8+9793*4)/23*AI144</f>
        <v>939675.93043478276</v>
      </c>
      <c r="AP144" s="34">
        <v>44938.9</v>
      </c>
      <c r="AQ144" s="33" t="s">
        <v>71</v>
      </c>
      <c r="AR144" s="34" t="s">
        <v>712</v>
      </c>
      <c r="AS144" s="35">
        <v>44728</v>
      </c>
      <c r="AT144" s="36"/>
      <c r="AU144" s="134" t="s">
        <v>713</v>
      </c>
      <c r="AV144" s="19"/>
      <c r="AW144" s="19"/>
      <c r="AX144" s="19"/>
      <c r="AY144" s="19"/>
      <c r="AZ144" s="19"/>
      <c r="BA144" s="19"/>
      <c r="BB144" s="19"/>
      <c r="BC144" s="19"/>
      <c r="BD144" s="19"/>
      <c r="BE144" s="19"/>
      <c r="BF144" s="19"/>
      <c r="BG144" s="20"/>
      <c r="BH144" s="20"/>
      <c r="BI144" s="20"/>
      <c r="BJ144" s="20"/>
      <c r="BK144" s="20"/>
      <c r="BL144" s="20"/>
      <c r="BM144" s="20"/>
      <c r="BN144" s="20"/>
      <c r="BO144" s="20"/>
      <c r="BP144" s="20"/>
      <c r="BQ144" s="20"/>
      <c r="BR144" s="20"/>
      <c r="BS144" s="20"/>
      <c r="BT144" s="20"/>
      <c r="BU144" s="20"/>
      <c r="BV144" s="20"/>
      <c r="IP144" s="20"/>
      <c r="IQ144" s="20"/>
      <c r="IR144" s="20"/>
      <c r="IS144" s="20"/>
      <c r="IT144" s="20"/>
      <c r="IU144" s="20"/>
      <c r="IV144" s="20"/>
    </row>
    <row r="145" spans="1:256 16384:16384" s="21" customFormat="1" ht="114.75">
      <c r="A145" s="135"/>
      <c r="B145" s="24">
        <v>135</v>
      </c>
      <c r="C145" s="24" t="s">
        <v>714</v>
      </c>
      <c r="D145" s="25">
        <v>44558</v>
      </c>
      <c r="E145" s="26">
        <v>43416</v>
      </c>
      <c r="F145" s="26">
        <v>141251</v>
      </c>
      <c r="G145" s="26">
        <v>31990</v>
      </c>
      <c r="H145" s="27">
        <v>354</v>
      </c>
      <c r="I145" s="27"/>
      <c r="J145" s="27"/>
      <c r="K145" s="27">
        <v>52</v>
      </c>
      <c r="L145" s="27" t="s">
        <v>495</v>
      </c>
      <c r="M145" s="27" t="s">
        <v>715</v>
      </c>
      <c r="N145" s="27" t="s">
        <v>716</v>
      </c>
      <c r="O145" s="27"/>
      <c r="P145" s="27" t="s">
        <v>498</v>
      </c>
      <c r="Q145" s="27"/>
      <c r="R145" s="27"/>
      <c r="S145" s="27"/>
      <c r="T145" s="27">
        <v>5</v>
      </c>
      <c r="U145" s="28"/>
      <c r="V145" s="27"/>
      <c r="W145" s="27"/>
      <c r="X145" s="27" t="s">
        <v>77</v>
      </c>
      <c r="Y145" s="29"/>
      <c r="Z145" s="30"/>
      <c r="AA145" s="31"/>
      <c r="AB145" s="30"/>
      <c r="AC145" s="31"/>
      <c r="AD145" s="30"/>
      <c r="AE145" s="27"/>
      <c r="AF145" s="27"/>
      <c r="AG145" s="27">
        <f>77.07+63.53/2+40.03+4.4/2+38.8+39.58/2+41.89+27.57/2+27.8+10.5</f>
        <v>303.63000000000005</v>
      </c>
      <c r="AH145" s="27"/>
      <c r="AI145" s="28"/>
      <c r="AJ145" s="32"/>
      <c r="AK145" s="33">
        <v>2186</v>
      </c>
      <c r="AL145" s="33">
        <v>0.16</v>
      </c>
      <c r="AM145" s="33">
        <f>+AG145/AK145</f>
        <v>0.13889752973467523</v>
      </c>
      <c r="AN145" s="33">
        <f>+(1+18+4)/(1+6+1)</f>
        <v>2.875</v>
      </c>
      <c r="AO145" s="33">
        <f>1008000+139650+(6*24483+19581*8+14688*7+2*9793)/23*AG145</f>
        <v>6770719.184347827</v>
      </c>
      <c r="AP145" s="34">
        <v>27750.54</v>
      </c>
      <c r="AQ145" s="33" t="s">
        <v>71</v>
      </c>
      <c r="AR145" s="34" t="s">
        <v>717</v>
      </c>
      <c r="AS145" s="35">
        <v>44733</v>
      </c>
      <c r="AT145" s="36"/>
      <c r="AU145" s="34"/>
      <c r="AV145" s="19"/>
      <c r="AW145" s="19"/>
      <c r="AX145" s="19"/>
      <c r="AY145" s="19"/>
      <c r="AZ145" s="19"/>
      <c r="BA145" s="19"/>
      <c r="BB145" s="19"/>
      <c r="BC145" s="19"/>
      <c r="BD145" s="19"/>
      <c r="BE145" s="19"/>
      <c r="BF145" s="19"/>
      <c r="BG145" s="20"/>
      <c r="BH145" s="20"/>
      <c r="BI145" s="20"/>
      <c r="BJ145" s="20"/>
      <c r="BK145" s="20"/>
      <c r="BL145" s="20"/>
      <c r="BM145" s="20"/>
      <c r="BN145" s="20"/>
      <c r="BO145" s="20"/>
      <c r="BP145" s="20"/>
      <c r="BQ145" s="20"/>
      <c r="BR145" s="20"/>
      <c r="BS145" s="20"/>
      <c r="BT145" s="20"/>
      <c r="BU145" s="20"/>
      <c r="BV145" s="20"/>
      <c r="IP145" s="20"/>
      <c r="IQ145" s="20"/>
      <c r="IR145" s="20"/>
      <c r="IS145" s="20"/>
      <c r="IT145" s="20"/>
      <c r="IU145" s="20"/>
      <c r="IV145" s="20"/>
    </row>
    <row r="146" spans="1:256 16384:16384" s="21" customFormat="1" ht="51">
      <c r="A146" s="135"/>
      <c r="B146" s="24">
        <v>134</v>
      </c>
      <c r="C146" s="24">
        <v>542807</v>
      </c>
      <c r="D146" s="25">
        <v>44711</v>
      </c>
      <c r="E146" s="26">
        <v>35696</v>
      </c>
      <c r="F146" s="26">
        <v>138497</v>
      </c>
      <c r="G146" s="26">
        <v>31606</v>
      </c>
      <c r="H146" s="27">
        <v>3</v>
      </c>
      <c r="I146" s="27"/>
      <c r="J146" s="27">
        <v>4</v>
      </c>
      <c r="K146" s="27">
        <v>4</v>
      </c>
      <c r="L146" s="27" t="s">
        <v>328</v>
      </c>
      <c r="M146" s="27" t="s">
        <v>718</v>
      </c>
      <c r="N146" s="27" t="s">
        <v>719</v>
      </c>
      <c r="O146" s="27"/>
      <c r="P146" s="27" t="s">
        <v>261</v>
      </c>
      <c r="Q146" s="27" t="s">
        <v>261</v>
      </c>
      <c r="R146" s="27" t="s">
        <v>261</v>
      </c>
      <c r="S146" s="27" t="s">
        <v>64</v>
      </c>
      <c r="T146" s="27"/>
      <c r="U146" s="28">
        <v>1</v>
      </c>
      <c r="V146" s="27"/>
      <c r="W146" s="27"/>
      <c r="X146" s="27" t="s">
        <v>65</v>
      </c>
      <c r="Y146" s="29"/>
      <c r="Z146" s="30">
        <v>3</v>
      </c>
      <c r="AA146" s="31"/>
      <c r="AB146" s="30">
        <f>+Z146+1</f>
        <v>4</v>
      </c>
      <c r="AC146" s="31"/>
      <c r="AD146" s="30">
        <f>+Z146*2</f>
        <v>6</v>
      </c>
      <c r="AE146" s="27"/>
      <c r="AF146" s="27"/>
      <c r="AG146" s="27"/>
      <c r="AH146" s="27"/>
      <c r="AI146" s="28">
        <f>144.56+67.39/2</f>
        <v>178.255</v>
      </c>
      <c r="AJ146" s="32"/>
      <c r="AK146" s="33">
        <v>800</v>
      </c>
      <c r="AL146" s="33">
        <f>+(144.56+67.39)/AK146</f>
        <v>0.26493749999999999</v>
      </c>
      <c r="AM146" s="33">
        <f>+AI146/AK146</f>
        <v>0.22281874999999998</v>
      </c>
      <c r="AN146" s="33"/>
      <c r="AO146" s="33">
        <f>+(5*24483+11*19581+14688*7)/23*AI146+(433743.59)</f>
        <v>3848659.8773913039</v>
      </c>
      <c r="AP146" s="34">
        <v>35203.089999999997</v>
      </c>
      <c r="AQ146" s="33" t="s">
        <v>71</v>
      </c>
      <c r="AR146" s="34" t="s">
        <v>720</v>
      </c>
      <c r="AS146" s="35">
        <v>44733</v>
      </c>
      <c r="AT146" s="36"/>
      <c r="AU146" s="134"/>
      <c r="AV146" s="19"/>
      <c r="AW146" s="19"/>
      <c r="AX146" s="19"/>
      <c r="AY146" s="19"/>
      <c r="AZ146" s="19"/>
      <c r="BA146" s="19"/>
      <c r="BB146" s="19"/>
      <c r="BC146" s="19"/>
      <c r="BD146" s="19"/>
      <c r="BE146" s="19"/>
      <c r="BF146" s="19"/>
      <c r="BG146" s="20"/>
      <c r="BH146" s="20"/>
      <c r="BI146" s="20"/>
      <c r="BJ146" s="20"/>
      <c r="BK146" s="20"/>
      <c r="BL146" s="20"/>
      <c r="BM146" s="20"/>
      <c r="BN146" s="20"/>
      <c r="BO146" s="20"/>
      <c r="BP146" s="20"/>
      <c r="BQ146" s="20"/>
      <c r="BR146" s="20"/>
      <c r="BS146" s="20"/>
      <c r="BT146" s="20"/>
      <c r="BU146" s="20"/>
      <c r="BV146" s="20"/>
      <c r="IP146" s="20"/>
      <c r="IQ146" s="20"/>
      <c r="IR146" s="20"/>
      <c r="IS146" s="20"/>
      <c r="IT146" s="20"/>
      <c r="IU146" s="20"/>
      <c r="IV146" s="20"/>
    </row>
    <row r="147" spans="1:256 16384:16384" s="21" customFormat="1" ht="63.75">
      <c r="A147" s="135"/>
      <c r="B147" s="24">
        <v>136</v>
      </c>
      <c r="C147" s="24">
        <v>534968</v>
      </c>
      <c r="D147" s="25">
        <v>44481</v>
      </c>
      <c r="E147" s="26">
        <v>56125</v>
      </c>
      <c r="F147" s="26">
        <v>537</v>
      </c>
      <c r="G147" s="26">
        <v>1376</v>
      </c>
      <c r="H147" s="27"/>
      <c r="I147" s="27"/>
      <c r="J147" s="27">
        <v>159</v>
      </c>
      <c r="K147" s="27">
        <v>4</v>
      </c>
      <c r="L147" s="27" t="s">
        <v>31</v>
      </c>
      <c r="M147" s="27" t="s">
        <v>721</v>
      </c>
      <c r="N147" s="27" t="s">
        <v>722</v>
      </c>
      <c r="O147" s="27"/>
      <c r="P147" s="27" t="s">
        <v>456</v>
      </c>
      <c r="Q147" s="27" t="s">
        <v>456</v>
      </c>
      <c r="R147" s="27" t="s">
        <v>456</v>
      </c>
      <c r="S147" s="27" t="s">
        <v>457</v>
      </c>
      <c r="T147" s="27">
        <f>1+2</f>
        <v>3</v>
      </c>
      <c r="U147" s="28"/>
      <c r="V147" s="27">
        <v>1</v>
      </c>
      <c r="W147" s="27"/>
      <c r="X147" s="27" t="s">
        <v>151</v>
      </c>
      <c r="Y147" s="29">
        <f>1+2</f>
        <v>3</v>
      </c>
      <c r="Z147" s="30"/>
      <c r="AA147" s="31">
        <f>+Y147+1+1</f>
        <v>5</v>
      </c>
      <c r="AB147" s="30"/>
      <c r="AC147" s="31">
        <f>+Y147*2</f>
        <v>6</v>
      </c>
      <c r="AD147" s="30"/>
      <c r="AE147" s="27">
        <f>100.1+137.24+51.15/2</f>
        <v>262.91500000000002</v>
      </c>
      <c r="AF147" s="27"/>
      <c r="AG147" s="27"/>
      <c r="AH147" s="27"/>
      <c r="AI147" s="28">
        <f>13.6/2+29.95</f>
        <v>36.75</v>
      </c>
      <c r="AJ147" s="32"/>
      <c r="AK147" s="33">
        <v>334.32</v>
      </c>
      <c r="AL147" s="27">
        <f>+(137.24+51.15+13.6)/AK147</f>
        <v>0.60418162239770279</v>
      </c>
      <c r="AM147" s="33">
        <f>+(AE147+AI147)/AK147</f>
        <v>0.8963418281885619</v>
      </c>
      <c r="AN147" s="33"/>
      <c r="AO147" s="33">
        <f>1546380+100000</f>
        <v>1646380</v>
      </c>
      <c r="AP147" s="34">
        <v>12610.75</v>
      </c>
      <c r="AQ147" s="33" t="s">
        <v>323</v>
      </c>
      <c r="AR147" s="34" t="s">
        <v>723</v>
      </c>
      <c r="AS147" s="35">
        <v>44734</v>
      </c>
      <c r="AT147" s="36"/>
      <c r="AU147" s="34" t="s">
        <v>724</v>
      </c>
      <c r="AV147" s="19"/>
      <c r="AW147" s="19"/>
      <c r="AX147" s="19"/>
      <c r="AY147" s="19"/>
      <c r="AZ147" s="19"/>
      <c r="BA147" s="19"/>
      <c r="BB147" s="19"/>
      <c r="BC147" s="19"/>
      <c r="BD147" s="19"/>
      <c r="BE147" s="19"/>
      <c r="BF147" s="19"/>
      <c r="BG147" s="20"/>
      <c r="BH147" s="20"/>
      <c r="BI147" s="20"/>
      <c r="BJ147" s="20"/>
      <c r="BK147" s="20"/>
      <c r="BL147" s="20"/>
      <c r="BM147" s="20"/>
      <c r="BN147" s="20"/>
      <c r="BO147" s="20"/>
      <c r="BP147" s="20"/>
      <c r="BQ147" s="20"/>
      <c r="BR147" s="20"/>
      <c r="BS147" s="20"/>
      <c r="BT147" s="20"/>
      <c r="BU147" s="20"/>
      <c r="BV147" s="20"/>
      <c r="IP147" s="20"/>
      <c r="IQ147" s="20"/>
      <c r="IR147" s="20"/>
      <c r="IS147" s="20"/>
      <c r="IT147" s="20"/>
      <c r="IU147" s="20"/>
      <c r="IV147" s="20"/>
    </row>
    <row r="148" spans="1:256 16384:16384" s="21" customFormat="1" ht="76.5">
      <c r="A148" s="135"/>
      <c r="B148" s="24">
        <v>137</v>
      </c>
      <c r="C148" s="24" t="s">
        <v>725</v>
      </c>
      <c r="D148" s="25">
        <v>44601</v>
      </c>
      <c r="E148" s="26">
        <v>41412</v>
      </c>
      <c r="F148" s="26">
        <v>135389</v>
      </c>
      <c r="G148" s="26">
        <v>7250</v>
      </c>
      <c r="H148" s="27"/>
      <c r="I148" s="27"/>
      <c r="J148" s="27">
        <v>348</v>
      </c>
      <c r="K148" s="27">
        <v>7</v>
      </c>
      <c r="L148" s="27"/>
      <c r="M148" s="27" t="s">
        <v>726</v>
      </c>
      <c r="N148" s="27" t="s">
        <v>727</v>
      </c>
      <c r="O148" s="27"/>
      <c r="P148" s="27" t="s">
        <v>498</v>
      </c>
      <c r="Q148" s="27"/>
      <c r="R148" s="27"/>
      <c r="S148" s="27"/>
      <c r="T148" s="27">
        <v>2</v>
      </c>
      <c r="U148" s="28"/>
      <c r="V148" s="27"/>
      <c r="W148" s="27"/>
      <c r="X148" s="27" t="s">
        <v>77</v>
      </c>
      <c r="Y148" s="29">
        <f>1+2</f>
        <v>3</v>
      </c>
      <c r="Z148" s="30"/>
      <c r="AA148" s="31">
        <f>+Y148+1+1</f>
        <v>5</v>
      </c>
      <c r="AB148" s="30"/>
      <c r="AC148" s="31">
        <f>+Y148*2</f>
        <v>6</v>
      </c>
      <c r="AD148" s="30"/>
      <c r="AE148" s="27"/>
      <c r="AF148" s="27"/>
      <c r="AG148" s="27">
        <f>188.12+25.16+10.5/2</f>
        <v>218.53</v>
      </c>
      <c r="AH148" s="27"/>
      <c r="AI148" s="28"/>
      <c r="AJ148" s="32"/>
      <c r="AK148" s="33">
        <v>404.08</v>
      </c>
      <c r="AL148" s="33">
        <f>+(188.12+10.5)/AK148</f>
        <v>0.49153632943971493</v>
      </c>
      <c r="AM148" s="33">
        <f>+AG148/AK148</f>
        <v>0.54080875074242729</v>
      </c>
      <c r="AN148" s="33">
        <f>+(9+20)/(3+5)</f>
        <v>3.625</v>
      </c>
      <c r="AO148" s="33">
        <f>+(5*24483+19581*10+6*14688+2*9793)/23*AG148</f>
        <v>4046976.0726086958</v>
      </c>
      <c r="AP148" s="34">
        <v>15443.02</v>
      </c>
      <c r="AQ148" s="33" t="s">
        <v>71</v>
      </c>
      <c r="AR148" s="34" t="s">
        <v>728</v>
      </c>
      <c r="AS148" s="35">
        <v>44735</v>
      </c>
      <c r="AT148" s="36"/>
      <c r="AU148" s="134">
        <v>44733</v>
      </c>
      <c r="AV148" s="19"/>
      <c r="AW148" s="19"/>
      <c r="AX148" s="19"/>
      <c r="AY148" s="19"/>
      <c r="AZ148" s="19"/>
      <c r="BA148" s="19"/>
      <c r="BB148" s="19"/>
      <c r="BC148" s="19"/>
      <c r="BD148" s="19"/>
      <c r="BE148" s="19"/>
      <c r="BF148" s="19"/>
      <c r="BG148" s="20"/>
      <c r="BH148" s="20"/>
      <c r="BI148" s="20"/>
      <c r="BJ148" s="20"/>
      <c r="BK148" s="20"/>
      <c r="BL148" s="20"/>
      <c r="BM148" s="20"/>
      <c r="BN148" s="20"/>
      <c r="BO148" s="20"/>
      <c r="BP148" s="20"/>
      <c r="BQ148" s="20"/>
      <c r="BR148" s="20"/>
      <c r="BS148" s="20"/>
      <c r="BT148" s="20"/>
      <c r="BU148" s="20"/>
      <c r="BV148" s="20"/>
      <c r="IP148" s="20"/>
      <c r="IQ148" s="20"/>
      <c r="IR148" s="20"/>
      <c r="IS148" s="20"/>
      <c r="IT148" s="20"/>
      <c r="IU148" s="20"/>
      <c r="IV148" s="20"/>
    </row>
    <row r="149" spans="1:256 16384:16384" s="21" customFormat="1" ht="63.75">
      <c r="A149" s="135"/>
      <c r="B149" s="39">
        <v>138</v>
      </c>
      <c r="C149" s="39" t="s">
        <v>729</v>
      </c>
      <c r="D149" s="25">
        <v>44519</v>
      </c>
      <c r="E149" s="26">
        <v>46084</v>
      </c>
      <c r="F149" s="26">
        <v>149110</v>
      </c>
      <c r="G149" s="26">
        <v>9061</v>
      </c>
      <c r="H149" s="27"/>
      <c r="I149" s="27"/>
      <c r="J149" s="27">
        <v>503</v>
      </c>
      <c r="K149" s="27">
        <v>19</v>
      </c>
      <c r="L149" s="27" t="s">
        <v>38</v>
      </c>
      <c r="M149" s="27" t="s">
        <v>730</v>
      </c>
      <c r="N149" s="27" t="s">
        <v>731</v>
      </c>
      <c r="O149" s="27"/>
      <c r="P149" s="27" t="s">
        <v>732</v>
      </c>
      <c r="Q149" s="27"/>
      <c r="R149" s="27"/>
      <c r="S149" s="27"/>
      <c r="T149" s="27">
        <v>1</v>
      </c>
      <c r="U149" s="28"/>
      <c r="V149" s="27"/>
      <c r="W149" s="27"/>
      <c r="X149" s="27" t="s">
        <v>105</v>
      </c>
      <c r="Y149" s="29"/>
      <c r="Z149" s="30"/>
      <c r="AA149" s="31"/>
      <c r="AB149" s="30"/>
      <c r="AC149" s="31"/>
      <c r="AD149" s="30"/>
      <c r="AE149" s="27"/>
      <c r="AF149" s="27"/>
      <c r="AG149" s="27">
        <f>55.68+55.68+49.78/2</f>
        <v>136.25</v>
      </c>
      <c r="AH149" s="27">
        <f>336-55.68</f>
        <v>280.32</v>
      </c>
      <c r="AI149" s="28"/>
      <c r="AJ149" s="32"/>
      <c r="AK149" s="33">
        <v>336</v>
      </c>
      <c r="AL149" s="33">
        <f>336/AK149</f>
        <v>1</v>
      </c>
      <c r="AM149" s="33">
        <f>+(AG149+AH149)/AK149</f>
        <v>1.2397916666666666</v>
      </c>
      <c r="AN149" s="33"/>
      <c r="AO149" s="33">
        <f>+((2*24483+3*19581+14688*6+11*9793)/22*AG149)+4657878</f>
        <v>6537880.2727272725</v>
      </c>
      <c r="AP149" s="34">
        <v>91660.55</v>
      </c>
      <c r="AQ149" s="33" t="s">
        <v>71</v>
      </c>
      <c r="AR149" s="34" t="s">
        <v>733</v>
      </c>
      <c r="AS149" s="35">
        <v>44736</v>
      </c>
      <c r="AT149" s="36"/>
      <c r="AU149" s="134">
        <v>44729</v>
      </c>
      <c r="AV149" s="19"/>
      <c r="AW149" s="19"/>
      <c r="AX149" s="19"/>
      <c r="AY149" s="19"/>
      <c r="AZ149" s="19"/>
      <c r="BA149" s="19"/>
      <c r="BB149" s="19"/>
      <c r="BC149" s="19"/>
      <c r="BD149" s="19"/>
      <c r="BE149" s="19"/>
      <c r="BF149" s="19"/>
      <c r="BG149" s="20"/>
      <c r="BH149" s="20"/>
      <c r="BI149" s="20"/>
      <c r="BJ149" s="20"/>
      <c r="BK149" s="20"/>
      <c r="BL149" s="20"/>
      <c r="BM149" s="20"/>
      <c r="BN149" s="20"/>
      <c r="BO149" s="20"/>
      <c r="BP149" s="20"/>
      <c r="BQ149" s="20"/>
      <c r="BR149" s="20"/>
      <c r="BS149" s="20"/>
      <c r="BT149" s="20"/>
      <c r="BU149" s="20"/>
      <c r="BV149" s="20"/>
      <c r="IP149" s="20"/>
      <c r="IQ149" s="20"/>
      <c r="IR149" s="20"/>
      <c r="IS149" s="20"/>
      <c r="IT149" s="20"/>
      <c r="IU149" s="20"/>
      <c r="IV149" s="20"/>
    </row>
    <row r="150" spans="1:256 16384:16384" s="21" customFormat="1" ht="51">
      <c r="A150" s="135"/>
      <c r="B150" s="24">
        <v>141</v>
      </c>
      <c r="C150" s="24">
        <v>541996</v>
      </c>
      <c r="D150" s="25">
        <v>44680</v>
      </c>
      <c r="E150" s="26">
        <v>51872</v>
      </c>
      <c r="F150" s="26">
        <v>1615</v>
      </c>
      <c r="G150" s="26">
        <v>1049</v>
      </c>
      <c r="H150" s="27"/>
      <c r="I150" s="27"/>
      <c r="J150" s="27">
        <v>24</v>
      </c>
      <c r="K150" s="27">
        <v>17</v>
      </c>
      <c r="L150" s="27" t="s">
        <v>38</v>
      </c>
      <c r="M150" s="27" t="s">
        <v>734</v>
      </c>
      <c r="N150" s="27" t="s">
        <v>735</v>
      </c>
      <c r="O150" s="27"/>
      <c r="P150" s="27" t="s">
        <v>352</v>
      </c>
      <c r="Q150" s="27" t="s">
        <v>352</v>
      </c>
      <c r="R150" s="27" t="s">
        <v>352</v>
      </c>
      <c r="S150" s="27" t="s">
        <v>736</v>
      </c>
      <c r="T150" s="27"/>
      <c r="U150" s="28">
        <v>1</v>
      </c>
      <c r="V150" s="27"/>
      <c r="W150" s="27"/>
      <c r="X150" s="27" t="s">
        <v>737</v>
      </c>
      <c r="Y150" s="29"/>
      <c r="Z150" s="30"/>
      <c r="AA150" s="31"/>
      <c r="AB150" s="30"/>
      <c r="AC150" s="31"/>
      <c r="AD150" s="30"/>
      <c r="AE150" s="27"/>
      <c r="AF150" s="27"/>
      <c r="AG150" s="27"/>
      <c r="AH150" s="27"/>
      <c r="AI150" s="28"/>
      <c r="AJ150" s="32">
        <v>493.24</v>
      </c>
      <c r="AK150" s="33">
        <v>825.29</v>
      </c>
      <c r="AL150" s="33">
        <f>+AJ150/AK150</f>
        <v>0.59765658132292898</v>
      </c>
      <c r="AM150" s="33">
        <f>+AJ150/AK150</f>
        <v>0.59765658132292898</v>
      </c>
      <c r="AN150" s="33"/>
      <c r="AO150" s="33">
        <v>5900000</v>
      </c>
      <c r="AP150" s="34">
        <v>21401.5</v>
      </c>
      <c r="AQ150" s="33" t="s">
        <v>71</v>
      </c>
      <c r="AR150" s="34" t="s">
        <v>738</v>
      </c>
      <c r="AS150" s="35">
        <v>44746</v>
      </c>
      <c r="AT150" s="36"/>
      <c r="AU150" s="134"/>
      <c r="AV150" s="19"/>
      <c r="AW150" s="19"/>
      <c r="AX150" s="19"/>
      <c r="AY150" s="19"/>
      <c r="AZ150" s="19"/>
      <c r="BA150" s="19"/>
      <c r="BB150" s="19"/>
      <c r="BC150" s="19"/>
      <c r="BD150" s="19"/>
      <c r="BE150" s="19"/>
      <c r="BF150" s="19"/>
      <c r="BG150" s="20"/>
      <c r="BH150" s="20"/>
      <c r="BI150" s="20"/>
      <c r="BJ150" s="20"/>
      <c r="BK150" s="20"/>
      <c r="BL150" s="20"/>
      <c r="BM150" s="20"/>
      <c r="BN150" s="20"/>
      <c r="BO150" s="20"/>
      <c r="BP150" s="20"/>
      <c r="BQ150" s="20"/>
      <c r="BR150" s="20"/>
      <c r="BS150" s="20"/>
      <c r="BT150" s="20"/>
      <c r="BU150" s="20"/>
      <c r="BV150" s="20"/>
      <c r="IP150" s="20"/>
      <c r="IQ150" s="20"/>
      <c r="IR150" s="20"/>
      <c r="IS150" s="20"/>
      <c r="IT150" s="20"/>
      <c r="IU150" s="20"/>
      <c r="IV150" s="20"/>
    </row>
    <row r="151" spans="1:256 16384:16384" s="21" customFormat="1" ht="63.75">
      <c r="A151" s="135"/>
      <c r="B151" s="24">
        <v>144</v>
      </c>
      <c r="C151" s="24">
        <v>543420</v>
      </c>
      <c r="D151" s="25">
        <v>44736</v>
      </c>
      <c r="E151" s="26">
        <v>33370</v>
      </c>
      <c r="F151" s="26">
        <v>2215</v>
      </c>
      <c r="G151" s="26">
        <v>2231</v>
      </c>
      <c r="H151" s="27"/>
      <c r="I151" s="27"/>
      <c r="J151" s="27">
        <v>104</v>
      </c>
      <c r="K151" s="27">
        <v>3</v>
      </c>
      <c r="L151" s="27" t="s">
        <v>31</v>
      </c>
      <c r="M151" s="27" t="s">
        <v>739</v>
      </c>
      <c r="N151" s="27" t="s">
        <v>740</v>
      </c>
      <c r="O151" s="27"/>
      <c r="P151" s="27" t="s">
        <v>741</v>
      </c>
      <c r="Q151" s="27"/>
      <c r="R151" s="27"/>
      <c r="S151" s="27"/>
      <c r="T151" s="27">
        <v>1</v>
      </c>
      <c r="U151" s="28"/>
      <c r="V151" s="27"/>
      <c r="W151" s="27"/>
      <c r="X151" s="27" t="s">
        <v>65</v>
      </c>
      <c r="Y151" s="29">
        <f>2+1</f>
        <v>3</v>
      </c>
      <c r="Z151" s="30"/>
      <c r="AA151" s="31">
        <f>+Y151+1</f>
        <v>4</v>
      </c>
      <c r="AB151" s="30"/>
      <c r="AC151" s="31">
        <f>+Y151*2</f>
        <v>6</v>
      </c>
      <c r="AD151" s="30"/>
      <c r="AE151" s="27">
        <f>117.76+5.86/2</f>
        <v>120.69000000000001</v>
      </c>
      <c r="AF151" s="27"/>
      <c r="AG151" s="27">
        <v>43.7</v>
      </c>
      <c r="AH151" s="27"/>
      <c r="AI151" s="28"/>
      <c r="AJ151" s="32"/>
      <c r="AK151" s="33">
        <v>233.38</v>
      </c>
      <c r="AL151" s="33">
        <f>+(117.76+5.86)/AK151</f>
        <v>0.52969406118776252</v>
      </c>
      <c r="AM151" s="33">
        <f>+(AE151+AG151)/AK151</f>
        <v>0.7043876938897935</v>
      </c>
      <c r="AN151" s="33"/>
      <c r="AO151" s="33">
        <f>+(24483+4*19581+14688*11+4*9793)/20*AG151</f>
        <v>663250.19500000007</v>
      </c>
      <c r="AP151" s="34">
        <v>10523.89</v>
      </c>
      <c r="AQ151" s="33" t="s">
        <v>71</v>
      </c>
      <c r="AR151" s="34" t="s">
        <v>742</v>
      </c>
      <c r="AS151" s="35">
        <v>44746</v>
      </c>
      <c r="AT151" s="36"/>
      <c r="AU151" s="134">
        <v>44736</v>
      </c>
      <c r="AV151" s="19"/>
      <c r="AW151" s="19"/>
      <c r="AX151" s="19"/>
      <c r="AY151" s="19"/>
      <c r="AZ151" s="19"/>
      <c r="BA151" s="19"/>
      <c r="BB151" s="19"/>
      <c r="BC151" s="19"/>
      <c r="BD151" s="19"/>
      <c r="BE151" s="19"/>
      <c r="BF151" s="19"/>
      <c r="BG151" s="20"/>
      <c r="BH151" s="20"/>
      <c r="BI151" s="20"/>
      <c r="BJ151" s="20"/>
      <c r="BK151" s="20"/>
      <c r="BL151" s="20"/>
      <c r="BM151" s="20"/>
      <c r="BN151" s="20"/>
      <c r="BO151" s="20"/>
      <c r="BP151" s="20"/>
      <c r="BQ151" s="20"/>
      <c r="BR151" s="20"/>
      <c r="BS151" s="20"/>
      <c r="BT151" s="20"/>
      <c r="BU151" s="20"/>
      <c r="BV151" s="20"/>
      <c r="IP151" s="20"/>
      <c r="IQ151" s="20"/>
      <c r="IR151" s="20"/>
      <c r="IS151" s="20"/>
      <c r="IT151" s="20"/>
      <c r="IU151" s="20"/>
      <c r="IV151" s="20"/>
    </row>
    <row r="152" spans="1:256 16384:16384" s="21" customFormat="1" ht="63.75">
      <c r="A152" s="135"/>
      <c r="B152" s="64">
        <v>148</v>
      </c>
      <c r="C152" s="64" t="s">
        <v>743</v>
      </c>
      <c r="D152" s="66">
        <v>44696</v>
      </c>
      <c r="E152" s="26">
        <v>59732</v>
      </c>
      <c r="F152" s="26">
        <v>138050</v>
      </c>
      <c r="G152" s="26">
        <v>31714</v>
      </c>
      <c r="H152" s="27">
        <v>3</v>
      </c>
      <c r="I152" s="27"/>
      <c r="J152" s="27">
        <v>1</v>
      </c>
      <c r="K152" s="27">
        <v>1</v>
      </c>
      <c r="L152" s="27" t="s">
        <v>545</v>
      </c>
      <c r="M152" s="27" t="s">
        <v>270</v>
      </c>
      <c r="N152" s="27" t="s">
        <v>744</v>
      </c>
      <c r="O152" s="27"/>
      <c r="P152" s="27" t="s">
        <v>744</v>
      </c>
      <c r="Q152" s="27" t="s">
        <v>744</v>
      </c>
      <c r="R152" s="27" t="s">
        <v>744</v>
      </c>
      <c r="S152" s="27" t="s">
        <v>745</v>
      </c>
      <c r="T152" s="27"/>
      <c r="U152" s="28">
        <v>1</v>
      </c>
      <c r="V152" s="27"/>
      <c r="W152" s="27"/>
      <c r="X152" s="27" t="s">
        <v>65</v>
      </c>
      <c r="Y152" s="29"/>
      <c r="Z152" s="30">
        <v>3</v>
      </c>
      <c r="AA152" s="31"/>
      <c r="AB152" s="30">
        <f>+Z152+2</f>
        <v>5</v>
      </c>
      <c r="AC152" s="31"/>
      <c r="AD152" s="30">
        <f>+Z152*2</f>
        <v>6</v>
      </c>
      <c r="AE152" s="27"/>
      <c r="AF152" s="27"/>
      <c r="AG152" s="27"/>
      <c r="AH152" s="27"/>
      <c r="AI152" s="28">
        <f>169.12+24.5/2</f>
        <v>181.37</v>
      </c>
      <c r="AJ152" s="32"/>
      <c r="AK152" s="33">
        <v>937.22</v>
      </c>
      <c r="AL152" s="33">
        <f>+(169.12+24.5)/AK152</f>
        <v>0.20658970145750197</v>
      </c>
      <c r="AM152" s="33">
        <f>+AI152/AK152</f>
        <v>0.19351913104713941</v>
      </c>
      <c r="AN152" s="33"/>
      <c r="AO152" s="33">
        <v>7347625.1600000001</v>
      </c>
      <c r="AP152" s="34">
        <v>26592.16</v>
      </c>
      <c r="AQ152" s="33" t="s">
        <v>71</v>
      </c>
      <c r="AR152" s="34" t="s">
        <v>746</v>
      </c>
      <c r="AS152" s="35">
        <v>44748</v>
      </c>
      <c r="AT152" s="36"/>
      <c r="AU152" s="43" t="s">
        <v>747</v>
      </c>
      <c r="AV152" s="19"/>
      <c r="AW152" s="19"/>
      <c r="AX152" s="19"/>
      <c r="AY152" s="19"/>
      <c r="AZ152" s="19"/>
      <c r="BA152" s="19"/>
      <c r="BB152" s="19"/>
      <c r="BC152" s="19"/>
      <c r="BD152" s="19"/>
      <c r="BE152" s="19"/>
      <c r="BF152" s="19"/>
      <c r="BG152" s="20"/>
      <c r="BH152" s="20"/>
      <c r="BI152" s="20"/>
      <c r="BJ152" s="20"/>
      <c r="BK152" s="20"/>
      <c r="BL152" s="20"/>
      <c r="BM152" s="20"/>
      <c r="BN152" s="20"/>
      <c r="BO152" s="20"/>
      <c r="BP152" s="20"/>
      <c r="BQ152" s="20"/>
      <c r="BR152" s="20"/>
      <c r="BS152" s="20"/>
      <c r="BT152" s="20"/>
      <c r="BU152" s="20"/>
      <c r="BV152" s="20"/>
      <c r="IP152" s="20"/>
      <c r="IQ152" s="20"/>
      <c r="IR152" s="20"/>
      <c r="IS152" s="20"/>
      <c r="IT152" s="20"/>
      <c r="IU152" s="20"/>
      <c r="IV152" s="20"/>
      <c r="XFD152" s="27"/>
    </row>
    <row r="153" spans="1:256 16384:16384" s="21" customFormat="1" ht="38.25">
      <c r="A153" s="135"/>
      <c r="B153" s="24">
        <v>139</v>
      </c>
      <c r="C153" s="24" t="s">
        <v>748</v>
      </c>
      <c r="D153" s="25">
        <v>44713</v>
      </c>
      <c r="E153" s="26"/>
      <c r="F153" s="26">
        <v>60520</v>
      </c>
      <c r="G153" s="26">
        <v>32086</v>
      </c>
      <c r="H153" s="27">
        <v>327</v>
      </c>
      <c r="I153" s="27"/>
      <c r="J153" s="27">
        <v>4</v>
      </c>
      <c r="K153" s="27">
        <v>1</v>
      </c>
      <c r="L153" s="27" t="s">
        <v>74</v>
      </c>
      <c r="M153" s="27" t="s">
        <v>749</v>
      </c>
      <c r="N153" s="27" t="s">
        <v>750</v>
      </c>
      <c r="O153" s="27"/>
      <c r="P153" s="27" t="s">
        <v>120</v>
      </c>
      <c r="Q153" s="27"/>
      <c r="R153" s="27"/>
      <c r="S153" s="27"/>
      <c r="T153" s="27"/>
      <c r="U153" s="28">
        <v>1</v>
      </c>
      <c r="V153" s="27"/>
      <c r="W153" s="27"/>
      <c r="X153" s="27" t="s">
        <v>186</v>
      </c>
      <c r="Y153" s="29"/>
      <c r="Z153" s="30"/>
      <c r="AA153" s="31"/>
      <c r="AB153" s="30"/>
      <c r="AC153" s="31"/>
      <c r="AD153" s="30"/>
      <c r="AE153" s="27"/>
      <c r="AF153" s="27"/>
      <c r="AG153" s="27"/>
      <c r="AH153" s="27"/>
      <c r="AI153" s="28"/>
      <c r="AJ153" s="32">
        <v>27</v>
      </c>
      <c r="AK153" s="33">
        <v>374.5</v>
      </c>
      <c r="AL153" s="33">
        <f>+AJ153/AK153</f>
        <v>7.209612817089453E-2</v>
      </c>
      <c r="AM153" s="33">
        <f>+AL153</f>
        <v>7.209612817089453E-2</v>
      </c>
      <c r="AN153" s="33"/>
      <c r="AO153" s="33">
        <f>+AJ153*19581</f>
        <v>528687</v>
      </c>
      <c r="AP153" s="34">
        <v>3275.66</v>
      </c>
      <c r="AQ153" s="33" t="s">
        <v>71</v>
      </c>
      <c r="AR153" s="34" t="s">
        <v>751</v>
      </c>
      <c r="AS153" s="35">
        <v>44746</v>
      </c>
      <c r="AT153" s="36"/>
      <c r="AU153" s="134" t="s">
        <v>752</v>
      </c>
      <c r="AV153" s="19"/>
      <c r="AW153" s="19"/>
      <c r="AX153" s="19"/>
      <c r="AY153" s="19"/>
      <c r="AZ153" s="19"/>
      <c r="BA153" s="19"/>
      <c r="BB153" s="19"/>
      <c r="BC153" s="19"/>
      <c r="BD153" s="19"/>
      <c r="BE153" s="19"/>
      <c r="BF153" s="19"/>
      <c r="BG153" s="20"/>
      <c r="BH153" s="20"/>
      <c r="BI153" s="20"/>
      <c r="BJ153" s="20"/>
      <c r="BK153" s="20"/>
      <c r="BL153" s="20"/>
      <c r="BM153" s="20"/>
      <c r="BN153" s="20"/>
      <c r="BO153" s="20"/>
      <c r="BP153" s="20"/>
      <c r="BQ153" s="20"/>
      <c r="BR153" s="20"/>
      <c r="BS153" s="20"/>
      <c r="BT153" s="20"/>
      <c r="BU153" s="20"/>
      <c r="BV153" s="20"/>
      <c r="IP153" s="20"/>
      <c r="IQ153" s="20"/>
      <c r="IR153" s="20"/>
      <c r="IS153" s="20"/>
      <c r="IT153" s="20"/>
      <c r="IU153" s="20"/>
      <c r="IV153" s="20"/>
    </row>
    <row r="154" spans="1:256 16384:16384" s="21" customFormat="1" ht="76.5">
      <c r="A154" s="135"/>
      <c r="B154" s="24">
        <v>140</v>
      </c>
      <c r="C154" s="24">
        <v>542836</v>
      </c>
      <c r="D154" s="25">
        <v>44712</v>
      </c>
      <c r="E154" s="26">
        <v>-56876</v>
      </c>
      <c r="F154" s="26">
        <v>165500</v>
      </c>
      <c r="G154" s="26">
        <v>33655</v>
      </c>
      <c r="H154" s="27">
        <v>3</v>
      </c>
      <c r="I154" s="27"/>
      <c r="J154" s="27">
        <v>2</v>
      </c>
      <c r="K154" s="27">
        <v>21</v>
      </c>
      <c r="L154" s="27" t="s">
        <v>278</v>
      </c>
      <c r="M154" s="27" t="s">
        <v>270</v>
      </c>
      <c r="N154" s="27" t="s">
        <v>753</v>
      </c>
      <c r="O154" s="27"/>
      <c r="P154" s="27" t="s">
        <v>115</v>
      </c>
      <c r="Q154" s="27" t="s">
        <v>115</v>
      </c>
      <c r="R154" s="27" t="s">
        <v>115</v>
      </c>
      <c r="S154" s="27" t="s">
        <v>100</v>
      </c>
      <c r="T154" s="27"/>
      <c r="U154" s="28">
        <v>1</v>
      </c>
      <c r="V154" s="27"/>
      <c r="W154" s="27"/>
      <c r="X154" s="27" t="s">
        <v>65</v>
      </c>
      <c r="Y154" s="29"/>
      <c r="Z154" s="30">
        <v>3</v>
      </c>
      <c r="AA154" s="31"/>
      <c r="AB154" s="30">
        <f>+Z154+1</f>
        <v>4</v>
      </c>
      <c r="AC154" s="31"/>
      <c r="AD154" s="30">
        <f>+Z154*2</f>
        <v>6</v>
      </c>
      <c r="AE154" s="27"/>
      <c r="AF154" s="27"/>
      <c r="AG154" s="27"/>
      <c r="AH154" s="27"/>
      <c r="AI154" s="28">
        <f>140+70.02/2</f>
        <v>175.01</v>
      </c>
      <c r="AJ154" s="32"/>
      <c r="AK154" s="33">
        <v>845.38</v>
      </c>
      <c r="AL154" s="33">
        <f>+(140+70.02)/AK154</f>
        <v>0.24843265750313467</v>
      </c>
      <c r="AM154" s="33">
        <f>+AI154/AK154</f>
        <v>0.20701932858596134</v>
      </c>
      <c r="AN154" s="33"/>
      <c r="AO154" s="33">
        <f>+(191536.35)+((5*24483+5*19581+14688*6+9793*4)/20*AI154)</f>
        <v>3233385.16</v>
      </c>
      <c r="AP154" s="34">
        <v>21129.919999999998</v>
      </c>
      <c r="AQ154" s="33" t="s">
        <v>71</v>
      </c>
      <c r="AR154" s="34" t="s">
        <v>754</v>
      </c>
      <c r="AS154" s="35">
        <v>44746</v>
      </c>
      <c r="AT154" s="36"/>
      <c r="AU154" s="134" t="s">
        <v>755</v>
      </c>
      <c r="AV154" s="19"/>
      <c r="AW154" s="19"/>
      <c r="AX154" s="19"/>
      <c r="AY154" s="19"/>
      <c r="AZ154" s="19"/>
      <c r="BA154" s="19"/>
      <c r="BB154" s="19"/>
      <c r="BC154" s="19"/>
      <c r="BD154" s="19"/>
      <c r="BE154" s="19"/>
      <c r="BF154" s="19"/>
      <c r="BG154" s="20"/>
      <c r="BH154" s="20"/>
      <c r="BI154" s="20"/>
      <c r="BJ154" s="20"/>
      <c r="BK154" s="20"/>
      <c r="BL154" s="20"/>
      <c r="BM154" s="20"/>
      <c r="BN154" s="20"/>
      <c r="BO154" s="20"/>
      <c r="BP154" s="20"/>
      <c r="BQ154" s="20"/>
      <c r="BR154" s="20"/>
      <c r="BS154" s="20"/>
      <c r="BT154" s="20"/>
      <c r="BU154" s="20"/>
      <c r="BV154" s="20"/>
      <c r="IP154" s="20"/>
      <c r="IQ154" s="20"/>
      <c r="IR154" s="20"/>
      <c r="IS154" s="20"/>
      <c r="IT154" s="20"/>
      <c r="IU154" s="20"/>
      <c r="IV154" s="20"/>
    </row>
    <row r="155" spans="1:256 16384:16384" s="21" customFormat="1" ht="63.75">
      <c r="A155" s="135"/>
      <c r="B155" s="24">
        <v>151</v>
      </c>
      <c r="C155" s="24" t="s">
        <v>756</v>
      </c>
      <c r="D155" s="25">
        <v>44670</v>
      </c>
      <c r="E155" s="26">
        <v>36659</v>
      </c>
      <c r="F155" s="26"/>
      <c r="G155" s="26">
        <v>20160</v>
      </c>
      <c r="H155" s="27">
        <v>331</v>
      </c>
      <c r="I155" s="27"/>
      <c r="J155" s="27"/>
      <c r="K155" s="27">
        <v>10</v>
      </c>
      <c r="L155" s="27" t="s">
        <v>500</v>
      </c>
      <c r="M155" s="27" t="s">
        <v>241</v>
      </c>
      <c r="N155" s="27" t="s">
        <v>757</v>
      </c>
      <c r="O155" s="27"/>
      <c r="P155" s="27" t="s">
        <v>125</v>
      </c>
      <c r="Q155" s="27"/>
      <c r="R155" s="27"/>
      <c r="S155" s="27"/>
      <c r="T155" s="27">
        <v>2</v>
      </c>
      <c r="U155" s="28"/>
      <c r="V155" s="27"/>
      <c r="W155" s="27"/>
      <c r="X155" s="27" t="s">
        <v>77</v>
      </c>
      <c r="Y155" s="29">
        <f>2+2</f>
        <v>4</v>
      </c>
      <c r="Z155" s="30"/>
      <c r="AA155" s="31">
        <f>+Y155+1+1</f>
        <v>6</v>
      </c>
      <c r="AB155" s="30"/>
      <c r="AC155" s="31">
        <f>+Y155*2</f>
        <v>8</v>
      </c>
      <c r="AD155" s="30"/>
      <c r="AE155" s="27"/>
      <c r="AF155" s="27"/>
      <c r="AG155" s="27">
        <f>134.48+58.55/2</f>
        <v>163.755</v>
      </c>
      <c r="AH155" s="27"/>
      <c r="AI155" s="28"/>
      <c r="AJ155" s="32"/>
      <c r="AK155" s="33">
        <v>989.84</v>
      </c>
      <c r="AL155" s="33">
        <f>+(134.45+58.55)/AK155</f>
        <v>0.19498100703143942</v>
      </c>
      <c r="AM155" s="33">
        <f>+AG155/AK155</f>
        <v>0.16543582801260809</v>
      </c>
      <c r="AN155" s="33"/>
      <c r="AO155" s="33">
        <f>2500000+((5*19581+14688*6+8*9793)/19*AG155)</f>
        <v>4778581.8755263165</v>
      </c>
      <c r="AP155" s="34">
        <v>34754.25</v>
      </c>
      <c r="AQ155" s="33" t="s">
        <v>71</v>
      </c>
      <c r="AR155" s="34" t="s">
        <v>758</v>
      </c>
      <c r="AS155" s="35">
        <v>44749</v>
      </c>
      <c r="AT155" s="36"/>
      <c r="AU155" s="134">
        <v>44742</v>
      </c>
      <c r="AV155" s="19"/>
      <c r="AW155" s="19"/>
      <c r="AX155" s="19"/>
      <c r="AY155" s="19"/>
      <c r="AZ155" s="19"/>
      <c r="BA155" s="19"/>
      <c r="BB155" s="19"/>
      <c r="BC155" s="19"/>
      <c r="BD155" s="19"/>
      <c r="BE155" s="19"/>
      <c r="BF155" s="19"/>
      <c r="BG155" s="20"/>
      <c r="BH155" s="20"/>
      <c r="BI155" s="20"/>
      <c r="BJ155" s="20"/>
      <c r="BK155" s="20"/>
      <c r="BL155" s="20"/>
      <c r="BM155" s="20"/>
      <c r="BN155" s="20"/>
      <c r="BO155" s="20"/>
      <c r="BP155" s="20"/>
      <c r="BQ155" s="20"/>
      <c r="BR155" s="20"/>
      <c r="BS155" s="20"/>
      <c r="BT155" s="20"/>
      <c r="BU155" s="20"/>
      <c r="BV155" s="20"/>
      <c r="IP155" s="20"/>
      <c r="IQ155" s="20"/>
      <c r="IR155" s="20"/>
      <c r="IS155" s="20"/>
      <c r="IT155" s="20"/>
      <c r="IU155" s="20"/>
      <c r="IV155" s="20"/>
    </row>
    <row r="156" spans="1:256 16384:16384" s="21" customFormat="1" ht="76.5">
      <c r="A156" s="135"/>
      <c r="B156" s="64">
        <v>150</v>
      </c>
      <c r="C156" s="64">
        <v>542350</v>
      </c>
      <c r="D156" s="66">
        <v>44694</v>
      </c>
      <c r="E156" s="26">
        <v>25085</v>
      </c>
      <c r="F156" s="26">
        <v>118750</v>
      </c>
      <c r="G156" s="26">
        <v>5764</v>
      </c>
      <c r="H156" s="27"/>
      <c r="I156" s="27"/>
      <c r="J156" s="27">
        <v>42</v>
      </c>
      <c r="K156" s="27">
        <v>6</v>
      </c>
      <c r="L156" s="27" t="s">
        <v>38</v>
      </c>
      <c r="M156" s="27" t="s">
        <v>759</v>
      </c>
      <c r="N156" s="27" t="s">
        <v>760</v>
      </c>
      <c r="O156" s="27"/>
      <c r="P156" s="27" t="s">
        <v>56</v>
      </c>
      <c r="Q156" s="27"/>
      <c r="R156" s="27"/>
      <c r="S156" s="27"/>
      <c r="T156" s="27">
        <v>4</v>
      </c>
      <c r="U156" s="28"/>
      <c r="V156" s="27"/>
      <c r="W156" s="27"/>
      <c r="X156" s="27" t="s">
        <v>404</v>
      </c>
      <c r="Y156" s="29">
        <f>1+1+1</f>
        <v>3</v>
      </c>
      <c r="Z156" s="30"/>
      <c r="AA156" s="31">
        <f>+Y156+1+1+1</f>
        <v>6</v>
      </c>
      <c r="AB156" s="30"/>
      <c r="AC156" s="31">
        <f>+Y156*2</f>
        <v>6</v>
      </c>
      <c r="AD156" s="30"/>
      <c r="AE156" s="27"/>
      <c r="AF156" s="27"/>
      <c r="AG156" s="27">
        <f>50.09+8.04/2+50.09+8.04/2</f>
        <v>108.22</v>
      </c>
      <c r="AH156" s="27">
        <f>29.02+14.93/2</f>
        <v>36.484999999999999</v>
      </c>
      <c r="AI156" s="28"/>
      <c r="AJ156" s="32"/>
      <c r="AK156" s="33">
        <v>160.65</v>
      </c>
      <c r="AL156" s="33">
        <f>+(50.09+8.04+14.83+29.02)/AK156</f>
        <v>0.63479614067849366</v>
      </c>
      <c r="AM156" s="33">
        <f>+(AG156+AH156)/AK156</f>
        <v>0.90074696545284771</v>
      </c>
      <c r="AN156" s="33"/>
      <c r="AO156" s="33">
        <f>+((2*24483+19581*3+7*14688+9793*10)/22*AG156)+(AH156*19581)</f>
        <v>2231730.9713636362</v>
      </c>
      <c r="AP156" s="34">
        <v>22678.94</v>
      </c>
      <c r="AQ156" s="33" t="s">
        <v>51</v>
      </c>
      <c r="AR156" s="34" t="s">
        <v>761</v>
      </c>
      <c r="AS156" s="35">
        <v>44749</v>
      </c>
      <c r="AT156" s="36"/>
      <c r="AU156" s="37">
        <v>44698</v>
      </c>
      <c r="AV156" s="19"/>
      <c r="AW156" s="19"/>
      <c r="AX156" s="19"/>
      <c r="AY156" s="19"/>
      <c r="AZ156" s="19"/>
      <c r="BA156" s="19"/>
      <c r="BB156" s="19"/>
      <c r="BC156" s="19"/>
      <c r="BD156" s="19"/>
      <c r="BE156" s="19"/>
      <c r="BF156" s="19"/>
      <c r="BG156" s="20"/>
      <c r="BH156" s="20"/>
      <c r="BI156" s="20"/>
      <c r="BJ156" s="20"/>
      <c r="BK156" s="20"/>
      <c r="BL156" s="20"/>
      <c r="BM156" s="20"/>
      <c r="BN156" s="20"/>
      <c r="BO156" s="20"/>
      <c r="BP156" s="20"/>
      <c r="BQ156" s="20"/>
      <c r="BR156" s="20"/>
      <c r="BS156" s="20"/>
      <c r="BT156" s="20"/>
      <c r="BU156" s="20"/>
      <c r="BV156" s="20"/>
      <c r="IP156" s="20"/>
      <c r="IQ156" s="20"/>
      <c r="IR156" s="20"/>
      <c r="IS156" s="20"/>
      <c r="IT156" s="20"/>
      <c r="IU156" s="20"/>
      <c r="IV156" s="20"/>
    </row>
    <row r="157" spans="1:256 16384:16384" s="21" customFormat="1" ht="102">
      <c r="A157" s="135"/>
      <c r="B157" s="24">
        <v>149</v>
      </c>
      <c r="C157" s="24">
        <v>531928</v>
      </c>
      <c r="D157" s="25">
        <v>44362</v>
      </c>
      <c r="E157" s="26">
        <v>41562</v>
      </c>
      <c r="F157" s="26">
        <v>117871</v>
      </c>
      <c r="G157" s="26">
        <v>4952</v>
      </c>
      <c r="H157" s="27"/>
      <c r="I157" s="27"/>
      <c r="J157" s="27">
        <v>634</v>
      </c>
      <c r="K157" s="27">
        <v>12</v>
      </c>
      <c r="L157" s="27" t="s">
        <v>60</v>
      </c>
      <c r="M157" s="27" t="s">
        <v>762</v>
      </c>
      <c r="N157" s="27" t="s">
        <v>763</v>
      </c>
      <c r="O157" s="27"/>
      <c r="P157" s="27" t="s">
        <v>764</v>
      </c>
      <c r="Q157" s="27"/>
      <c r="R157" s="27"/>
      <c r="S157" s="27"/>
      <c r="T157" s="27">
        <v>1</v>
      </c>
      <c r="U157" s="28"/>
      <c r="V157" s="27"/>
      <c r="W157" s="27"/>
      <c r="X157" s="27" t="s">
        <v>765</v>
      </c>
      <c r="Y157" s="29"/>
      <c r="Z157" s="30"/>
      <c r="AA157" s="31"/>
      <c r="AB157" s="30"/>
      <c r="AC157" s="31"/>
      <c r="AD157" s="30"/>
      <c r="AE157" s="27"/>
      <c r="AF157" s="27"/>
      <c r="AG157" s="27"/>
      <c r="AH157" s="27">
        <v>14.32</v>
      </c>
      <c r="AI157" s="28"/>
      <c r="AJ157" s="32"/>
      <c r="AK157" s="33">
        <v>585</v>
      </c>
      <c r="AL157" s="33">
        <f>+AH157/AK157</f>
        <v>2.4478632478632478E-2</v>
      </c>
      <c r="AM157" s="33">
        <f>+AL157</f>
        <v>2.4478632478632478E-2</v>
      </c>
      <c r="AN157" s="33"/>
      <c r="AO157" s="33">
        <f>+AH157*19581</f>
        <v>280399.92</v>
      </c>
      <c r="AP157" s="34">
        <v>5843.22</v>
      </c>
      <c r="AQ157" s="33" t="s">
        <v>51</v>
      </c>
      <c r="AR157" s="34" t="s">
        <v>766</v>
      </c>
      <c r="AS157" s="35">
        <v>44749</v>
      </c>
      <c r="AT157" s="36"/>
      <c r="AU157" s="134">
        <v>44372</v>
      </c>
      <c r="AV157" s="19"/>
      <c r="AW157" s="19"/>
      <c r="AX157" s="19"/>
      <c r="AY157" s="19"/>
      <c r="AZ157" s="19"/>
      <c r="BA157" s="19"/>
      <c r="BB157" s="19"/>
      <c r="BC157" s="19"/>
      <c r="BD157" s="19"/>
      <c r="BE157" s="19"/>
      <c r="BF157" s="19"/>
      <c r="BG157" s="20"/>
      <c r="BH157" s="20"/>
      <c r="BI157" s="20"/>
      <c r="BJ157" s="20"/>
      <c r="BK157" s="20"/>
      <c r="BL157" s="20"/>
      <c r="BM157" s="20"/>
      <c r="BN157" s="20"/>
      <c r="BO157" s="20"/>
      <c r="BP157" s="20"/>
      <c r="BQ157" s="20"/>
      <c r="BR157" s="20"/>
      <c r="BS157" s="20"/>
      <c r="BT157" s="20"/>
      <c r="BU157" s="20"/>
      <c r="BV157" s="20"/>
      <c r="IP157" s="20"/>
      <c r="IQ157" s="20"/>
      <c r="IR157" s="20"/>
      <c r="IS157" s="20"/>
      <c r="IT157" s="20"/>
      <c r="IU157" s="20"/>
      <c r="IV157" s="20"/>
    </row>
    <row r="158" spans="1:256 16384:16384" s="21" customFormat="1" ht="63.75">
      <c r="A158" s="135"/>
      <c r="B158" s="24">
        <v>143</v>
      </c>
      <c r="C158" s="24">
        <v>542767</v>
      </c>
      <c r="D158" s="25">
        <v>44708</v>
      </c>
      <c r="E158" s="26">
        <v>53077</v>
      </c>
      <c r="F158" s="26">
        <v>162625</v>
      </c>
      <c r="G158" s="26">
        <v>33182</v>
      </c>
      <c r="H158" s="27">
        <v>2</v>
      </c>
      <c r="I158" s="27"/>
      <c r="J158" s="27"/>
      <c r="K158" s="27">
        <v>142</v>
      </c>
      <c r="L158" s="27"/>
      <c r="M158" s="27" t="s">
        <v>130</v>
      </c>
      <c r="N158" s="27" t="s">
        <v>767</v>
      </c>
      <c r="O158" s="27"/>
      <c r="P158" s="27" t="s">
        <v>115</v>
      </c>
      <c r="Q158" s="27"/>
      <c r="R158" s="27"/>
      <c r="S158" s="27"/>
      <c r="T158" s="27"/>
      <c r="U158" s="28">
        <v>1</v>
      </c>
      <c r="V158" s="27"/>
      <c r="W158" s="27"/>
      <c r="X158" s="27" t="s">
        <v>65</v>
      </c>
      <c r="Y158" s="29"/>
      <c r="Z158" s="30">
        <v>3</v>
      </c>
      <c r="AA158" s="31"/>
      <c r="AB158" s="30">
        <f>+Z158+1</f>
        <v>4</v>
      </c>
      <c r="AC158" s="31"/>
      <c r="AD158" s="30">
        <f>+Z158*2</f>
        <v>6</v>
      </c>
      <c r="AE158" s="27"/>
      <c r="AF158" s="27"/>
      <c r="AG158" s="27"/>
      <c r="AH158" s="27"/>
      <c r="AI158" s="28">
        <f>117.6+31.02/2+60</f>
        <v>193.10999999999999</v>
      </c>
      <c r="AJ158" s="32"/>
      <c r="AK158" s="33">
        <v>946.9</v>
      </c>
      <c r="AL158" s="33">
        <f>+(117.6+31.02+60)/AK158</f>
        <v>0.22031893547365086</v>
      </c>
      <c r="AM158" s="33">
        <f>+AI158/AK158</f>
        <v>0.20393916992290631</v>
      </c>
      <c r="AN158" s="33"/>
      <c r="AO158" s="33">
        <f>+(4*19581+14688*10+5*9793)/19*AI158</f>
        <v>2786567.1363157895</v>
      </c>
      <c r="AP158" s="34">
        <v>30484.92</v>
      </c>
      <c r="AQ158" s="33" t="s">
        <v>71</v>
      </c>
      <c r="AR158" s="34" t="s">
        <v>768</v>
      </c>
      <c r="AS158" s="35">
        <v>44746</v>
      </c>
      <c r="AT158" s="36"/>
      <c r="AU158" s="134" t="s">
        <v>769</v>
      </c>
      <c r="AV158" s="19"/>
      <c r="AW158" s="19"/>
      <c r="AX158" s="19"/>
      <c r="AY158" s="19"/>
      <c r="AZ158" s="19"/>
      <c r="BA158" s="19"/>
      <c r="BB158" s="19"/>
      <c r="BC158" s="19"/>
      <c r="BD158" s="19"/>
      <c r="BE158" s="19"/>
      <c r="BF158" s="19"/>
      <c r="BG158" s="20"/>
      <c r="BH158" s="20"/>
      <c r="BI158" s="20"/>
      <c r="BJ158" s="20"/>
      <c r="BK158" s="20"/>
      <c r="BL158" s="20"/>
      <c r="BM158" s="20"/>
      <c r="BN158" s="20"/>
      <c r="BO158" s="20"/>
      <c r="BP158" s="20"/>
      <c r="BQ158" s="20"/>
      <c r="BR158" s="20"/>
      <c r="BS158" s="20"/>
      <c r="BT158" s="20"/>
      <c r="BU158" s="20"/>
      <c r="BV158" s="20"/>
      <c r="IP158" s="20"/>
      <c r="IQ158" s="20"/>
      <c r="IR158" s="20"/>
      <c r="IS158" s="20"/>
      <c r="IT158" s="20"/>
      <c r="IU158" s="20"/>
      <c r="IV158" s="20"/>
    </row>
    <row r="159" spans="1:256 16384:16384" s="21" customFormat="1" ht="51">
      <c r="A159" s="135"/>
      <c r="B159" s="24">
        <v>152</v>
      </c>
      <c r="C159" s="24">
        <v>523758</v>
      </c>
      <c r="D159" s="25">
        <v>44085</v>
      </c>
      <c r="E159" s="26">
        <v>37568</v>
      </c>
      <c r="F159" s="26">
        <v>136767</v>
      </c>
      <c r="G159" s="26">
        <v>7875</v>
      </c>
      <c r="H159" s="27"/>
      <c r="I159" s="27"/>
      <c r="J159" s="27">
        <v>668</v>
      </c>
      <c r="K159" s="27">
        <v>1</v>
      </c>
      <c r="L159" s="27" t="s">
        <v>60</v>
      </c>
      <c r="M159" s="27" t="s">
        <v>770</v>
      </c>
      <c r="N159" s="27" t="s">
        <v>771</v>
      </c>
      <c r="O159" s="27"/>
      <c r="P159" s="27" t="s">
        <v>261</v>
      </c>
      <c r="Q159" s="27"/>
      <c r="R159" s="27"/>
      <c r="S159" s="27"/>
      <c r="T159" s="27">
        <f>1+2+1</f>
        <v>4</v>
      </c>
      <c r="U159" s="28"/>
      <c r="V159" s="27"/>
      <c r="W159" s="27"/>
      <c r="X159" s="27" t="s">
        <v>186</v>
      </c>
      <c r="Y159" s="29"/>
      <c r="Z159" s="30"/>
      <c r="AA159" s="31"/>
      <c r="AB159" s="30"/>
      <c r="AC159" s="31"/>
      <c r="AD159" s="30"/>
      <c r="AE159" s="27">
        <f>147.41+76.87</f>
        <v>224.28</v>
      </c>
      <c r="AF159" s="27"/>
      <c r="AG159" s="27">
        <f>8.08+18.14/2+66.79</f>
        <v>83.94</v>
      </c>
      <c r="AH159" s="27"/>
      <c r="AI159" s="28"/>
      <c r="AJ159" s="32"/>
      <c r="AK159" s="33">
        <v>248.4</v>
      </c>
      <c r="AL159" s="33">
        <f>+(147.41+8.08+18.14)/AK159</f>
        <v>0.69899355877616742</v>
      </c>
      <c r="AM159" s="33">
        <f>+(AE159+AG159)/AK159</f>
        <v>1.2408212560386473</v>
      </c>
      <c r="AN159" s="33"/>
      <c r="AO159" s="33">
        <v>40105.58</v>
      </c>
      <c r="AP159" s="34">
        <v>40105.58</v>
      </c>
      <c r="AQ159" s="33" t="s">
        <v>71</v>
      </c>
      <c r="AR159" s="34" t="s">
        <v>772</v>
      </c>
      <c r="AS159" s="35">
        <v>44760</v>
      </c>
      <c r="AT159" s="36"/>
      <c r="AU159" s="134">
        <v>44088</v>
      </c>
      <c r="AV159" s="19"/>
      <c r="AW159" s="19"/>
      <c r="AX159" s="19"/>
      <c r="AY159" s="19"/>
      <c r="AZ159" s="19"/>
      <c r="BA159" s="19"/>
      <c r="BB159" s="19"/>
      <c r="BC159" s="19"/>
      <c r="BD159" s="19"/>
      <c r="BE159" s="19"/>
      <c r="BF159" s="19"/>
      <c r="BG159" s="20"/>
      <c r="BH159" s="20"/>
      <c r="BI159" s="20"/>
      <c r="BJ159" s="20"/>
      <c r="BK159" s="20"/>
      <c r="BL159" s="20"/>
      <c r="BM159" s="20"/>
      <c r="BN159" s="20"/>
      <c r="BO159" s="20"/>
      <c r="BP159" s="20"/>
      <c r="BQ159" s="20"/>
      <c r="BR159" s="20"/>
      <c r="BS159" s="20"/>
      <c r="BT159" s="20"/>
      <c r="BU159" s="20"/>
      <c r="BV159" s="20"/>
      <c r="IP159" s="20"/>
      <c r="IQ159" s="20"/>
      <c r="IR159" s="20"/>
      <c r="IS159" s="20"/>
      <c r="IT159" s="20"/>
      <c r="IU159" s="20"/>
      <c r="IV159" s="20"/>
    </row>
    <row r="160" spans="1:256 16384:16384" s="21" customFormat="1" ht="89.25">
      <c r="A160" s="135"/>
      <c r="B160" s="24">
        <v>147</v>
      </c>
      <c r="C160" s="24">
        <v>543127</v>
      </c>
      <c r="D160" s="25">
        <v>44722</v>
      </c>
      <c r="E160" s="26">
        <v>45131</v>
      </c>
      <c r="F160" s="26">
        <v>142451</v>
      </c>
      <c r="G160" s="26">
        <v>9020</v>
      </c>
      <c r="H160" s="27"/>
      <c r="I160" s="27"/>
      <c r="J160" s="27">
        <v>611</v>
      </c>
      <c r="K160" s="27">
        <v>19</v>
      </c>
      <c r="L160" s="27" t="s">
        <v>88</v>
      </c>
      <c r="M160" s="27" t="s">
        <v>773</v>
      </c>
      <c r="N160" s="27" t="s">
        <v>774</v>
      </c>
      <c r="O160" s="27"/>
      <c r="P160" s="27" t="s">
        <v>775</v>
      </c>
      <c r="Q160" s="27"/>
      <c r="R160" s="27"/>
      <c r="S160" s="27"/>
      <c r="T160" s="27">
        <f>1+1</f>
        <v>2</v>
      </c>
      <c r="U160" s="28"/>
      <c r="V160" s="27"/>
      <c r="W160" s="27"/>
      <c r="X160" s="27" t="s">
        <v>65</v>
      </c>
      <c r="Y160" s="29">
        <f>3+1</f>
        <v>4</v>
      </c>
      <c r="Z160" s="30"/>
      <c r="AA160" s="31">
        <f>+Y160+1+1+1</f>
        <v>7</v>
      </c>
      <c r="AB160" s="30"/>
      <c r="AC160" s="31">
        <f>+Y160*2</f>
        <v>8</v>
      </c>
      <c r="AD160" s="30"/>
      <c r="AE160" s="27">
        <f>99.97+43.39</f>
        <v>143.36000000000001</v>
      </c>
      <c r="AF160" s="27"/>
      <c r="AG160" s="27">
        <v>30.13</v>
      </c>
      <c r="AH160" s="27"/>
      <c r="AI160" s="28"/>
      <c r="AJ160" s="32"/>
      <c r="AK160" s="33">
        <v>284.81</v>
      </c>
      <c r="AL160" s="33">
        <f>+(99.97+30.13)/AK160</f>
        <v>0.45679575857589266</v>
      </c>
      <c r="AM160" s="33">
        <f>+(AE160+AG160)/AK160</f>
        <v>0.60914293739686109</v>
      </c>
      <c r="AN160" s="33"/>
      <c r="AO160" s="33">
        <f>+(7*24483+5*19581+14688*7+9793*4)/23*AG160</f>
        <v>538768.93999999994</v>
      </c>
      <c r="AP160" s="34">
        <v>9725.4</v>
      </c>
      <c r="AQ160" s="33" t="s">
        <v>776</v>
      </c>
      <c r="AR160" s="34" t="s">
        <v>777</v>
      </c>
      <c r="AS160" s="35">
        <v>44748</v>
      </c>
      <c r="AT160" s="36"/>
      <c r="AU160" s="134">
        <v>44722</v>
      </c>
      <c r="AV160" s="19"/>
      <c r="AW160" s="19"/>
      <c r="AX160" s="19"/>
      <c r="AY160" s="19"/>
      <c r="AZ160" s="19"/>
      <c r="BA160" s="19"/>
      <c r="BB160" s="19"/>
      <c r="BC160" s="19"/>
      <c r="BD160" s="19"/>
      <c r="BE160" s="19"/>
      <c r="BF160" s="19"/>
      <c r="BG160" s="20"/>
      <c r="BH160" s="20"/>
      <c r="BI160" s="20"/>
      <c r="BJ160" s="20"/>
      <c r="BK160" s="20"/>
      <c r="BL160" s="20"/>
      <c r="BM160" s="20"/>
      <c r="BN160" s="20"/>
      <c r="BO160" s="20"/>
      <c r="BP160" s="20"/>
      <c r="BQ160" s="20"/>
      <c r="BR160" s="20"/>
      <c r="BS160" s="20"/>
      <c r="BT160" s="20"/>
      <c r="BU160" s="20"/>
      <c r="BV160" s="20"/>
      <c r="IP160" s="20"/>
      <c r="IQ160" s="20"/>
      <c r="IR160" s="20"/>
      <c r="IS160" s="20"/>
      <c r="IT160" s="20"/>
      <c r="IU160" s="20"/>
      <c r="IV160" s="20"/>
    </row>
    <row r="161" spans="1:256" s="21" customFormat="1" ht="76.5">
      <c r="A161" s="135"/>
      <c r="B161" s="64">
        <v>146</v>
      </c>
      <c r="C161" s="64">
        <v>543298</v>
      </c>
      <c r="D161" s="66">
        <v>44733</v>
      </c>
      <c r="E161" s="26">
        <v>6456</v>
      </c>
      <c r="F161" s="26">
        <v>2218</v>
      </c>
      <c r="G161" s="26">
        <v>2236</v>
      </c>
      <c r="H161" s="27"/>
      <c r="I161" s="27"/>
      <c r="J161" s="27">
        <v>3</v>
      </c>
      <c r="K161" s="27">
        <v>17</v>
      </c>
      <c r="L161" s="27" t="s">
        <v>38</v>
      </c>
      <c r="M161" s="27" t="s">
        <v>778</v>
      </c>
      <c r="N161" s="27" t="s">
        <v>779</v>
      </c>
      <c r="O161" s="27"/>
      <c r="P161" s="27" t="s">
        <v>775</v>
      </c>
      <c r="Q161" s="27"/>
      <c r="R161" s="27"/>
      <c r="S161" s="27"/>
      <c r="T161" s="27">
        <v>1</v>
      </c>
      <c r="U161" s="28"/>
      <c r="V161" s="27"/>
      <c r="W161" s="27"/>
      <c r="X161" s="27" t="s">
        <v>65</v>
      </c>
      <c r="Y161" s="29">
        <v>2</v>
      </c>
      <c r="Z161" s="30"/>
      <c r="AA161" s="31">
        <f>+Y161+1+1</f>
        <v>4</v>
      </c>
      <c r="AB161" s="30"/>
      <c r="AC161" s="31">
        <f>+Y161*2</f>
        <v>4</v>
      </c>
      <c r="AD161" s="30"/>
      <c r="AE161" s="27"/>
      <c r="AF161" s="27"/>
      <c r="AG161" s="27">
        <f>110.92+49.59/2</f>
        <v>135.715</v>
      </c>
      <c r="AH161" s="27"/>
      <c r="AI161" s="28"/>
      <c r="AJ161" s="32"/>
      <c r="AK161" s="33">
        <v>271.08</v>
      </c>
      <c r="AL161" s="33">
        <f>+(110.92+49.69)/AK161</f>
        <v>0.59248192415523104</v>
      </c>
      <c r="AM161" s="33">
        <f>+AG161/AK161</f>
        <v>0.50064556588460973</v>
      </c>
      <c r="AN161" s="33"/>
      <c r="AO161" s="33">
        <f>+(2*24483+19581*4+14688*7+8*9793)/21*AG161</f>
        <v>1993394.8452380954</v>
      </c>
      <c r="AP161" s="34">
        <v>8355.9</v>
      </c>
      <c r="AQ161" s="33" t="s">
        <v>776</v>
      </c>
      <c r="AR161" s="34" t="s">
        <v>780</v>
      </c>
      <c r="AS161" s="35">
        <v>44748</v>
      </c>
      <c r="AT161" s="36"/>
      <c r="AU161" s="37">
        <v>44733</v>
      </c>
      <c r="AV161" s="19"/>
      <c r="AW161" s="19"/>
      <c r="AX161" s="19"/>
      <c r="AY161" s="19"/>
      <c r="AZ161" s="19"/>
      <c r="BA161" s="19"/>
      <c r="BB161" s="19"/>
      <c r="BC161" s="19"/>
      <c r="BD161" s="19"/>
      <c r="BE161" s="19"/>
      <c r="BF161" s="19"/>
      <c r="BG161" s="20"/>
      <c r="BH161" s="20"/>
      <c r="BI161" s="20"/>
      <c r="BJ161" s="20"/>
      <c r="BK161" s="20"/>
      <c r="BL161" s="20"/>
      <c r="BM161" s="20"/>
      <c r="BN161" s="20"/>
      <c r="BO161" s="20"/>
      <c r="BP161" s="20"/>
      <c r="BQ161" s="20"/>
      <c r="BR161" s="20"/>
      <c r="BS161" s="20"/>
      <c r="BT161" s="20"/>
      <c r="BU161" s="20"/>
      <c r="BV161" s="20"/>
      <c r="IP161" s="20"/>
      <c r="IQ161" s="20"/>
      <c r="IR161" s="20"/>
      <c r="IS161" s="20"/>
      <c r="IT161" s="20"/>
      <c r="IU161" s="20"/>
      <c r="IV161" s="20"/>
    </row>
    <row r="162" spans="1:256" s="21" customFormat="1" ht="51">
      <c r="A162" s="135"/>
      <c r="B162" s="64">
        <v>153</v>
      </c>
      <c r="C162" s="150">
        <v>541462</v>
      </c>
      <c r="D162" s="66">
        <v>44662</v>
      </c>
      <c r="E162" s="26">
        <v>24452</v>
      </c>
      <c r="F162" s="26">
        <v>100099</v>
      </c>
      <c r="G162" s="26">
        <v>1222</v>
      </c>
      <c r="H162" s="27"/>
      <c r="I162" s="27"/>
      <c r="J162" s="27">
        <v>187</v>
      </c>
      <c r="K162" s="27">
        <v>1</v>
      </c>
      <c r="L162" s="27" t="s">
        <v>31</v>
      </c>
      <c r="M162" s="27" t="s">
        <v>781</v>
      </c>
      <c r="N162" s="27" t="s">
        <v>782</v>
      </c>
      <c r="O162" s="27"/>
      <c r="P162" s="27" t="s">
        <v>456</v>
      </c>
      <c r="Q162" s="27"/>
      <c r="R162" s="27"/>
      <c r="S162" s="27"/>
      <c r="T162" s="27">
        <v>1</v>
      </c>
      <c r="U162" s="27"/>
      <c r="V162" s="27"/>
      <c r="W162" s="27"/>
      <c r="X162" s="27" t="s">
        <v>186</v>
      </c>
      <c r="Y162" s="29"/>
      <c r="Z162" s="29"/>
      <c r="AA162" s="29"/>
      <c r="AB162" s="29"/>
      <c r="AC162" s="29"/>
      <c r="AD162" s="29"/>
      <c r="AE162" s="27"/>
      <c r="AF162" s="27"/>
      <c r="AG162" s="27"/>
      <c r="AH162" s="27">
        <f>528.2+18.54/2+20.25+1.89/2</f>
        <v>558.66500000000008</v>
      </c>
      <c r="AI162" s="27"/>
      <c r="AJ162" s="33"/>
      <c r="AK162" s="33">
        <v>607.04999999999995</v>
      </c>
      <c r="AL162" s="33">
        <f>+(528.2+18.54)/AK162</f>
        <v>0.90065068775224455</v>
      </c>
      <c r="AM162" s="33">
        <f>+AH162/AK162</f>
        <v>0.92029486862696663</v>
      </c>
      <c r="AN162" s="33"/>
      <c r="AO162" s="33">
        <v>25000</v>
      </c>
      <c r="AP162" s="34">
        <v>157227.24</v>
      </c>
      <c r="AQ162" s="33" t="s">
        <v>776</v>
      </c>
      <c r="AR162" s="34" t="s">
        <v>783</v>
      </c>
      <c r="AS162" s="35">
        <v>44760</v>
      </c>
      <c r="AT162" s="36"/>
      <c r="AU162" s="104">
        <v>44662</v>
      </c>
      <c r="AV162" s="19"/>
      <c r="AW162" s="19"/>
      <c r="AX162" s="19"/>
      <c r="AY162" s="19"/>
      <c r="AZ162" s="19"/>
      <c r="BA162" s="19"/>
      <c r="BB162" s="19"/>
      <c r="BC162" s="19"/>
      <c r="BD162" s="19"/>
      <c r="BE162" s="19"/>
      <c r="BF162" s="19"/>
      <c r="BG162" s="20"/>
      <c r="BH162" s="20"/>
      <c r="BI162" s="20"/>
      <c r="BJ162" s="20"/>
      <c r="BK162" s="20"/>
      <c r="BL162" s="20"/>
      <c r="BM162" s="20"/>
      <c r="BN162" s="20"/>
      <c r="BO162" s="20"/>
      <c r="BP162" s="20"/>
      <c r="BQ162" s="20"/>
      <c r="BR162" s="20"/>
      <c r="BS162" s="20"/>
      <c r="BT162" s="20"/>
      <c r="BU162" s="20"/>
      <c r="BV162" s="20"/>
      <c r="IP162" s="20"/>
      <c r="IQ162" s="20"/>
      <c r="IR162" s="20"/>
      <c r="IS162" s="20"/>
      <c r="IT162" s="20"/>
      <c r="IU162" s="20"/>
      <c r="IV162" s="20"/>
    </row>
    <row r="163" spans="1:256" s="21" customFormat="1" ht="51">
      <c r="A163" s="135"/>
      <c r="B163" s="24">
        <v>155</v>
      </c>
      <c r="C163" s="24">
        <v>543084</v>
      </c>
      <c r="D163" s="25">
        <v>44720</v>
      </c>
      <c r="E163" s="26">
        <v>54428</v>
      </c>
      <c r="F163" s="26">
        <v>163644</v>
      </c>
      <c r="G163" s="26">
        <v>33365</v>
      </c>
      <c r="H163" s="27"/>
      <c r="I163" s="27"/>
      <c r="J163" s="27">
        <v>1</v>
      </c>
      <c r="K163" s="27">
        <v>8</v>
      </c>
      <c r="L163" s="27" t="s">
        <v>500</v>
      </c>
      <c r="M163" s="27" t="s">
        <v>241</v>
      </c>
      <c r="N163" s="27" t="s">
        <v>784</v>
      </c>
      <c r="O163" s="27"/>
      <c r="P163" s="27" t="s">
        <v>56</v>
      </c>
      <c r="Q163" s="27" t="s">
        <v>56</v>
      </c>
      <c r="R163" s="27" t="s">
        <v>56</v>
      </c>
      <c r="S163" s="27" t="s">
        <v>100</v>
      </c>
      <c r="T163" s="27"/>
      <c r="U163" s="28">
        <v>4</v>
      </c>
      <c r="V163" s="27"/>
      <c r="W163" s="27"/>
      <c r="X163" s="27" t="s">
        <v>77</v>
      </c>
      <c r="Y163" s="29">
        <f>1+1+2+2</f>
        <v>6</v>
      </c>
      <c r="Z163" s="30"/>
      <c r="AA163" s="31">
        <f>+Y163+1+1</f>
        <v>8</v>
      </c>
      <c r="AB163" s="30"/>
      <c r="AC163" s="31">
        <f>+Y163*2</f>
        <v>12</v>
      </c>
      <c r="AD163" s="30"/>
      <c r="AE163" s="27"/>
      <c r="AF163" s="27"/>
      <c r="AG163" s="27"/>
      <c r="AH163" s="27"/>
      <c r="AI163" s="28">
        <v>159.43</v>
      </c>
      <c r="AJ163" s="32"/>
      <c r="AK163" s="33">
        <v>998.12</v>
      </c>
      <c r="AL163" s="33">
        <f>+AI163/AK163</f>
        <v>0.15973029295074742</v>
      </c>
      <c r="AM163" s="33">
        <f>+AI163/AK163</f>
        <v>0.15973029295074742</v>
      </c>
      <c r="AN163" s="33"/>
      <c r="AO163" s="33">
        <f>+(2*24483+19581*10+14688*3+10*9793)/25*AI163</f>
        <v>2466509.6439999999</v>
      </c>
      <c r="AP163" s="34">
        <v>9395.48</v>
      </c>
      <c r="AQ163" s="33" t="s">
        <v>51</v>
      </c>
      <c r="AR163" s="34" t="s">
        <v>785</v>
      </c>
      <c r="AS163" s="35">
        <v>44760</v>
      </c>
      <c r="AT163" s="36"/>
      <c r="AU163" s="134" t="s">
        <v>786</v>
      </c>
      <c r="AV163" s="19"/>
      <c r="AW163" s="19"/>
      <c r="AX163" s="19"/>
      <c r="AY163" s="19"/>
      <c r="AZ163" s="19"/>
      <c r="BA163" s="19"/>
      <c r="BB163" s="19"/>
      <c r="BC163" s="19"/>
      <c r="BD163" s="19"/>
      <c r="BE163" s="19"/>
      <c r="BF163" s="19"/>
      <c r="BG163" s="20"/>
      <c r="BH163" s="20"/>
      <c r="BI163" s="20"/>
      <c r="BJ163" s="20"/>
      <c r="BK163" s="20"/>
      <c r="BL163" s="20"/>
      <c r="BM163" s="20"/>
      <c r="BN163" s="20"/>
      <c r="BO163" s="20"/>
      <c r="BP163" s="20"/>
      <c r="BQ163" s="20"/>
      <c r="BR163" s="20"/>
      <c r="BS163" s="20"/>
      <c r="BT163" s="20"/>
      <c r="BU163" s="20"/>
      <c r="BV163" s="20"/>
      <c r="IP163" s="20"/>
      <c r="IQ163" s="20"/>
      <c r="IR163" s="20"/>
      <c r="IS163" s="20"/>
      <c r="IT163" s="20"/>
      <c r="IU163" s="20"/>
      <c r="IV163" s="20"/>
    </row>
    <row r="164" spans="1:256" s="21" customFormat="1" ht="39.6" customHeight="1">
      <c r="A164" s="135"/>
      <c r="B164" s="234">
        <v>154</v>
      </c>
      <c r="C164" s="234">
        <v>541029</v>
      </c>
      <c r="D164" s="25">
        <v>44643</v>
      </c>
      <c r="E164" s="26">
        <v>25491</v>
      </c>
      <c r="F164" s="26">
        <v>119090</v>
      </c>
      <c r="G164" s="26">
        <v>5834</v>
      </c>
      <c r="H164" s="27"/>
      <c r="I164" s="27"/>
      <c r="J164" s="27">
        <v>37</v>
      </c>
      <c r="K164" s="27">
        <v>13</v>
      </c>
      <c r="L164" s="27" t="s">
        <v>38</v>
      </c>
      <c r="M164" s="72" t="s">
        <v>787</v>
      </c>
      <c r="N164" s="27" t="s">
        <v>788</v>
      </c>
      <c r="O164" s="27" t="s">
        <v>789</v>
      </c>
      <c r="P164" s="72" t="s">
        <v>201</v>
      </c>
      <c r="Q164" s="27"/>
      <c r="R164" s="27"/>
      <c r="S164" s="27"/>
      <c r="T164" s="27">
        <v>1</v>
      </c>
      <c r="U164" s="28"/>
      <c r="V164" s="27"/>
      <c r="W164" s="27"/>
      <c r="X164" s="27" t="s">
        <v>441</v>
      </c>
      <c r="Y164" s="29"/>
      <c r="Z164" s="30"/>
      <c r="AA164" s="31"/>
      <c r="AB164" s="30"/>
      <c r="AC164" s="31"/>
      <c r="AD164" s="30"/>
      <c r="AE164" s="27"/>
      <c r="AF164" s="27"/>
      <c r="AG164" s="27"/>
      <c r="AH164" s="27">
        <v>300</v>
      </c>
      <c r="AI164" s="28"/>
      <c r="AJ164" s="32"/>
      <c r="AK164" s="33">
        <v>300</v>
      </c>
      <c r="AL164" s="33">
        <v>1</v>
      </c>
      <c r="AM164" s="33">
        <v>1</v>
      </c>
      <c r="AN164" s="33"/>
      <c r="AO164" s="33">
        <f>+AH164*19581</f>
        <v>5874300</v>
      </c>
      <c r="AP164" s="151">
        <v>71731.88</v>
      </c>
      <c r="AQ164" s="78" t="s">
        <v>71</v>
      </c>
      <c r="AR164" s="34" t="s">
        <v>790</v>
      </c>
      <c r="AS164" s="80">
        <v>44760</v>
      </c>
      <c r="AT164" s="36"/>
      <c r="AU164" s="134">
        <v>44656</v>
      </c>
      <c r="AV164" s="19"/>
      <c r="AW164" s="19"/>
      <c r="AX164" s="19"/>
      <c r="AY164" s="19"/>
      <c r="AZ164" s="19"/>
      <c r="BA164" s="19"/>
      <c r="BB164" s="19"/>
      <c r="BC164" s="19"/>
      <c r="BD164" s="19"/>
      <c r="BE164" s="19"/>
      <c r="BF164" s="19"/>
      <c r="BG164" s="20"/>
      <c r="BH164" s="20"/>
      <c r="BI164" s="20"/>
      <c r="BJ164" s="20"/>
      <c r="BK164" s="20"/>
      <c r="BL164" s="20"/>
      <c r="BM164" s="20"/>
      <c r="BN164" s="20"/>
      <c r="BO164" s="20"/>
      <c r="BP164" s="20"/>
      <c r="BQ164" s="20"/>
      <c r="BR164" s="20"/>
      <c r="BS164" s="20"/>
      <c r="BT164" s="20"/>
      <c r="BU164" s="20"/>
      <c r="BV164" s="20"/>
      <c r="IP164" s="20"/>
      <c r="IQ164" s="20"/>
      <c r="IR164" s="20"/>
      <c r="IS164" s="20"/>
      <c r="IT164" s="20"/>
      <c r="IU164" s="20"/>
      <c r="IV164" s="20"/>
    </row>
    <row r="165" spans="1:256" s="21" customFormat="1" ht="12.75">
      <c r="A165" s="135"/>
      <c r="B165" s="205"/>
      <c r="C165" s="205"/>
      <c r="D165" s="63"/>
      <c r="E165" s="26"/>
      <c r="F165" s="26"/>
      <c r="G165" s="26">
        <v>5877</v>
      </c>
      <c r="H165" s="27"/>
      <c r="I165" s="27"/>
      <c r="J165" s="27"/>
      <c r="K165" s="27"/>
      <c r="L165" s="27"/>
      <c r="M165" s="102"/>
      <c r="N165" s="27"/>
      <c r="O165" s="27"/>
      <c r="P165" s="102"/>
      <c r="Q165" s="27"/>
      <c r="R165" s="27"/>
      <c r="S165" s="27"/>
      <c r="T165" s="27"/>
      <c r="U165" s="28"/>
      <c r="V165" s="27"/>
      <c r="W165" s="27"/>
      <c r="X165" s="27"/>
      <c r="Y165" s="29"/>
      <c r="Z165" s="30"/>
      <c r="AA165" s="31"/>
      <c r="AB165" s="30"/>
      <c r="AC165" s="31"/>
      <c r="AD165" s="30"/>
      <c r="AE165" s="27"/>
      <c r="AF165" s="27"/>
      <c r="AG165" s="27"/>
      <c r="AH165" s="27">
        <f>225.07+51.99/2</f>
        <v>251.065</v>
      </c>
      <c r="AI165" s="28"/>
      <c r="AJ165" s="32"/>
      <c r="AK165" s="33">
        <v>670</v>
      </c>
      <c r="AL165" s="33">
        <v>0.39</v>
      </c>
      <c r="AM165" s="33">
        <v>0.44</v>
      </c>
      <c r="AN165" s="33"/>
      <c r="AO165" s="33">
        <f>+AH165*19581</f>
        <v>4916103.7649999997</v>
      </c>
      <c r="AP165" s="152">
        <v>84909.99</v>
      </c>
      <c r="AQ165" s="236"/>
      <c r="AR165" s="34"/>
      <c r="AS165" s="237"/>
      <c r="AT165" s="36"/>
      <c r="AU165" s="134"/>
      <c r="AV165" s="19"/>
      <c r="AW165" s="19"/>
      <c r="AX165" s="19"/>
      <c r="AY165" s="19"/>
      <c r="AZ165" s="19"/>
      <c r="BA165" s="19"/>
      <c r="BB165" s="19"/>
      <c r="BC165" s="19"/>
      <c r="BD165" s="19"/>
      <c r="BE165" s="19"/>
      <c r="BF165" s="19"/>
      <c r="BG165" s="20"/>
      <c r="BH165" s="20"/>
      <c r="BI165" s="20"/>
      <c r="BJ165" s="20"/>
      <c r="BK165" s="20"/>
      <c r="BL165" s="20"/>
      <c r="BM165" s="20"/>
      <c r="BN165" s="20"/>
      <c r="BO165" s="20"/>
      <c r="BP165" s="20"/>
      <c r="BQ165" s="20"/>
      <c r="BR165" s="20"/>
      <c r="BS165" s="20"/>
      <c r="BT165" s="20"/>
      <c r="BU165" s="20"/>
      <c r="BV165" s="20"/>
      <c r="IP165" s="20"/>
      <c r="IQ165" s="20"/>
      <c r="IR165" s="20"/>
      <c r="IS165" s="20"/>
      <c r="IT165" s="20"/>
      <c r="IU165" s="20"/>
      <c r="IV165" s="20"/>
    </row>
    <row r="166" spans="1:256" s="21" customFormat="1" ht="63.75">
      <c r="A166" s="135" t="s">
        <v>791</v>
      </c>
      <c r="B166" s="24">
        <v>158</v>
      </c>
      <c r="C166" s="25" t="s">
        <v>792</v>
      </c>
      <c r="D166" s="63">
        <v>44392</v>
      </c>
      <c r="E166" s="26">
        <v>-56876</v>
      </c>
      <c r="F166" s="26">
        <v>165500</v>
      </c>
      <c r="G166" s="26">
        <v>33655</v>
      </c>
      <c r="H166" s="27">
        <v>3</v>
      </c>
      <c r="I166" s="27"/>
      <c r="J166" s="27">
        <v>2</v>
      </c>
      <c r="K166" s="27">
        <v>21</v>
      </c>
      <c r="L166" s="27" t="s">
        <v>793</v>
      </c>
      <c r="M166" s="27" t="s">
        <v>270</v>
      </c>
      <c r="N166" s="27" t="s">
        <v>794</v>
      </c>
      <c r="O166" s="27"/>
      <c r="P166" s="27" t="s">
        <v>795</v>
      </c>
      <c r="Q166" s="27"/>
      <c r="R166" s="27"/>
      <c r="S166" s="27"/>
      <c r="T166" s="27"/>
      <c r="U166" s="28">
        <v>1</v>
      </c>
      <c r="V166" s="27"/>
      <c r="W166" s="27"/>
      <c r="X166" s="27" t="s">
        <v>65</v>
      </c>
      <c r="Y166" s="29">
        <f>2+1</f>
        <v>3</v>
      </c>
      <c r="Z166" s="30"/>
      <c r="AA166" s="31">
        <f>+Y166+1</f>
        <v>4</v>
      </c>
      <c r="AB166" s="30"/>
      <c r="AC166" s="31">
        <f>+Y166*2</f>
        <v>6</v>
      </c>
      <c r="AD166" s="30">
        <f>+Z166*2</f>
        <v>0</v>
      </c>
      <c r="AE166" s="27"/>
      <c r="AF166" s="27"/>
      <c r="AG166" s="27">
        <f>89.17+84.33/2+41.71</f>
        <v>173.04500000000002</v>
      </c>
      <c r="AH166" s="27"/>
      <c r="AI166" s="28"/>
      <c r="AJ166" s="32"/>
      <c r="AK166" s="33">
        <v>979.09</v>
      </c>
      <c r="AL166" s="33">
        <f>+(89.17+84.33)/AK166</f>
        <v>0.17720536416468352</v>
      </c>
      <c r="AM166" s="33">
        <f>+AG166/AK166</f>
        <v>0.17674064692724878</v>
      </c>
      <c r="AN166" s="33"/>
      <c r="AO166" s="33">
        <v>210476.52</v>
      </c>
      <c r="AP166" s="34">
        <v>5176.8100000000004</v>
      </c>
      <c r="AQ166" s="33" t="s">
        <v>71</v>
      </c>
      <c r="AR166" s="34" t="s">
        <v>796</v>
      </c>
      <c r="AS166" s="35">
        <v>44769</v>
      </c>
      <c r="AT166" s="36"/>
      <c r="AU166" s="134">
        <v>44757</v>
      </c>
      <c r="AV166" s="19"/>
      <c r="AW166" s="19"/>
      <c r="AX166" s="19"/>
      <c r="AY166" s="19"/>
      <c r="AZ166" s="19"/>
      <c r="BA166" s="19"/>
      <c r="BB166" s="19"/>
      <c r="BC166" s="19"/>
      <c r="BD166" s="19"/>
      <c r="BE166" s="19"/>
      <c r="BF166" s="19"/>
      <c r="BG166" s="20"/>
      <c r="BH166" s="20"/>
      <c r="BI166" s="20"/>
      <c r="BJ166" s="20"/>
      <c r="BK166" s="20"/>
      <c r="BL166" s="20"/>
      <c r="BM166" s="20"/>
      <c r="BN166" s="20"/>
      <c r="BO166" s="20"/>
      <c r="BP166" s="20"/>
      <c r="BQ166" s="20"/>
      <c r="BR166" s="20"/>
      <c r="BS166" s="20"/>
      <c r="BT166" s="20"/>
      <c r="BU166" s="20"/>
      <c r="BV166" s="20"/>
      <c r="IP166" s="20"/>
      <c r="IQ166" s="20"/>
      <c r="IR166" s="20"/>
      <c r="IS166" s="20"/>
      <c r="IT166" s="20"/>
      <c r="IU166" s="20"/>
      <c r="IV166" s="20"/>
    </row>
    <row r="167" spans="1:256" s="21" customFormat="1" ht="38.25">
      <c r="A167" s="135"/>
      <c r="B167" s="24">
        <v>156</v>
      </c>
      <c r="C167" s="25">
        <v>543583</v>
      </c>
      <c r="D167" s="153">
        <v>44743</v>
      </c>
      <c r="E167" s="26">
        <v>42162</v>
      </c>
      <c r="F167" s="26">
        <v>859</v>
      </c>
      <c r="G167" s="26">
        <v>675</v>
      </c>
      <c r="H167" s="27"/>
      <c r="I167" s="27"/>
      <c r="J167" s="27">
        <v>158</v>
      </c>
      <c r="K167" s="27">
        <v>13</v>
      </c>
      <c r="L167" s="27" t="s">
        <v>31</v>
      </c>
      <c r="M167" s="27" t="s">
        <v>797</v>
      </c>
      <c r="N167" s="27" t="s">
        <v>798</v>
      </c>
      <c r="O167" s="27"/>
      <c r="P167" s="27" t="s">
        <v>799</v>
      </c>
      <c r="Q167" s="27"/>
      <c r="R167" s="27"/>
      <c r="S167" s="27"/>
      <c r="T167" s="27">
        <v>1</v>
      </c>
      <c r="U167" s="28"/>
      <c r="V167" s="27"/>
      <c r="W167" s="27"/>
      <c r="X167" s="27" t="s">
        <v>800</v>
      </c>
      <c r="Y167" s="29"/>
      <c r="Z167" s="30"/>
      <c r="AA167" s="31"/>
      <c r="AB167" s="30"/>
      <c r="AC167" s="31"/>
      <c r="AD167" s="30"/>
      <c r="AE167" s="27"/>
      <c r="AF167" s="27"/>
      <c r="AG167" s="27"/>
      <c r="AH167" s="27">
        <f>172.78+6.94</f>
        <v>179.72</v>
      </c>
      <c r="AI167" s="28"/>
      <c r="AJ167" s="32"/>
      <c r="AK167" s="33">
        <v>147.11000000000001</v>
      </c>
      <c r="AL167" s="33">
        <f>+(135.27)/AK167</f>
        <v>0.91951600842906667</v>
      </c>
      <c r="AM167" s="33">
        <f>+(AH167-16.62)/AK167</f>
        <v>1.1086941744272991</v>
      </c>
      <c r="AN167" s="33"/>
      <c r="AO167" s="33">
        <v>127430</v>
      </c>
      <c r="AP167" s="34">
        <v>5405.7</v>
      </c>
      <c r="AQ167" s="33" t="s">
        <v>71</v>
      </c>
      <c r="AR167" s="34" t="s">
        <v>801</v>
      </c>
      <c r="AS167" s="35">
        <v>44760</v>
      </c>
      <c r="AT167" s="36"/>
      <c r="AU167" s="134">
        <v>44746</v>
      </c>
      <c r="AV167" s="19"/>
      <c r="AW167" s="19"/>
      <c r="AX167" s="19"/>
      <c r="AY167" s="19"/>
      <c r="AZ167" s="19"/>
      <c r="BA167" s="19"/>
      <c r="BB167" s="19"/>
      <c r="BC167" s="19"/>
      <c r="BD167" s="19"/>
      <c r="BE167" s="19"/>
      <c r="BF167" s="19"/>
      <c r="BG167" s="20"/>
      <c r="BH167" s="20"/>
      <c r="BI167" s="20"/>
      <c r="BJ167" s="20"/>
      <c r="BK167" s="20"/>
      <c r="BL167" s="20"/>
      <c r="BM167" s="20"/>
      <c r="BN167" s="20"/>
      <c r="BO167" s="20"/>
      <c r="BP167" s="20"/>
      <c r="BQ167" s="20"/>
      <c r="BR167" s="20"/>
      <c r="BS167" s="20"/>
      <c r="BT167" s="20"/>
      <c r="BU167" s="20"/>
      <c r="BV167" s="20"/>
      <c r="IP167" s="20"/>
      <c r="IQ167" s="20"/>
      <c r="IR167" s="20"/>
      <c r="IS167" s="20"/>
      <c r="IT167" s="20"/>
      <c r="IU167" s="20"/>
      <c r="IV167" s="20"/>
    </row>
    <row r="168" spans="1:256" s="21" customFormat="1" ht="76.5">
      <c r="A168" s="135"/>
      <c r="B168" s="24">
        <v>157</v>
      </c>
      <c r="C168" s="24">
        <v>542737</v>
      </c>
      <c r="D168" s="25">
        <v>44708</v>
      </c>
      <c r="E168" s="26">
        <v>58315</v>
      </c>
      <c r="F168" s="26">
        <v>166644</v>
      </c>
      <c r="G168" s="26">
        <v>10372</v>
      </c>
      <c r="H168" s="27"/>
      <c r="I168" s="27"/>
      <c r="J168" s="27">
        <v>475</v>
      </c>
      <c r="K168" s="27">
        <v>21</v>
      </c>
      <c r="L168" s="27" t="s">
        <v>38</v>
      </c>
      <c r="M168" s="27" t="s">
        <v>802</v>
      </c>
      <c r="N168" s="27" t="s">
        <v>803</v>
      </c>
      <c r="O168" s="27"/>
      <c r="P168" s="27" t="s">
        <v>804</v>
      </c>
      <c r="Q168" s="27"/>
      <c r="R168" s="27"/>
      <c r="S168" s="27"/>
      <c r="T168" s="27">
        <v>1</v>
      </c>
      <c r="U168" s="28"/>
      <c r="V168" s="27"/>
      <c r="W168" s="27"/>
      <c r="X168" s="27" t="s">
        <v>65</v>
      </c>
      <c r="Y168" s="29">
        <v>2</v>
      </c>
      <c r="Z168" s="30"/>
      <c r="AA168" s="31">
        <f>+Y168+1</f>
        <v>3</v>
      </c>
      <c r="AB168" s="30"/>
      <c r="AC168" s="31">
        <f>+Y168*2</f>
        <v>4</v>
      </c>
      <c r="AD168" s="30"/>
      <c r="AE168" s="27"/>
      <c r="AF168" s="27"/>
      <c r="AG168" s="27">
        <f>110.89+46.88/2</f>
        <v>134.33000000000001</v>
      </c>
      <c r="AH168" s="27"/>
      <c r="AI168" s="28"/>
      <c r="AJ168" s="32"/>
      <c r="AK168" s="33">
        <v>230.13</v>
      </c>
      <c r="AL168" s="33">
        <f>+(110.89+46.88)/AK168</f>
        <v>0.6855690262025812</v>
      </c>
      <c r="AM168" s="33">
        <f>+AG168/AK168</f>
        <v>0.58371355320905582</v>
      </c>
      <c r="AN168" s="33"/>
      <c r="AO168" s="33">
        <f>+(6*24483+5*19581+5*14688+9793*4)/20*AG168</f>
        <v>2400577.8475000001</v>
      </c>
      <c r="AP168" s="34">
        <v>35720.76</v>
      </c>
      <c r="AQ168" s="33" t="s">
        <v>36</v>
      </c>
      <c r="AR168" s="34" t="s">
        <v>805</v>
      </c>
      <c r="AS168" s="35">
        <v>44762</v>
      </c>
      <c r="AT168" s="36"/>
      <c r="AU168" s="134">
        <v>44711</v>
      </c>
      <c r="AV168" s="19"/>
      <c r="AW168" s="19"/>
      <c r="AX168" s="19"/>
      <c r="AY168" s="19"/>
      <c r="AZ168" s="19"/>
      <c r="BA168" s="19"/>
      <c r="BB168" s="19"/>
      <c r="BC168" s="19"/>
      <c r="BD168" s="19"/>
      <c r="BE168" s="19"/>
      <c r="BF168" s="19"/>
      <c r="BG168" s="20"/>
      <c r="BH168" s="20"/>
      <c r="BI168" s="20"/>
      <c r="BJ168" s="20"/>
      <c r="BK168" s="20"/>
      <c r="BL168" s="20"/>
      <c r="BM168" s="20"/>
      <c r="BN168" s="20"/>
      <c r="BO168" s="20"/>
      <c r="BP168" s="20"/>
      <c r="BQ168" s="20"/>
      <c r="BR168" s="20"/>
      <c r="BS168" s="20"/>
      <c r="BT168" s="20"/>
      <c r="BU168" s="20"/>
      <c r="BV168" s="20"/>
      <c r="IP168" s="20"/>
      <c r="IQ168" s="20"/>
      <c r="IR168" s="20"/>
      <c r="IS168" s="20"/>
      <c r="IT168" s="20"/>
      <c r="IU168" s="20"/>
      <c r="IV168" s="20"/>
    </row>
    <row r="169" spans="1:256" s="21" customFormat="1" ht="76.5">
      <c r="A169" s="135"/>
      <c r="B169" s="24">
        <v>160</v>
      </c>
      <c r="C169" s="24" t="s">
        <v>806</v>
      </c>
      <c r="D169" s="25">
        <v>44712</v>
      </c>
      <c r="E169" s="26">
        <v>24904</v>
      </c>
      <c r="F169" s="26">
        <v>118605</v>
      </c>
      <c r="G169" s="26">
        <v>5734</v>
      </c>
      <c r="H169" s="27"/>
      <c r="I169" s="27"/>
      <c r="J169" s="27">
        <v>27</v>
      </c>
      <c r="K169" s="27">
        <v>6</v>
      </c>
      <c r="L169" s="27" t="s">
        <v>38</v>
      </c>
      <c r="M169" s="27" t="s">
        <v>807</v>
      </c>
      <c r="N169" s="27" t="s">
        <v>808</v>
      </c>
      <c r="O169" s="27"/>
      <c r="P169" s="27" t="s">
        <v>309</v>
      </c>
      <c r="Q169" s="27"/>
      <c r="R169" s="27"/>
      <c r="S169" s="27"/>
      <c r="T169" s="27">
        <f>2+1+1</f>
        <v>4</v>
      </c>
      <c r="U169" s="28"/>
      <c r="V169" s="27"/>
      <c r="W169" s="27"/>
      <c r="X169" s="27" t="s">
        <v>77</v>
      </c>
      <c r="Y169" s="29">
        <f>2+1+1+2</f>
        <v>6</v>
      </c>
      <c r="Z169" s="30"/>
      <c r="AA169" s="31">
        <f>+Y169+1+1</f>
        <v>8</v>
      </c>
      <c r="AB169" s="30"/>
      <c r="AC169" s="31">
        <f>+Y169*2</f>
        <v>12</v>
      </c>
      <c r="AD169" s="30"/>
      <c r="AE169" s="27">
        <f>122.18+30.19/2+33.74</f>
        <v>171.01500000000001</v>
      </c>
      <c r="AF169" s="27"/>
      <c r="AG169" s="27">
        <f>52.94+12.34/2</f>
        <v>59.11</v>
      </c>
      <c r="AH169" s="27"/>
      <c r="AI169" s="28"/>
      <c r="AJ169" s="32"/>
      <c r="AK169" s="33">
        <v>624.62</v>
      </c>
      <c r="AL169" s="33">
        <f>+(15.62+12.34+110.38+14.57+11.8+52.94)/AK169</f>
        <v>0.34845185873010792</v>
      </c>
      <c r="AM169" s="33">
        <f>+(AE169+AG169)/AK169</f>
        <v>0.36842400179309021</v>
      </c>
      <c r="AN169" s="33"/>
      <c r="AO169" s="33">
        <f>+(3*19581+11*14688+9793*6)/20*AG169</f>
        <v>824788.42950000009</v>
      </c>
      <c r="AP169" s="34">
        <v>13404.47</v>
      </c>
      <c r="AQ169" s="33" t="s">
        <v>71</v>
      </c>
      <c r="AR169" s="34" t="s">
        <v>809</v>
      </c>
      <c r="AS169" s="35">
        <v>44763</v>
      </c>
      <c r="AT169" s="36"/>
      <c r="AU169" s="134">
        <v>44757</v>
      </c>
      <c r="AV169" s="19"/>
      <c r="AW169" s="19"/>
      <c r="AX169" s="19"/>
      <c r="AY169" s="19"/>
      <c r="AZ169" s="19"/>
      <c r="BA169" s="19"/>
      <c r="BB169" s="19"/>
      <c r="BC169" s="19"/>
      <c r="BD169" s="19"/>
      <c r="BE169" s="19"/>
      <c r="BF169" s="19"/>
      <c r="BG169" s="20"/>
      <c r="BH169" s="20"/>
      <c r="BI169" s="20"/>
      <c r="BJ169" s="20"/>
      <c r="BK169" s="20"/>
      <c r="BL169" s="20"/>
      <c r="BM169" s="20"/>
      <c r="BN169" s="20"/>
      <c r="BO169" s="20"/>
      <c r="BP169" s="20"/>
      <c r="BQ169" s="20"/>
      <c r="BR169" s="20"/>
      <c r="BS169" s="20"/>
      <c r="BT169" s="20"/>
      <c r="BU169" s="20"/>
      <c r="BV169" s="20"/>
      <c r="IP169" s="20"/>
      <c r="IQ169" s="20"/>
      <c r="IR169" s="20"/>
      <c r="IS169" s="20"/>
      <c r="IT169" s="20"/>
      <c r="IU169" s="20"/>
      <c r="IV169" s="20"/>
    </row>
    <row r="170" spans="1:256" s="21" customFormat="1" ht="63.75">
      <c r="A170" s="135"/>
      <c r="B170" s="24">
        <v>161</v>
      </c>
      <c r="C170" s="24">
        <v>543268</v>
      </c>
      <c r="D170" s="25">
        <v>44728</v>
      </c>
      <c r="E170" s="26">
        <v>60637</v>
      </c>
      <c r="F170" s="26">
        <v>168667</v>
      </c>
      <c r="G170" s="26">
        <v>33963</v>
      </c>
      <c r="H170" s="27">
        <v>271</v>
      </c>
      <c r="I170" s="27"/>
      <c r="J170" s="27">
        <v>2</v>
      </c>
      <c r="K170" s="27">
        <v>10</v>
      </c>
      <c r="L170" s="27" t="s">
        <v>240</v>
      </c>
      <c r="M170" s="27" t="s">
        <v>810</v>
      </c>
      <c r="N170" s="27" t="s">
        <v>811</v>
      </c>
      <c r="O170" s="27"/>
      <c r="P170" s="27" t="s">
        <v>137</v>
      </c>
      <c r="Q170" s="27" t="s">
        <v>137</v>
      </c>
      <c r="R170" s="27" t="s">
        <v>137</v>
      </c>
      <c r="S170" s="27" t="s">
        <v>812</v>
      </c>
      <c r="T170" s="27"/>
      <c r="U170" s="28">
        <v>1</v>
      </c>
      <c r="V170" s="27"/>
      <c r="W170" s="27"/>
      <c r="X170" s="27" t="s">
        <v>65</v>
      </c>
      <c r="Y170" s="29"/>
      <c r="Z170" s="30">
        <v>2</v>
      </c>
      <c r="AA170" s="31"/>
      <c r="AB170" s="30">
        <f>+Z170+1</f>
        <v>3</v>
      </c>
      <c r="AC170" s="31"/>
      <c r="AD170" s="30">
        <f>+Z170*2</f>
        <v>4</v>
      </c>
      <c r="AE170" s="27"/>
      <c r="AF170" s="27"/>
      <c r="AG170" s="27"/>
      <c r="AH170" s="27"/>
      <c r="AI170" s="28">
        <v>96.23</v>
      </c>
      <c r="AJ170" s="32"/>
      <c r="AK170" s="33">
        <v>231.1</v>
      </c>
      <c r="AL170" s="33">
        <f>+AI170/AK170</f>
        <v>0.41639982691475552</v>
      </c>
      <c r="AM170" s="33">
        <f>+AL170</f>
        <v>0.41639982691475552</v>
      </c>
      <c r="AN170" s="33"/>
      <c r="AO170" s="33">
        <f>840000+560000</f>
        <v>1400000</v>
      </c>
      <c r="AP170" s="34">
        <v>6512</v>
      </c>
      <c r="AQ170" s="33" t="s">
        <v>71</v>
      </c>
      <c r="AR170" s="34" t="s">
        <v>813</v>
      </c>
      <c r="AS170" s="35">
        <v>44763</v>
      </c>
      <c r="AT170" s="36"/>
      <c r="AU170" s="134">
        <v>44733</v>
      </c>
      <c r="AV170" s="19"/>
      <c r="AW170" s="19"/>
      <c r="AX170" s="19"/>
      <c r="AY170" s="19"/>
      <c r="AZ170" s="19"/>
      <c r="BA170" s="19"/>
      <c r="BB170" s="19"/>
      <c r="BC170" s="19"/>
      <c r="BD170" s="19"/>
      <c r="BE170" s="19"/>
      <c r="BF170" s="19"/>
      <c r="BG170" s="20"/>
      <c r="BH170" s="20"/>
      <c r="BI170" s="20"/>
      <c r="BJ170" s="20"/>
      <c r="BK170" s="20"/>
      <c r="BL170" s="20"/>
      <c r="BM170" s="20"/>
      <c r="BN170" s="20"/>
      <c r="BO170" s="20"/>
      <c r="BP170" s="20"/>
      <c r="BQ170" s="20"/>
      <c r="BR170" s="20"/>
      <c r="BS170" s="20"/>
      <c r="BT170" s="20"/>
      <c r="BU170" s="20"/>
      <c r="BV170" s="20"/>
      <c r="IP170" s="20"/>
      <c r="IQ170" s="20"/>
      <c r="IR170" s="20"/>
      <c r="IS170" s="20"/>
      <c r="IT170" s="20"/>
      <c r="IU170" s="20"/>
      <c r="IV170" s="20"/>
    </row>
    <row r="171" spans="1:256" s="21" customFormat="1" ht="76.5">
      <c r="A171" s="135"/>
      <c r="B171" s="24">
        <v>159</v>
      </c>
      <c r="C171" s="24">
        <v>543405</v>
      </c>
      <c r="D171" s="25">
        <v>44735</v>
      </c>
      <c r="E171" s="26">
        <v>22216</v>
      </c>
      <c r="F171" s="26">
        <v>111232</v>
      </c>
      <c r="G171" s="26">
        <v>5044</v>
      </c>
      <c r="H171" s="27"/>
      <c r="I171" s="27"/>
      <c r="J171" s="27">
        <v>376</v>
      </c>
      <c r="K171" s="27"/>
      <c r="L171" s="27" t="s">
        <v>240</v>
      </c>
      <c r="M171" s="27" t="s">
        <v>814</v>
      </c>
      <c r="N171" s="27" t="s">
        <v>815</v>
      </c>
      <c r="O171" s="27"/>
      <c r="P171" s="27" t="s">
        <v>222</v>
      </c>
      <c r="Q171" s="27"/>
      <c r="R171" s="27"/>
      <c r="S171" s="27"/>
      <c r="T171" s="27">
        <f>1+1+1</f>
        <v>3</v>
      </c>
      <c r="U171" s="28"/>
      <c r="V171" s="27"/>
      <c r="W171" s="27"/>
      <c r="X171" s="27" t="s">
        <v>77</v>
      </c>
      <c r="Y171" s="29">
        <f>1+1+2</f>
        <v>4</v>
      </c>
      <c r="Z171" s="30"/>
      <c r="AA171" s="31">
        <f>+Y171+1+1+1</f>
        <v>7</v>
      </c>
      <c r="AB171" s="30"/>
      <c r="AC171" s="31">
        <f>+Y171*2</f>
        <v>8</v>
      </c>
      <c r="AD171" s="30"/>
      <c r="AE171" s="27">
        <f>85.85+6.38/2</f>
        <v>89.039999999999992</v>
      </c>
      <c r="AF171" s="27"/>
      <c r="AG171" s="27">
        <f>12.7+55.67/2+58.86+11.02/2</f>
        <v>104.905</v>
      </c>
      <c r="AH171" s="27"/>
      <c r="AI171" s="28"/>
      <c r="AJ171" s="32"/>
      <c r="AK171" s="33">
        <v>201.46</v>
      </c>
      <c r="AL171" s="33">
        <f>+(6.38+85.85+12.7+55.67)/AK171</f>
        <v>0.79718058175320161</v>
      </c>
      <c r="AM171" s="33">
        <f>+(AE171+AG171)/AK171</f>
        <v>0.96269730963963063</v>
      </c>
      <c r="AN171" s="33"/>
      <c r="AO171" s="33">
        <f>+(24483+19581*3+12*14688+9793*5)/21*AG171</f>
        <v>1540839.6445238097</v>
      </c>
      <c r="AP171" s="34">
        <v>25904.07</v>
      </c>
      <c r="AQ171" s="33" t="s">
        <v>71</v>
      </c>
      <c r="AR171" s="34" t="s">
        <v>816</v>
      </c>
      <c r="AS171" s="35">
        <v>44762</v>
      </c>
      <c r="AT171" s="36"/>
      <c r="AU171" s="134">
        <v>44736</v>
      </c>
      <c r="AV171" s="19"/>
      <c r="AW171" s="19"/>
      <c r="AX171" s="19"/>
      <c r="AY171" s="19"/>
      <c r="AZ171" s="19"/>
      <c r="BA171" s="19"/>
      <c r="BB171" s="19"/>
      <c r="BC171" s="19"/>
      <c r="BD171" s="19"/>
      <c r="BE171" s="19"/>
      <c r="BF171" s="19"/>
      <c r="BG171" s="20"/>
      <c r="BH171" s="20"/>
      <c r="BI171" s="20"/>
      <c r="BJ171" s="20"/>
      <c r="BK171" s="20"/>
      <c r="BL171" s="20"/>
      <c r="BM171" s="20"/>
      <c r="BN171" s="20"/>
      <c r="BO171" s="20"/>
      <c r="BP171" s="20"/>
      <c r="BQ171" s="20"/>
      <c r="BR171" s="20"/>
      <c r="BS171" s="20"/>
      <c r="BT171" s="20"/>
      <c r="BU171" s="20"/>
      <c r="BV171" s="20"/>
      <c r="IP171" s="20"/>
      <c r="IQ171" s="20"/>
      <c r="IR171" s="20"/>
      <c r="IS171" s="20"/>
      <c r="IT171" s="20"/>
      <c r="IU171" s="20"/>
      <c r="IV171" s="20"/>
    </row>
    <row r="172" spans="1:256" s="21" customFormat="1" ht="51">
      <c r="A172" s="135"/>
      <c r="B172" s="64">
        <v>162</v>
      </c>
      <c r="C172" s="24" t="s">
        <v>817</v>
      </c>
      <c r="D172" s="25">
        <v>44712</v>
      </c>
      <c r="E172" s="26">
        <v>-52602</v>
      </c>
      <c r="F172" s="26">
        <v>162232</v>
      </c>
      <c r="G172" s="26">
        <v>33164</v>
      </c>
      <c r="H172" s="27">
        <v>341</v>
      </c>
      <c r="I172" s="27"/>
      <c r="J172" s="27">
        <v>0</v>
      </c>
      <c r="K172" s="27">
        <v>2</v>
      </c>
      <c r="L172" s="27" t="s">
        <v>500</v>
      </c>
      <c r="M172" s="27" t="s">
        <v>818</v>
      </c>
      <c r="N172" s="27" t="s">
        <v>819</v>
      </c>
      <c r="O172" s="27"/>
      <c r="P172" s="27" t="s">
        <v>120</v>
      </c>
      <c r="Q172" s="27" t="s">
        <v>120</v>
      </c>
      <c r="R172" s="27" t="s">
        <v>120</v>
      </c>
      <c r="S172" s="27" t="s">
        <v>820</v>
      </c>
      <c r="T172" s="27"/>
      <c r="U172" s="28">
        <v>2</v>
      </c>
      <c r="V172" s="27"/>
      <c r="W172" s="27"/>
      <c r="X172" s="27" t="s">
        <v>821</v>
      </c>
      <c r="Y172" s="29"/>
      <c r="Z172" s="30">
        <f>2+2</f>
        <v>4</v>
      </c>
      <c r="AA172" s="31"/>
      <c r="AB172" s="30">
        <f>+Z172+1+1</f>
        <v>6</v>
      </c>
      <c r="AC172" s="31"/>
      <c r="AD172" s="30">
        <f>+Z172*2</f>
        <v>8</v>
      </c>
      <c r="AE172" s="27"/>
      <c r="AF172" s="27"/>
      <c r="AG172" s="27"/>
      <c r="AH172" s="27"/>
      <c r="AI172" s="28">
        <f>91.7+26.2/2</f>
        <v>104.8</v>
      </c>
      <c r="AJ172" s="32"/>
      <c r="AK172" s="33">
        <v>916.09</v>
      </c>
      <c r="AL172" s="33">
        <f>+(91.7+26.2)/AK172</f>
        <v>0.12869914528048554</v>
      </c>
      <c r="AM172" s="33">
        <f>+AI172/AK172</f>
        <v>0.11439924024932048</v>
      </c>
      <c r="AN172" s="33"/>
      <c r="AO172" s="33"/>
      <c r="AP172" s="34">
        <v>7096.19</v>
      </c>
      <c r="AQ172" s="33" t="s">
        <v>71</v>
      </c>
      <c r="AR172" s="34" t="s">
        <v>822</v>
      </c>
      <c r="AS172" s="35">
        <v>44764</v>
      </c>
      <c r="AT172" s="36"/>
      <c r="AU172" s="37" t="s">
        <v>823</v>
      </c>
      <c r="AV172" s="19"/>
      <c r="AW172" s="19"/>
      <c r="AX172" s="19"/>
      <c r="AY172" s="19"/>
      <c r="AZ172" s="19"/>
      <c r="BA172" s="19"/>
      <c r="BB172" s="19"/>
      <c r="BC172" s="19"/>
      <c r="BD172" s="19"/>
      <c r="BE172" s="19"/>
      <c r="BF172" s="19"/>
      <c r="BG172" s="20"/>
      <c r="BH172" s="20"/>
      <c r="BI172" s="20"/>
      <c r="BJ172" s="20"/>
      <c r="BK172" s="20"/>
      <c r="BL172" s="20"/>
      <c r="BM172" s="20"/>
      <c r="BN172" s="20"/>
      <c r="BO172" s="20"/>
      <c r="BP172" s="20"/>
      <c r="BQ172" s="20"/>
      <c r="BR172" s="20"/>
      <c r="BS172" s="20"/>
      <c r="BT172" s="20"/>
      <c r="BU172" s="20"/>
      <c r="BV172" s="20"/>
      <c r="IP172" s="20"/>
      <c r="IQ172" s="20"/>
      <c r="IR172" s="20"/>
      <c r="IS172" s="20"/>
      <c r="IT172" s="20"/>
      <c r="IU172" s="20"/>
      <c r="IV172" s="20"/>
    </row>
    <row r="173" spans="1:256" s="21" customFormat="1" ht="114.75">
      <c r="A173" s="135"/>
      <c r="B173" s="24">
        <v>164</v>
      </c>
      <c r="C173" s="24">
        <v>543770</v>
      </c>
      <c r="D173" s="25">
        <v>44755</v>
      </c>
      <c r="E173" s="26">
        <v>51073</v>
      </c>
      <c r="F173" s="26">
        <v>160953</v>
      </c>
      <c r="G173" s="26">
        <v>9655</v>
      </c>
      <c r="H173" s="27"/>
      <c r="I173" s="27"/>
      <c r="J173" s="27">
        <v>715</v>
      </c>
      <c r="K173" s="27">
        <v>16</v>
      </c>
      <c r="L173" s="27" t="s">
        <v>824</v>
      </c>
      <c r="M173" s="27" t="s">
        <v>825</v>
      </c>
      <c r="N173" s="27" t="s">
        <v>826</v>
      </c>
      <c r="O173" s="27"/>
      <c r="P173" s="27" t="s">
        <v>827</v>
      </c>
      <c r="Q173" s="27"/>
      <c r="R173" s="27"/>
      <c r="S173" s="27"/>
      <c r="T173" s="27">
        <f>1+1</f>
        <v>2</v>
      </c>
      <c r="U173" s="28"/>
      <c r="V173" s="27"/>
      <c r="W173" s="27"/>
      <c r="X173" s="27" t="s">
        <v>77</v>
      </c>
      <c r="Y173" s="29">
        <f>3+1</f>
        <v>4</v>
      </c>
      <c r="Z173" s="30"/>
      <c r="AA173" s="31">
        <f>+Y173+1+1+1</f>
        <v>7</v>
      </c>
      <c r="AB173" s="30"/>
      <c r="AC173" s="31">
        <f>+Y173*2</f>
        <v>8</v>
      </c>
      <c r="AD173" s="30"/>
      <c r="AE173" s="27"/>
      <c r="AF173" s="27"/>
      <c r="AG173" s="27">
        <f>95.06+68.48/2+26.91+3.74/2+26.91+2.91/2</f>
        <v>186.44500000000002</v>
      </c>
      <c r="AH173" s="27"/>
      <c r="AI173" s="28"/>
      <c r="AJ173" s="32"/>
      <c r="AK173" s="33">
        <v>250</v>
      </c>
      <c r="AL173" s="33">
        <f>+(95.06+26.91)/AK173</f>
        <v>0.48787999999999998</v>
      </c>
      <c r="AM173" s="33">
        <f>+AG173/AK173</f>
        <v>0.74578000000000011</v>
      </c>
      <c r="AN173" s="33"/>
      <c r="AO173" s="33">
        <f>+(4*24483+19581*4+6*14688+9793*8)/22*AG173</f>
        <v>2904541.9072727277</v>
      </c>
      <c r="AP173" s="34">
        <v>42623.839999999997</v>
      </c>
      <c r="AQ173" s="33" t="s">
        <v>71</v>
      </c>
      <c r="AR173" s="34" t="s">
        <v>828</v>
      </c>
      <c r="AS173" s="35">
        <v>44769</v>
      </c>
      <c r="AT173" s="36"/>
      <c r="AU173" s="134">
        <v>44756</v>
      </c>
      <c r="AV173" s="19"/>
      <c r="AW173" s="19"/>
      <c r="AX173" s="19"/>
      <c r="AY173" s="19"/>
      <c r="AZ173" s="19"/>
      <c r="BA173" s="19"/>
      <c r="BB173" s="19"/>
      <c r="BC173" s="19"/>
      <c r="BD173" s="19"/>
      <c r="BE173" s="19"/>
      <c r="BF173" s="19"/>
      <c r="BG173" s="20"/>
      <c r="BH173" s="20"/>
      <c r="BI173" s="20"/>
      <c r="BJ173" s="20"/>
      <c r="BK173" s="20"/>
      <c r="BL173" s="20"/>
      <c r="BM173" s="20"/>
      <c r="BN173" s="20"/>
      <c r="BO173" s="20"/>
      <c r="BP173" s="20"/>
      <c r="BQ173" s="20"/>
      <c r="BR173" s="20"/>
      <c r="BS173" s="20"/>
      <c r="BT173" s="20"/>
      <c r="BU173" s="20"/>
      <c r="BV173" s="20"/>
      <c r="IP173" s="20"/>
      <c r="IQ173" s="20"/>
      <c r="IR173" s="20"/>
      <c r="IS173" s="20"/>
      <c r="IT173" s="20"/>
      <c r="IU173" s="20"/>
      <c r="IV173" s="20"/>
    </row>
    <row r="174" spans="1:256" s="21" customFormat="1" ht="38.25">
      <c r="A174" s="135"/>
      <c r="B174" s="24">
        <v>165</v>
      </c>
      <c r="C174" s="24">
        <v>542536</v>
      </c>
      <c r="D174" s="25">
        <v>44701</v>
      </c>
      <c r="E174" s="26">
        <v>38585</v>
      </c>
      <c r="F174" s="26">
        <v>137567</v>
      </c>
      <c r="G174" s="26">
        <v>20368</v>
      </c>
      <c r="H174" s="27">
        <v>36</v>
      </c>
      <c r="I174" s="27"/>
      <c r="J174" s="27">
        <v>355</v>
      </c>
      <c r="K174" s="27">
        <v>1</v>
      </c>
      <c r="L174" s="27" t="s">
        <v>74</v>
      </c>
      <c r="M174" s="27" t="s">
        <v>829</v>
      </c>
      <c r="N174" s="27" t="s">
        <v>830</v>
      </c>
      <c r="O174" s="27" t="s">
        <v>831</v>
      </c>
      <c r="P174" s="27" t="s">
        <v>166</v>
      </c>
      <c r="Q174" s="27" t="s">
        <v>166</v>
      </c>
      <c r="R174" s="27" t="s">
        <v>166</v>
      </c>
      <c r="S174" s="27" t="s">
        <v>100</v>
      </c>
      <c r="T174" s="27"/>
      <c r="U174" s="28">
        <v>1</v>
      </c>
      <c r="V174" s="27"/>
      <c r="W174" s="27"/>
      <c r="X174" s="27" t="s">
        <v>65</v>
      </c>
      <c r="Y174" s="29"/>
      <c r="Z174" s="30">
        <v>2</v>
      </c>
      <c r="AA174" s="31"/>
      <c r="AB174" s="30">
        <f>+Z174+1</f>
        <v>3</v>
      </c>
      <c r="AC174" s="31"/>
      <c r="AD174" s="30">
        <f>+Z174*2</f>
        <v>4</v>
      </c>
      <c r="AE174" s="27"/>
      <c r="AF174" s="27"/>
      <c r="AG174" s="27"/>
      <c r="AH174" s="27"/>
      <c r="AI174" s="28">
        <f>104.18+61.24/2</f>
        <v>134.80000000000001</v>
      </c>
      <c r="AJ174" s="32"/>
      <c r="AK174" s="33">
        <v>378</v>
      </c>
      <c r="AL174" s="33">
        <f>+(104.18+62.24)/AK174</f>
        <v>0.4402645502645503</v>
      </c>
      <c r="AM174" s="33">
        <f>+AI174/AK174</f>
        <v>0.35661375661375666</v>
      </c>
      <c r="AN174" s="33">
        <f>+(6+18+4+5)/(3+6+1+1)</f>
        <v>3</v>
      </c>
      <c r="AO174" s="33">
        <f>+(5*24483+19581*6+3*14688+9793*6)/20*AI174</f>
        <v>2309953.0200000005</v>
      </c>
      <c r="AP174" s="34">
        <v>10126.77</v>
      </c>
      <c r="AQ174" s="33" t="s">
        <v>71</v>
      </c>
      <c r="AR174" s="34" t="s">
        <v>832</v>
      </c>
      <c r="AS174" s="35">
        <v>44769</v>
      </c>
      <c r="AT174" s="36"/>
      <c r="AU174" s="134" t="s">
        <v>833</v>
      </c>
      <c r="AV174" s="19"/>
      <c r="AW174" s="19"/>
      <c r="AX174" s="19"/>
      <c r="AY174" s="19"/>
      <c r="AZ174" s="19"/>
      <c r="BA174" s="19"/>
      <c r="BB174" s="19"/>
      <c r="BC174" s="19"/>
      <c r="BD174" s="19"/>
      <c r="BE174" s="19"/>
      <c r="BF174" s="19"/>
      <c r="BG174" s="20"/>
      <c r="BH174" s="20"/>
      <c r="BI174" s="20"/>
      <c r="BJ174" s="20"/>
      <c r="BK174" s="20"/>
      <c r="BL174" s="20"/>
      <c r="BM174" s="20"/>
      <c r="BN174" s="20"/>
      <c r="BO174" s="20"/>
      <c r="BP174" s="20"/>
      <c r="BQ174" s="20"/>
      <c r="BR174" s="20"/>
      <c r="BS174" s="20"/>
      <c r="BT174" s="20"/>
      <c r="BU174" s="20"/>
      <c r="BV174" s="20"/>
      <c r="IP174" s="20"/>
      <c r="IQ174" s="20"/>
      <c r="IR174" s="20"/>
      <c r="IS174" s="20"/>
      <c r="IT174" s="20"/>
      <c r="IU174" s="20"/>
      <c r="IV174" s="20"/>
    </row>
    <row r="175" spans="1:256" s="21" customFormat="1" ht="25.5">
      <c r="A175" s="44"/>
      <c r="B175" s="64">
        <v>163</v>
      </c>
      <c r="C175" s="154">
        <v>44707</v>
      </c>
      <c r="D175" s="66">
        <v>542763</v>
      </c>
      <c r="E175" s="26"/>
      <c r="F175" s="26"/>
      <c r="G175" s="26"/>
      <c r="H175" s="27"/>
      <c r="I175" s="27"/>
      <c r="J175" s="27"/>
      <c r="K175" s="27"/>
      <c r="L175" s="27" t="s">
        <v>38</v>
      </c>
      <c r="M175" s="27" t="s">
        <v>834</v>
      </c>
      <c r="N175" s="27" t="s">
        <v>835</v>
      </c>
      <c r="O175" s="27"/>
      <c r="P175" s="27"/>
      <c r="Q175" s="27"/>
      <c r="R175" s="27"/>
      <c r="S175" s="27"/>
      <c r="T175" s="27"/>
      <c r="U175" s="27"/>
      <c r="V175" s="27"/>
      <c r="W175" s="27"/>
      <c r="X175" s="27"/>
      <c r="Y175" s="29"/>
      <c r="Z175" s="29"/>
      <c r="AA175" s="29"/>
      <c r="AB175" s="29"/>
      <c r="AC175" s="29"/>
      <c r="AD175" s="29"/>
      <c r="AE175" s="27"/>
      <c r="AF175" s="27"/>
      <c r="AG175" s="27"/>
      <c r="AH175" s="27"/>
      <c r="AI175" s="27"/>
      <c r="AJ175" s="33"/>
      <c r="AK175" s="33"/>
      <c r="AL175" s="33"/>
      <c r="AM175" s="33"/>
      <c r="AN175" s="33"/>
      <c r="AO175" s="33"/>
      <c r="AP175" s="34">
        <v>2510</v>
      </c>
      <c r="AQ175" s="33" t="s">
        <v>71</v>
      </c>
      <c r="AR175" s="34" t="s">
        <v>836</v>
      </c>
      <c r="AS175" s="35">
        <v>44769</v>
      </c>
      <c r="AT175" s="36"/>
      <c r="AU175" s="67"/>
      <c r="AV175" s="19"/>
      <c r="AW175" s="19"/>
      <c r="AX175" s="19"/>
      <c r="AY175" s="19"/>
      <c r="AZ175" s="19"/>
      <c r="BA175" s="19"/>
      <c r="BB175" s="19"/>
      <c r="BC175" s="19"/>
      <c r="BD175" s="19"/>
      <c r="BE175" s="19"/>
      <c r="BF175" s="19"/>
      <c r="BG175" s="20"/>
      <c r="BH175" s="20"/>
      <c r="BI175" s="20"/>
      <c r="BJ175" s="20"/>
      <c r="BK175" s="20"/>
      <c r="BL175" s="20"/>
      <c r="BM175" s="20"/>
      <c r="BN175" s="20"/>
      <c r="BO175" s="20"/>
      <c r="BP175" s="20"/>
      <c r="BQ175" s="20"/>
      <c r="BR175" s="20"/>
      <c r="BS175" s="20"/>
      <c r="BT175" s="20"/>
      <c r="BU175" s="20"/>
      <c r="BV175" s="20"/>
      <c r="IP175" s="20"/>
      <c r="IQ175" s="20"/>
      <c r="IR175" s="20"/>
      <c r="IS175" s="20"/>
      <c r="IT175" s="20"/>
      <c r="IU175" s="20"/>
      <c r="IV175" s="20"/>
    </row>
    <row r="176" spans="1:256" s="21" customFormat="1" ht="51">
      <c r="A176" s="135"/>
      <c r="B176" s="24">
        <v>166</v>
      </c>
      <c r="C176" s="24">
        <v>544106</v>
      </c>
      <c r="D176" s="25">
        <v>44756</v>
      </c>
      <c r="E176" s="26">
        <v>4680</v>
      </c>
      <c r="F176" s="26">
        <v>50835</v>
      </c>
      <c r="G176" s="26">
        <v>2798</v>
      </c>
      <c r="H176" s="27"/>
      <c r="I176" s="27"/>
      <c r="J176" s="27">
        <v>779</v>
      </c>
      <c r="K176" s="27">
        <v>9</v>
      </c>
      <c r="L176" s="27" t="s">
        <v>60</v>
      </c>
      <c r="M176" s="27" t="s">
        <v>837</v>
      </c>
      <c r="N176" s="27" t="s">
        <v>838</v>
      </c>
      <c r="O176" s="27"/>
      <c r="P176" s="27" t="s">
        <v>411</v>
      </c>
      <c r="Q176" s="27"/>
      <c r="R176" s="27"/>
      <c r="S176" s="27"/>
      <c r="T176" s="27"/>
      <c r="U176" s="28"/>
      <c r="V176" s="27"/>
      <c r="W176" s="27"/>
      <c r="X176" s="27" t="s">
        <v>77</v>
      </c>
      <c r="Y176" s="29"/>
      <c r="Z176" s="30"/>
      <c r="AA176" s="31"/>
      <c r="AB176" s="30"/>
      <c r="AC176" s="31"/>
      <c r="AD176" s="30"/>
      <c r="AE176" s="27">
        <f>178.53+100.03/2+67.76+4.22/2</f>
        <v>298.41500000000002</v>
      </c>
      <c r="AF176" s="27"/>
      <c r="AG176" s="27">
        <f>33.59+26.41/2</f>
        <v>46.795000000000002</v>
      </c>
      <c r="AH176" s="27"/>
      <c r="AI176" s="28"/>
      <c r="AJ176" s="32"/>
      <c r="AK176" s="33">
        <v>516</v>
      </c>
      <c r="AL176" s="33"/>
      <c r="AM176" s="33">
        <f>+(AE176+AG176)/AK176</f>
        <v>0.66901162790697677</v>
      </c>
      <c r="AN176" s="33"/>
      <c r="AO176" s="33"/>
      <c r="AP176" s="34">
        <v>12368.15</v>
      </c>
      <c r="AQ176" s="33" t="s">
        <v>36</v>
      </c>
      <c r="AR176" s="34" t="s">
        <v>839</v>
      </c>
      <c r="AS176" s="35">
        <v>44775</v>
      </c>
      <c r="AT176" s="36"/>
      <c r="AU176" s="134">
        <v>44769</v>
      </c>
      <c r="AV176" s="19"/>
      <c r="AW176" s="19"/>
      <c r="AX176" s="19"/>
      <c r="AY176" s="19"/>
      <c r="AZ176" s="19"/>
      <c r="BA176" s="19"/>
      <c r="BB176" s="19"/>
      <c r="BC176" s="19"/>
      <c r="BD176" s="19"/>
      <c r="BE176" s="19"/>
      <c r="BF176" s="19"/>
      <c r="BG176" s="20"/>
      <c r="BH176" s="20"/>
      <c r="BI176" s="20"/>
      <c r="BJ176" s="20"/>
      <c r="BK176" s="20"/>
      <c r="BL176" s="20"/>
      <c r="BM176" s="20"/>
      <c r="BN176" s="20"/>
      <c r="BO176" s="20"/>
      <c r="BP176" s="20"/>
      <c r="BQ176" s="20"/>
      <c r="BR176" s="20"/>
      <c r="BS176" s="20"/>
      <c r="BT176" s="20"/>
      <c r="BU176" s="20"/>
      <c r="BV176" s="20"/>
      <c r="IP176" s="20"/>
      <c r="IQ176" s="20"/>
      <c r="IR176" s="20"/>
      <c r="IS176" s="20"/>
      <c r="IT176" s="20"/>
      <c r="IU176" s="20"/>
      <c r="IV176" s="20"/>
    </row>
    <row r="177" spans="1:256" s="132" customFormat="1" ht="102">
      <c r="A177" s="155"/>
      <c r="B177" s="156">
        <v>167</v>
      </c>
      <c r="C177" s="156">
        <v>540007</v>
      </c>
      <c r="D177" s="157">
        <v>44607</v>
      </c>
      <c r="E177" s="124">
        <v>31721</v>
      </c>
      <c r="F177" s="124">
        <v>1904</v>
      </c>
      <c r="G177" s="124">
        <v>136</v>
      </c>
      <c r="H177" s="98"/>
      <c r="I177" s="98"/>
      <c r="J177" s="158">
        <v>228</v>
      </c>
      <c r="K177" s="98">
        <v>3</v>
      </c>
      <c r="L177" s="158" t="s">
        <v>60</v>
      </c>
      <c r="M177" s="98" t="s">
        <v>433</v>
      </c>
      <c r="N177" s="159" t="s">
        <v>434</v>
      </c>
      <c r="O177" s="98"/>
      <c r="P177" s="98" t="s">
        <v>115</v>
      </c>
      <c r="Q177" s="98" t="s">
        <v>115</v>
      </c>
      <c r="R177" s="98" t="s">
        <v>115</v>
      </c>
      <c r="S177" s="98" t="s">
        <v>840</v>
      </c>
      <c r="T177" s="98"/>
      <c r="U177" s="98"/>
      <c r="V177" s="98">
        <v>1</v>
      </c>
      <c r="W177" s="98"/>
      <c r="X177" s="98" t="s">
        <v>65</v>
      </c>
      <c r="Y177" s="31"/>
      <c r="Z177" s="31">
        <v>3</v>
      </c>
      <c r="AA177" s="31">
        <f>2+2</f>
        <v>4</v>
      </c>
      <c r="AB177" s="31"/>
      <c r="AC177" s="31"/>
      <c r="AD177" s="31">
        <f>+Z177*2</f>
        <v>6</v>
      </c>
      <c r="AE177" s="98">
        <f>118.63+6.07/2</f>
        <v>121.66499999999999</v>
      </c>
      <c r="AF177" s="98"/>
      <c r="AG177" s="98">
        <v>16.22</v>
      </c>
      <c r="AH177" s="98"/>
      <c r="AI177" s="98">
        <f>98.97+32.54/2</f>
        <v>115.24</v>
      </c>
      <c r="AJ177" s="125"/>
      <c r="AK177" s="125">
        <v>250.86</v>
      </c>
      <c r="AL177" s="125">
        <f>+(91.17+5.53+3.16+4.59+15.81)/AK177</f>
        <v>0.47939089532009888</v>
      </c>
      <c r="AM177" s="125">
        <f>+(AE177+AG177+AI177)/AK177</f>
        <v>1.0090289404448696</v>
      </c>
      <c r="AN177" s="125"/>
      <c r="AO177" s="125">
        <f>+(5*24483+19581*5+14688*6+4*9793)/20*(AI177+AG177)+21541.21</f>
        <v>2306447.4699999997</v>
      </c>
      <c r="AP177" s="126">
        <v>13247.72</v>
      </c>
      <c r="AQ177" s="125" t="s">
        <v>71</v>
      </c>
      <c r="AR177" s="126" t="s">
        <v>841</v>
      </c>
      <c r="AS177" s="127">
        <v>44775</v>
      </c>
      <c r="AT177" s="128"/>
      <c r="AU177" s="160" t="s">
        <v>436</v>
      </c>
      <c r="AV177" s="130"/>
      <c r="AW177" s="130"/>
      <c r="AX177" s="130"/>
      <c r="AY177" s="130"/>
      <c r="AZ177" s="130"/>
      <c r="BA177" s="130"/>
      <c r="BB177" s="130"/>
      <c r="BC177" s="130"/>
      <c r="BD177" s="130"/>
      <c r="BE177" s="130"/>
      <c r="BF177" s="130"/>
      <c r="BG177" s="131"/>
      <c r="BH177" s="131"/>
      <c r="BI177" s="131"/>
      <c r="BJ177" s="131"/>
      <c r="BK177" s="131"/>
      <c r="BL177" s="131"/>
      <c r="BM177" s="131"/>
      <c r="BN177" s="131"/>
      <c r="BO177" s="131"/>
      <c r="BP177" s="131"/>
      <c r="BQ177" s="131"/>
      <c r="BR177" s="131"/>
      <c r="BS177" s="131"/>
      <c r="BT177" s="131"/>
      <c r="BU177" s="131"/>
      <c r="BV177" s="131"/>
      <c r="IP177" s="131"/>
      <c r="IQ177" s="131"/>
      <c r="IR177" s="131"/>
      <c r="IS177" s="131"/>
      <c r="IT177" s="131"/>
      <c r="IU177" s="131"/>
      <c r="IV177" s="131"/>
    </row>
    <row r="178" spans="1:256" s="21" customFormat="1" ht="63.75">
      <c r="A178" s="22"/>
      <c r="B178" s="64">
        <v>172</v>
      </c>
      <c r="C178" s="64">
        <v>540668</v>
      </c>
      <c r="D178" s="66">
        <v>44634</v>
      </c>
      <c r="E178" s="26">
        <v>10614</v>
      </c>
      <c r="F178" s="26">
        <v>1188</v>
      </c>
      <c r="G178" s="26">
        <v>861</v>
      </c>
      <c r="H178" s="27"/>
      <c r="I178" s="27"/>
      <c r="J178" s="27">
        <v>227</v>
      </c>
      <c r="K178" s="27">
        <v>5</v>
      </c>
      <c r="L178" s="27" t="s">
        <v>31</v>
      </c>
      <c r="M178" s="27" t="s">
        <v>842</v>
      </c>
      <c r="N178" s="27" t="s">
        <v>843</v>
      </c>
      <c r="O178" s="27"/>
      <c r="P178" s="27" t="s">
        <v>99</v>
      </c>
      <c r="Q178" s="27"/>
      <c r="R178" s="27"/>
      <c r="S178" s="27"/>
      <c r="T178" s="27">
        <v>1</v>
      </c>
      <c r="U178" s="28"/>
      <c r="V178" s="27"/>
      <c r="W178" s="27"/>
      <c r="X178" s="27" t="s">
        <v>151</v>
      </c>
      <c r="Y178" s="29"/>
      <c r="Z178" s="30"/>
      <c r="AA178" s="31"/>
      <c r="AB178" s="30"/>
      <c r="AC178" s="31"/>
      <c r="AD178" s="30"/>
      <c r="AE178" s="27">
        <v>54</v>
      </c>
      <c r="AF178" s="27">
        <v>75</v>
      </c>
      <c r="AG178" s="27">
        <v>118.15</v>
      </c>
      <c r="AH178" s="27">
        <v>67</v>
      </c>
      <c r="AI178" s="28"/>
      <c r="AJ178" s="32"/>
      <c r="AK178" s="33">
        <v>386.2</v>
      </c>
      <c r="AL178" s="33"/>
      <c r="AM178" s="33"/>
      <c r="AN178" s="33"/>
      <c r="AO178" s="33"/>
      <c r="AP178" s="34">
        <v>18204.97</v>
      </c>
      <c r="AQ178" s="33" t="s">
        <v>71</v>
      </c>
      <c r="AR178" s="34" t="s">
        <v>844</v>
      </c>
      <c r="AS178" s="35">
        <v>44778</v>
      </c>
      <c r="AT178" s="36"/>
      <c r="AU178" s="37">
        <v>44637</v>
      </c>
      <c r="AV178" s="19"/>
      <c r="AW178" s="19"/>
      <c r="AX178" s="19"/>
      <c r="AY178" s="19"/>
      <c r="AZ178" s="19"/>
      <c r="BA178" s="19"/>
      <c r="BB178" s="19"/>
      <c r="BC178" s="19"/>
      <c r="BD178" s="19"/>
      <c r="BE178" s="19"/>
      <c r="BF178" s="19"/>
      <c r="BG178" s="20"/>
      <c r="BH178" s="20"/>
      <c r="BI178" s="20"/>
      <c r="BJ178" s="20"/>
      <c r="BK178" s="20"/>
      <c r="BL178" s="20"/>
      <c r="BM178" s="20"/>
      <c r="BN178" s="20"/>
      <c r="BO178" s="20"/>
      <c r="BP178" s="20"/>
      <c r="BQ178" s="20"/>
      <c r="BR178" s="20"/>
      <c r="BS178" s="20"/>
      <c r="BT178" s="20"/>
      <c r="BU178" s="20"/>
      <c r="BV178" s="20"/>
      <c r="IP178" s="20"/>
      <c r="IQ178" s="20"/>
      <c r="IR178" s="20"/>
      <c r="IS178" s="20"/>
      <c r="IT178" s="20"/>
      <c r="IU178" s="20"/>
      <c r="IV178" s="20"/>
    </row>
    <row r="179" spans="1:256" s="21" customFormat="1" ht="51">
      <c r="A179" s="22"/>
      <c r="B179" s="64">
        <v>169</v>
      </c>
      <c r="C179" s="64">
        <v>543111</v>
      </c>
      <c r="D179" s="66">
        <v>44721</v>
      </c>
      <c r="E179" s="26"/>
      <c r="F179" s="26">
        <v>164583</v>
      </c>
      <c r="G179" s="26">
        <v>21340</v>
      </c>
      <c r="H179" s="27"/>
      <c r="I179" s="27">
        <v>26</v>
      </c>
      <c r="J179" s="27">
        <v>336</v>
      </c>
      <c r="K179" s="27">
        <v>16</v>
      </c>
      <c r="L179" s="27" t="s">
        <v>38</v>
      </c>
      <c r="M179" s="27" t="s">
        <v>845</v>
      </c>
      <c r="N179" s="27" t="s">
        <v>846</v>
      </c>
      <c r="O179" s="27"/>
      <c r="P179" s="27" t="s">
        <v>347</v>
      </c>
      <c r="Q179" s="27" t="s">
        <v>347</v>
      </c>
      <c r="R179" s="27" t="s">
        <v>347</v>
      </c>
      <c r="S179" s="27" t="s">
        <v>347</v>
      </c>
      <c r="T179" s="27">
        <v>1</v>
      </c>
      <c r="U179" s="28"/>
      <c r="V179" s="27"/>
      <c r="W179" s="27"/>
      <c r="X179" s="27" t="s">
        <v>65</v>
      </c>
      <c r="Y179" s="29">
        <v>2</v>
      </c>
      <c r="Z179" s="30"/>
      <c r="AA179" s="31">
        <f>+Y179+1</f>
        <v>3</v>
      </c>
      <c r="AB179" s="30"/>
      <c r="AC179" s="31">
        <f>+Y179*2</f>
        <v>4</v>
      </c>
      <c r="AD179" s="30"/>
      <c r="AE179" s="27"/>
      <c r="AF179" s="27"/>
      <c r="AG179" s="27">
        <f>71.24+4.34/2</f>
        <v>73.41</v>
      </c>
      <c r="AH179" s="27"/>
      <c r="AI179" s="28"/>
      <c r="AJ179" s="32"/>
      <c r="AK179" s="33">
        <v>306.67</v>
      </c>
      <c r="AL179" s="33">
        <f>(71.24+4.34)/AK179</f>
        <v>0.246453842893012</v>
      </c>
      <c r="AM179" s="33">
        <f>+AG179/AK179</f>
        <v>0.23937783284964292</v>
      </c>
      <c r="AN179" s="33"/>
      <c r="AO179" s="33">
        <f>+(3*24483+8*19581+6*14688+9793*3)/20*AG179</f>
        <v>1275880.4820000001</v>
      </c>
      <c r="AP179" s="34">
        <v>26674.59</v>
      </c>
      <c r="AQ179" s="33" t="s">
        <v>71</v>
      </c>
      <c r="AR179" s="34" t="s">
        <v>847</v>
      </c>
      <c r="AS179" s="35">
        <v>44776</v>
      </c>
      <c r="AT179" s="36"/>
      <c r="AU179" s="43" t="s">
        <v>848</v>
      </c>
      <c r="AV179" s="19"/>
      <c r="AW179" s="19"/>
      <c r="AX179" s="19"/>
      <c r="AY179" s="19"/>
      <c r="AZ179" s="19"/>
      <c r="BA179" s="19"/>
      <c r="BB179" s="19"/>
      <c r="BC179" s="19"/>
      <c r="BD179" s="19"/>
      <c r="BE179" s="19"/>
      <c r="BF179" s="19"/>
      <c r="BG179" s="20"/>
      <c r="BH179" s="20"/>
      <c r="BI179" s="20"/>
      <c r="BJ179" s="20"/>
      <c r="BK179" s="20"/>
      <c r="BL179" s="20"/>
      <c r="BM179" s="20"/>
      <c r="BN179" s="20"/>
      <c r="BO179" s="20"/>
      <c r="BP179" s="20"/>
      <c r="BQ179" s="20"/>
      <c r="BR179" s="20"/>
      <c r="BS179" s="20"/>
      <c r="BT179" s="20"/>
      <c r="BU179" s="20"/>
      <c r="BV179" s="20"/>
      <c r="IP179" s="20"/>
      <c r="IQ179" s="20"/>
      <c r="IR179" s="20"/>
      <c r="IS179" s="20"/>
      <c r="IT179" s="20"/>
      <c r="IU179" s="20"/>
      <c r="IV179" s="20"/>
    </row>
    <row r="180" spans="1:256" s="21" customFormat="1" ht="89.25">
      <c r="A180" s="135"/>
      <c r="B180" s="24">
        <v>173</v>
      </c>
      <c r="C180" s="24">
        <v>543881</v>
      </c>
      <c r="D180" s="25">
        <v>44760</v>
      </c>
      <c r="E180" s="26">
        <v>14992</v>
      </c>
      <c r="F180" s="26">
        <v>1290</v>
      </c>
      <c r="G180" s="26">
        <v>4733</v>
      </c>
      <c r="H180" s="27"/>
      <c r="I180" s="27"/>
      <c r="J180" s="27">
        <v>18</v>
      </c>
      <c r="K180" s="27">
        <v>9</v>
      </c>
      <c r="L180" s="27" t="s">
        <v>46</v>
      </c>
      <c r="M180" s="27" t="s">
        <v>849</v>
      </c>
      <c r="N180" s="27" t="s">
        <v>850</v>
      </c>
      <c r="O180" s="27"/>
      <c r="P180" s="27" t="s">
        <v>478</v>
      </c>
      <c r="Q180" s="27"/>
      <c r="R180" s="27"/>
      <c r="S180" s="27"/>
      <c r="T180" s="27">
        <f>1+1</f>
        <v>2</v>
      </c>
      <c r="U180" s="28"/>
      <c r="V180" s="27"/>
      <c r="W180" s="27"/>
      <c r="X180" s="27" t="s">
        <v>77</v>
      </c>
      <c r="Y180" s="29">
        <f>3+2</f>
        <v>5</v>
      </c>
      <c r="Z180" s="30"/>
      <c r="AA180" s="31">
        <f>+Y180+2+1</f>
        <v>8</v>
      </c>
      <c r="AB180" s="30"/>
      <c r="AC180" s="31">
        <f>+Y180*2</f>
        <v>10</v>
      </c>
      <c r="AD180" s="30"/>
      <c r="AE180" s="27">
        <f>103.07+11.77/2</f>
        <v>108.955</v>
      </c>
      <c r="AF180" s="27"/>
      <c r="AG180" s="27">
        <f>89.41+29.22/2</f>
        <v>104.02</v>
      </c>
      <c r="AH180" s="27"/>
      <c r="AI180" s="28"/>
      <c r="AJ180" s="32"/>
      <c r="AK180" s="33">
        <v>413.81</v>
      </c>
      <c r="AL180" s="33">
        <f>+(103.07+11.77)/AK180</f>
        <v>0.27751866798772379</v>
      </c>
      <c r="AM180" s="33">
        <f>+(AE180+AG180)/AK180</f>
        <v>0.51466856770015224</v>
      </c>
      <c r="AN180" s="33"/>
      <c r="AO180" s="33"/>
      <c r="AP180" s="34">
        <v>2168</v>
      </c>
      <c r="AQ180" s="33" t="s">
        <v>71</v>
      </c>
      <c r="AR180" s="34" t="s">
        <v>851</v>
      </c>
      <c r="AS180" s="35">
        <v>44781</v>
      </c>
      <c r="AT180" s="36"/>
      <c r="AU180" s="134"/>
      <c r="AV180" s="19"/>
      <c r="AW180" s="19"/>
      <c r="AX180" s="19"/>
      <c r="AY180" s="19"/>
      <c r="AZ180" s="19"/>
      <c r="BA180" s="19"/>
      <c r="BB180" s="19"/>
      <c r="BC180" s="19"/>
      <c r="BD180" s="19"/>
      <c r="BE180" s="19"/>
      <c r="BF180" s="19"/>
      <c r="BG180" s="20"/>
      <c r="BH180" s="20"/>
      <c r="BI180" s="20"/>
      <c r="BJ180" s="20"/>
      <c r="BK180" s="20"/>
      <c r="BL180" s="20"/>
      <c r="BM180" s="20"/>
      <c r="BN180" s="20"/>
      <c r="BO180" s="20"/>
      <c r="BP180" s="20"/>
      <c r="BQ180" s="20"/>
      <c r="BR180" s="20"/>
      <c r="BS180" s="20"/>
      <c r="BT180" s="20"/>
      <c r="BU180" s="20"/>
      <c r="BV180" s="20"/>
      <c r="IP180" s="20"/>
      <c r="IQ180" s="20"/>
      <c r="IR180" s="20"/>
      <c r="IS180" s="20"/>
      <c r="IT180" s="20"/>
      <c r="IU180" s="20"/>
      <c r="IV180" s="20"/>
    </row>
    <row r="181" spans="1:256" s="21" customFormat="1" ht="51">
      <c r="A181" s="135"/>
      <c r="B181" s="39">
        <v>168</v>
      </c>
      <c r="C181" s="39" t="s">
        <v>852</v>
      </c>
      <c r="D181" s="25">
        <v>44511</v>
      </c>
      <c r="E181" s="26">
        <v>60202</v>
      </c>
      <c r="F181" s="26">
        <v>168332</v>
      </c>
      <c r="G181" s="26">
        <v>33905</v>
      </c>
      <c r="H181" s="27">
        <v>111</v>
      </c>
      <c r="I181" s="27"/>
      <c r="J181" s="27">
        <v>4</v>
      </c>
      <c r="K181" s="27">
        <v>6</v>
      </c>
      <c r="L181" s="27" t="s">
        <v>337</v>
      </c>
      <c r="M181" s="27" t="s">
        <v>853</v>
      </c>
      <c r="N181" s="27" t="s">
        <v>854</v>
      </c>
      <c r="O181" s="27"/>
      <c r="P181" s="27" t="s">
        <v>660</v>
      </c>
      <c r="Q181" s="27" t="s">
        <v>660</v>
      </c>
      <c r="R181" s="27" t="s">
        <v>660</v>
      </c>
      <c r="S181" s="27" t="s">
        <v>855</v>
      </c>
      <c r="T181" s="27"/>
      <c r="U181" s="28">
        <v>1</v>
      </c>
      <c r="V181" s="27"/>
      <c r="W181" s="27"/>
      <c r="X181" s="27" t="s">
        <v>65</v>
      </c>
      <c r="Y181" s="29"/>
      <c r="Z181" s="30">
        <v>2</v>
      </c>
      <c r="AA181" s="31"/>
      <c r="AB181" s="30">
        <f>+Z181+1</f>
        <v>3</v>
      </c>
      <c r="AC181" s="31"/>
      <c r="AD181" s="30">
        <f>+Z181*2</f>
        <v>4</v>
      </c>
      <c r="AE181" s="27"/>
      <c r="AF181" s="27"/>
      <c r="AG181" s="27"/>
      <c r="AH181" s="27"/>
      <c r="AI181" s="28">
        <f>75.7+45.3/2</f>
        <v>98.35</v>
      </c>
      <c r="AJ181" s="32"/>
      <c r="AK181" s="33">
        <v>2360</v>
      </c>
      <c r="AL181" s="33">
        <f>+(75.7+45.3)/AK181</f>
        <v>5.1271186440677963E-2</v>
      </c>
      <c r="AM181" s="33">
        <f>+AI181/AK181</f>
        <v>4.1673728813559317E-2</v>
      </c>
      <c r="AN181" s="33"/>
      <c r="AO181" s="33">
        <f>+(3*24483+10*19581+6*14688+9793*1)/20*AI181</f>
        <v>1805607.65</v>
      </c>
      <c r="AP181" s="34">
        <v>28282.52</v>
      </c>
      <c r="AQ181" s="33" t="s">
        <v>51</v>
      </c>
      <c r="AR181" s="34" t="s">
        <v>856</v>
      </c>
      <c r="AS181" s="35">
        <v>44776</v>
      </c>
      <c r="AT181" s="36"/>
      <c r="AU181" s="34" t="s">
        <v>857</v>
      </c>
      <c r="AV181" s="19"/>
      <c r="AW181" s="19"/>
      <c r="AX181" s="19"/>
      <c r="AY181" s="19"/>
      <c r="AZ181" s="19"/>
      <c r="BA181" s="19"/>
      <c r="BB181" s="19"/>
      <c r="BC181" s="19"/>
      <c r="BD181" s="19"/>
      <c r="BE181" s="19"/>
      <c r="BF181" s="19"/>
      <c r="BG181" s="20"/>
      <c r="BH181" s="20"/>
      <c r="BI181" s="20"/>
      <c r="BJ181" s="20"/>
      <c r="BK181" s="20"/>
      <c r="BL181" s="20"/>
      <c r="BM181" s="20"/>
      <c r="BN181" s="20"/>
      <c r="BO181" s="20"/>
      <c r="BP181" s="20"/>
      <c r="BQ181" s="20"/>
      <c r="BR181" s="20"/>
      <c r="BS181" s="20"/>
      <c r="BT181" s="20"/>
      <c r="BU181" s="20"/>
      <c r="BV181" s="20"/>
      <c r="IP181" s="20"/>
      <c r="IQ181" s="20"/>
      <c r="IR181" s="20"/>
      <c r="IS181" s="20"/>
      <c r="IT181" s="20"/>
      <c r="IU181" s="20"/>
      <c r="IV181" s="20"/>
    </row>
    <row r="182" spans="1:256" s="21" customFormat="1" ht="51">
      <c r="A182" s="135"/>
      <c r="B182" s="24">
        <v>171</v>
      </c>
      <c r="C182" s="161" t="s">
        <v>858</v>
      </c>
      <c r="D182" s="25">
        <v>44700</v>
      </c>
      <c r="E182" s="26"/>
      <c r="F182" s="26"/>
      <c r="G182" s="26">
        <v>30561</v>
      </c>
      <c r="H182" s="27">
        <v>327</v>
      </c>
      <c r="I182" s="27"/>
      <c r="J182" s="27">
        <v>5</v>
      </c>
      <c r="K182" s="27">
        <v>18</v>
      </c>
      <c r="L182" s="27" t="s">
        <v>74</v>
      </c>
      <c r="M182" s="27" t="s">
        <v>642</v>
      </c>
      <c r="N182" s="27" t="s">
        <v>859</v>
      </c>
      <c r="O182" s="27"/>
      <c r="P182" s="27" t="s">
        <v>860</v>
      </c>
      <c r="Q182" s="27"/>
      <c r="R182" s="27"/>
      <c r="S182" s="27"/>
      <c r="T182" s="27">
        <v>1</v>
      </c>
      <c r="U182" s="28"/>
      <c r="V182" s="27"/>
      <c r="W182" s="27"/>
      <c r="X182" s="27" t="s">
        <v>65</v>
      </c>
      <c r="Y182" s="29">
        <v>1</v>
      </c>
      <c r="Z182" s="30"/>
      <c r="AA182" s="31">
        <f>+Y182+1</f>
        <v>2</v>
      </c>
      <c r="AB182" s="30"/>
      <c r="AC182" s="31">
        <f>+Y182*2</f>
        <v>2</v>
      </c>
      <c r="AD182" s="30"/>
      <c r="AE182" s="27"/>
      <c r="AF182" s="27"/>
      <c r="AG182" s="27">
        <f>36.72+22.32/2</f>
        <v>47.879999999999995</v>
      </c>
      <c r="AH182" s="27"/>
      <c r="AI182" s="28"/>
      <c r="AJ182" s="32"/>
      <c r="AK182" s="33">
        <v>374.5</v>
      </c>
      <c r="AL182" s="33">
        <f>+(36.72+22.32)/AK182</f>
        <v>0.1576502002670227</v>
      </c>
      <c r="AM182" s="33">
        <f>+AG182/AK182</f>
        <v>0.1278504672897196</v>
      </c>
      <c r="AN182" s="33"/>
      <c r="AO182" s="33">
        <f>+(6*24483+2*19581+6*14688+9793*11)/25*AG182</f>
        <v>731435.94719999994</v>
      </c>
      <c r="AP182" s="34">
        <v>12549.77</v>
      </c>
      <c r="AQ182" s="33" t="s">
        <v>71</v>
      </c>
      <c r="AR182" s="34" t="s">
        <v>861</v>
      </c>
      <c r="AS182" s="35">
        <v>44777</v>
      </c>
      <c r="AT182" s="36"/>
      <c r="AU182" s="134">
        <v>44774</v>
      </c>
      <c r="AV182" s="19"/>
      <c r="AW182" s="19"/>
      <c r="AX182" s="19"/>
      <c r="AY182" s="19"/>
      <c r="AZ182" s="19"/>
      <c r="BA182" s="19"/>
      <c r="BB182" s="19"/>
      <c r="BC182" s="19"/>
      <c r="BD182" s="19"/>
      <c r="BE182" s="19"/>
      <c r="BF182" s="19"/>
      <c r="BG182" s="20"/>
      <c r="BH182" s="20"/>
      <c r="BI182" s="20"/>
      <c r="BJ182" s="20"/>
      <c r="BK182" s="20"/>
      <c r="BL182" s="20"/>
      <c r="BM182" s="20"/>
      <c r="BN182" s="20"/>
      <c r="BO182" s="20"/>
      <c r="BP182" s="20"/>
      <c r="BQ182" s="20"/>
      <c r="BR182" s="20"/>
      <c r="BS182" s="20"/>
      <c r="BT182" s="20"/>
      <c r="BU182" s="20"/>
      <c r="BV182" s="20"/>
      <c r="IP182" s="20"/>
      <c r="IQ182" s="20"/>
      <c r="IR182" s="20"/>
      <c r="IS182" s="20"/>
      <c r="IT182" s="20"/>
      <c r="IU182" s="20"/>
      <c r="IV182" s="20"/>
    </row>
    <row r="183" spans="1:256" s="21" customFormat="1" ht="38.25">
      <c r="A183" s="135"/>
      <c r="B183" s="64">
        <v>170</v>
      </c>
      <c r="C183" s="161">
        <v>543657</v>
      </c>
      <c r="D183" s="25">
        <v>44525</v>
      </c>
      <c r="E183" s="26">
        <v>6044</v>
      </c>
      <c r="F183" s="26"/>
      <c r="G183" s="26"/>
      <c r="H183" s="27" t="s">
        <v>862</v>
      </c>
      <c r="I183" s="27"/>
      <c r="J183" s="27">
        <v>89</v>
      </c>
      <c r="K183" s="27"/>
      <c r="L183" s="27" t="s">
        <v>31</v>
      </c>
      <c r="M183" s="27" t="s">
        <v>863</v>
      </c>
      <c r="N183" s="27" t="s">
        <v>864</v>
      </c>
      <c r="O183" s="27" t="s">
        <v>865</v>
      </c>
      <c r="P183" s="27" t="s">
        <v>478</v>
      </c>
      <c r="Q183" s="27"/>
      <c r="R183" s="27"/>
      <c r="S183" s="27"/>
      <c r="T183" s="27"/>
      <c r="U183" s="28">
        <v>1</v>
      </c>
      <c r="V183" s="27"/>
      <c r="W183" s="27"/>
      <c r="X183" s="27" t="s">
        <v>866</v>
      </c>
      <c r="Y183" s="29"/>
      <c r="Z183" s="30"/>
      <c r="AA183" s="31"/>
      <c r="AB183" s="30"/>
      <c r="AC183" s="31"/>
      <c r="AD183" s="30"/>
      <c r="AE183" s="27"/>
      <c r="AF183" s="27"/>
      <c r="AG183" s="27"/>
      <c r="AH183" s="27"/>
      <c r="AI183" s="28"/>
      <c r="AJ183" s="32"/>
      <c r="AK183" s="33"/>
      <c r="AL183" s="33"/>
      <c r="AM183" s="33"/>
      <c r="AN183" s="33"/>
      <c r="AO183" s="33">
        <v>60000</v>
      </c>
      <c r="AP183" s="34">
        <v>17005</v>
      </c>
      <c r="AQ183" s="33" t="s">
        <v>71</v>
      </c>
      <c r="AR183" s="34" t="s">
        <v>867</v>
      </c>
      <c r="AS183" s="35">
        <v>44776</v>
      </c>
      <c r="AT183" s="36"/>
      <c r="AU183" s="37">
        <v>44750</v>
      </c>
      <c r="AV183" s="19"/>
      <c r="AW183" s="19"/>
      <c r="AX183" s="19"/>
      <c r="AY183" s="19"/>
      <c r="AZ183" s="19"/>
      <c r="BA183" s="19"/>
      <c r="BB183" s="19"/>
      <c r="BC183" s="19"/>
      <c r="BD183" s="19"/>
      <c r="BE183" s="19"/>
      <c r="BF183" s="19"/>
      <c r="BG183" s="20"/>
      <c r="BH183" s="20"/>
      <c r="BI183" s="20"/>
      <c r="BJ183" s="20"/>
      <c r="BK183" s="20"/>
      <c r="BL183" s="20"/>
      <c r="BM183" s="20"/>
      <c r="BN183" s="20"/>
      <c r="BO183" s="20"/>
      <c r="BP183" s="20"/>
      <c r="BQ183" s="20"/>
      <c r="BR183" s="20"/>
      <c r="BS183" s="20"/>
      <c r="BT183" s="20"/>
      <c r="BU183" s="20"/>
      <c r="BV183" s="20"/>
      <c r="IP183" s="20"/>
      <c r="IQ183" s="20"/>
      <c r="IR183" s="20"/>
      <c r="IS183" s="20"/>
      <c r="IT183" s="20"/>
      <c r="IU183" s="20"/>
      <c r="IV183" s="20"/>
    </row>
    <row r="184" spans="1:256" s="21" customFormat="1" ht="51">
      <c r="A184" s="135"/>
      <c r="B184" s="39">
        <v>175</v>
      </c>
      <c r="C184" s="39">
        <v>540133</v>
      </c>
      <c r="D184" s="100">
        <v>44610</v>
      </c>
      <c r="E184" s="26"/>
      <c r="F184" s="26"/>
      <c r="G184" s="26"/>
      <c r="H184" s="27"/>
      <c r="I184" s="27"/>
      <c r="J184" s="101">
        <v>736</v>
      </c>
      <c r="K184" s="27">
        <v>10</v>
      </c>
      <c r="L184" s="101" t="s">
        <v>60</v>
      </c>
      <c r="M184" s="27" t="s">
        <v>868</v>
      </c>
      <c r="N184" s="102" t="s">
        <v>869</v>
      </c>
      <c r="O184" s="27"/>
      <c r="P184" s="27" t="s">
        <v>56</v>
      </c>
      <c r="Q184" s="27"/>
      <c r="R184" s="27"/>
      <c r="S184" s="27"/>
      <c r="T184" s="27">
        <v>3</v>
      </c>
      <c r="U184" s="28"/>
      <c r="V184" s="27"/>
      <c r="W184" s="27"/>
      <c r="X184" s="27" t="s">
        <v>77</v>
      </c>
      <c r="Y184" s="29">
        <f>1+1+1</f>
        <v>3</v>
      </c>
      <c r="Z184" s="30"/>
      <c r="AA184" s="31">
        <f>+Y184+1+1+1</f>
        <v>6</v>
      </c>
      <c r="AB184" s="30"/>
      <c r="AC184" s="31">
        <f>+Y184*2</f>
        <v>6</v>
      </c>
      <c r="AD184" s="30"/>
      <c r="AE184" s="27"/>
      <c r="AF184" s="27"/>
      <c r="AG184" s="27">
        <f>105.85+87.47/2</f>
        <v>149.58499999999998</v>
      </c>
      <c r="AH184" s="27"/>
      <c r="AI184" s="28"/>
      <c r="AJ184" s="32"/>
      <c r="AK184" s="33">
        <v>250</v>
      </c>
      <c r="AL184" s="33">
        <f>+(105.85+87.47)/AK184</f>
        <v>0.77327999999999997</v>
      </c>
      <c r="AM184" s="33">
        <f>+AG184/AK184</f>
        <v>0.59833999999999987</v>
      </c>
      <c r="AN184" s="33"/>
      <c r="AO184" s="33"/>
      <c r="AP184" s="34"/>
      <c r="AQ184" s="33"/>
      <c r="AR184" s="34" t="s">
        <v>870</v>
      </c>
      <c r="AS184" s="35"/>
      <c r="AT184" s="36"/>
      <c r="AU184" s="134"/>
      <c r="AV184" s="19"/>
      <c r="AW184" s="19"/>
      <c r="AX184" s="19"/>
      <c r="AY184" s="19"/>
      <c r="AZ184" s="19"/>
      <c r="BA184" s="19"/>
      <c r="BB184" s="19"/>
      <c r="BC184" s="19"/>
      <c r="BD184" s="19"/>
      <c r="BE184" s="19"/>
      <c r="BF184" s="19"/>
      <c r="BG184" s="20"/>
      <c r="BH184" s="20"/>
      <c r="BI184" s="20"/>
      <c r="BJ184" s="20"/>
      <c r="BK184" s="20"/>
      <c r="BL184" s="20"/>
      <c r="BM184" s="20"/>
      <c r="BN184" s="20"/>
      <c r="BO184" s="20"/>
      <c r="BP184" s="20"/>
      <c r="BQ184" s="20"/>
      <c r="BR184" s="20"/>
      <c r="BS184" s="20"/>
      <c r="BT184" s="20"/>
      <c r="BU184" s="20"/>
      <c r="BV184" s="20"/>
      <c r="IP184" s="20"/>
      <c r="IQ184" s="20"/>
      <c r="IR184" s="20"/>
      <c r="IS184" s="20"/>
      <c r="IT184" s="20"/>
      <c r="IU184" s="20"/>
      <c r="IV184" s="20"/>
    </row>
    <row r="185" spans="1:256" s="21" customFormat="1" ht="38.25">
      <c r="A185" s="135"/>
      <c r="B185" s="64">
        <v>174</v>
      </c>
      <c r="C185" s="150">
        <v>544273</v>
      </c>
      <c r="D185" s="162">
        <v>44775</v>
      </c>
      <c r="E185" s="26">
        <v>54980</v>
      </c>
      <c r="F185" s="26">
        <v>263788</v>
      </c>
      <c r="G185" s="26">
        <v>10015</v>
      </c>
      <c r="H185" s="27"/>
      <c r="I185" s="27"/>
      <c r="J185" s="27">
        <v>598</v>
      </c>
      <c r="K185" s="27">
        <v>20</v>
      </c>
      <c r="L185" s="27" t="s">
        <v>60</v>
      </c>
      <c r="M185" s="27" t="s">
        <v>871</v>
      </c>
      <c r="N185" s="27" t="s">
        <v>872</v>
      </c>
      <c r="O185" s="27"/>
      <c r="P185" s="27" t="s">
        <v>285</v>
      </c>
      <c r="Q185" s="27" t="s">
        <v>285</v>
      </c>
      <c r="R185" s="27" t="s">
        <v>285</v>
      </c>
      <c r="S185" s="27" t="s">
        <v>873</v>
      </c>
      <c r="T185" s="27"/>
      <c r="U185" s="27">
        <v>1</v>
      </c>
      <c r="V185" s="27"/>
      <c r="W185" s="27"/>
      <c r="X185" s="27" t="s">
        <v>65</v>
      </c>
      <c r="Y185" s="29"/>
      <c r="Z185" s="29">
        <v>2</v>
      </c>
      <c r="AA185" s="29"/>
      <c r="AB185" s="29">
        <f>+Z185+1</f>
        <v>3</v>
      </c>
      <c r="AC185" s="29"/>
      <c r="AD185" s="29">
        <f>+Z185*2</f>
        <v>4</v>
      </c>
      <c r="AE185" s="27"/>
      <c r="AF185" s="27"/>
      <c r="AG185" s="27"/>
      <c r="AH185" s="27"/>
      <c r="AI185" s="27">
        <v>59.63</v>
      </c>
      <c r="AJ185" s="33"/>
      <c r="AK185" s="163">
        <v>141.88</v>
      </c>
      <c r="AL185" s="33">
        <f>+AI185/AK185</f>
        <v>0.4202847476740908</v>
      </c>
      <c r="AM185" s="33">
        <f>+AI185/AK185</f>
        <v>0.4202847476740908</v>
      </c>
      <c r="AN185" s="33">
        <f>+(2+6+24)/(1+2+6)</f>
        <v>3.5555555555555554</v>
      </c>
      <c r="AO185" s="33">
        <f>+(3*24483+19581*3+5*14688+9793*9)/20*AI185</f>
        <v>875872.27350000013</v>
      </c>
      <c r="AP185" s="34">
        <v>5292.88</v>
      </c>
      <c r="AQ185" s="33" t="s">
        <v>71</v>
      </c>
      <c r="AR185" s="34" t="s">
        <v>874</v>
      </c>
      <c r="AS185" s="35">
        <v>44783</v>
      </c>
      <c r="AT185" s="36"/>
      <c r="AU185" s="104">
        <v>44777</v>
      </c>
      <c r="AV185" s="19"/>
      <c r="AW185" s="19"/>
      <c r="AX185" s="19"/>
      <c r="AY185" s="19"/>
      <c r="AZ185" s="19"/>
      <c r="BA185" s="19"/>
      <c r="BB185" s="19"/>
      <c r="BC185" s="19"/>
      <c r="BD185" s="19"/>
      <c r="BE185" s="19"/>
      <c r="BF185" s="19"/>
      <c r="BG185" s="20"/>
      <c r="BH185" s="20"/>
      <c r="BI185" s="20"/>
      <c r="BJ185" s="20"/>
      <c r="BK185" s="20"/>
      <c r="BL185" s="20"/>
      <c r="BM185" s="20"/>
      <c r="BN185" s="20"/>
      <c r="BO185" s="20"/>
      <c r="BP185" s="20"/>
      <c r="BQ185" s="20"/>
      <c r="BR185" s="20"/>
      <c r="BS185" s="20"/>
      <c r="BT185" s="20"/>
      <c r="BU185" s="20"/>
      <c r="BV185" s="20"/>
      <c r="IP185" s="20"/>
      <c r="IQ185" s="20"/>
      <c r="IR185" s="20"/>
      <c r="IS185" s="20"/>
      <c r="IT185" s="20"/>
      <c r="IU185" s="20"/>
      <c r="IV185" s="20"/>
    </row>
    <row r="186" spans="1:256" s="21" customFormat="1" ht="51">
      <c r="A186" s="135"/>
      <c r="B186" s="24">
        <v>177</v>
      </c>
      <c r="C186" s="24">
        <v>544183</v>
      </c>
      <c r="D186" s="25">
        <v>44771</v>
      </c>
      <c r="E186" s="26">
        <v>-38980</v>
      </c>
      <c r="F186" s="26">
        <v>137787</v>
      </c>
      <c r="G186" s="26">
        <v>31514</v>
      </c>
      <c r="H186" s="27">
        <v>331</v>
      </c>
      <c r="I186" s="27"/>
      <c r="J186" s="27">
        <v>1</v>
      </c>
      <c r="K186" s="27">
        <v>1</v>
      </c>
      <c r="L186" s="27" t="s">
        <v>875</v>
      </c>
      <c r="M186" s="27" t="s">
        <v>876</v>
      </c>
      <c r="N186" s="27" t="s">
        <v>877</v>
      </c>
      <c r="O186" s="27"/>
      <c r="P186" s="27" t="s">
        <v>99</v>
      </c>
      <c r="Q186" s="27" t="s">
        <v>99</v>
      </c>
      <c r="R186" s="27" t="s">
        <v>99</v>
      </c>
      <c r="S186" s="27" t="s">
        <v>100</v>
      </c>
      <c r="T186" s="27"/>
      <c r="U186" s="28">
        <v>1</v>
      </c>
      <c r="V186" s="27"/>
      <c r="W186" s="27"/>
      <c r="X186" s="27" t="s">
        <v>65</v>
      </c>
      <c r="Y186" s="29"/>
      <c r="Z186" s="30">
        <v>2</v>
      </c>
      <c r="AA186" s="31"/>
      <c r="AB186" s="30">
        <f>+Z186+1</f>
        <v>3</v>
      </c>
      <c r="AC186" s="31"/>
      <c r="AD186" s="30">
        <f>+Z186*2</f>
        <v>4</v>
      </c>
      <c r="AE186" s="27"/>
      <c r="AF186" s="27"/>
      <c r="AG186" s="27"/>
      <c r="AH186" s="27"/>
      <c r="AI186" s="28">
        <f>69.5+20.8/2</f>
        <v>79.900000000000006</v>
      </c>
      <c r="AJ186" s="32"/>
      <c r="AK186" s="33">
        <v>739.47</v>
      </c>
      <c r="AL186" s="33">
        <f>+(69.5+20.8)/AK186</f>
        <v>0.12211448740314008</v>
      </c>
      <c r="AM186" s="33">
        <f>+AI186/AK186</f>
        <v>0.10805036039325464</v>
      </c>
      <c r="AN186" s="33">
        <f>+(1+4+18+4)/(1+2+8+1)</f>
        <v>2.25</v>
      </c>
      <c r="AO186" s="33">
        <f>+(11*19581+14688*6+3*9793)/20*AI186</f>
        <v>1329927.5100000002</v>
      </c>
      <c r="AP186" s="34">
        <v>4712.76</v>
      </c>
      <c r="AQ186" s="33" t="s">
        <v>71</v>
      </c>
      <c r="AR186" s="34" t="s">
        <v>878</v>
      </c>
      <c r="AS186" s="35">
        <v>44789</v>
      </c>
      <c r="AT186" s="36"/>
      <c r="AU186" s="134" t="s">
        <v>879</v>
      </c>
      <c r="AV186" s="19"/>
      <c r="AW186" s="19"/>
      <c r="AX186" s="19"/>
      <c r="AY186" s="19"/>
      <c r="AZ186" s="19"/>
      <c r="BA186" s="19"/>
      <c r="BB186" s="19"/>
      <c r="BC186" s="19"/>
      <c r="BD186" s="19"/>
      <c r="BE186" s="19"/>
      <c r="BF186" s="19"/>
      <c r="BG186" s="20"/>
      <c r="BH186" s="20"/>
      <c r="BI186" s="20"/>
      <c r="BJ186" s="20"/>
      <c r="BK186" s="20"/>
      <c r="BL186" s="20"/>
      <c r="BM186" s="20"/>
      <c r="BN186" s="20"/>
      <c r="BO186" s="20"/>
      <c r="BP186" s="20"/>
      <c r="BQ186" s="20"/>
      <c r="BR186" s="20"/>
      <c r="BS186" s="20"/>
      <c r="BT186" s="20"/>
      <c r="BU186" s="20"/>
      <c r="BV186" s="20"/>
      <c r="IP186" s="20"/>
      <c r="IQ186" s="20"/>
      <c r="IR186" s="20"/>
      <c r="IS186" s="20"/>
      <c r="IT186" s="20"/>
      <c r="IU186" s="20"/>
      <c r="IV186" s="20"/>
    </row>
    <row r="187" spans="1:256" s="21" customFormat="1" ht="51">
      <c r="A187" s="135"/>
      <c r="B187" s="24">
        <v>178</v>
      </c>
      <c r="C187" s="24" t="s">
        <v>880</v>
      </c>
      <c r="D187" s="25">
        <v>44735</v>
      </c>
      <c r="E187" s="26">
        <v>59737</v>
      </c>
      <c r="F187" s="26">
        <v>167967</v>
      </c>
      <c r="G187" s="26">
        <v>21418</v>
      </c>
      <c r="H187" s="27">
        <v>62</v>
      </c>
      <c r="I187" s="27"/>
      <c r="J187" s="27">
        <v>435</v>
      </c>
      <c r="K187" s="27">
        <v>23</v>
      </c>
      <c r="L187" s="27" t="s">
        <v>74</v>
      </c>
      <c r="M187" s="27" t="s">
        <v>881</v>
      </c>
      <c r="N187" s="27" t="s">
        <v>882</v>
      </c>
      <c r="O187" s="27"/>
      <c r="P187" s="27" t="s">
        <v>883</v>
      </c>
      <c r="Q187" s="27"/>
      <c r="R187" s="27"/>
      <c r="S187" s="27"/>
      <c r="T187" s="27">
        <v>2</v>
      </c>
      <c r="U187" s="28"/>
      <c r="V187" s="27"/>
      <c r="W187" s="27"/>
      <c r="X187" s="27" t="s">
        <v>186</v>
      </c>
      <c r="Y187" s="29"/>
      <c r="Z187" s="30"/>
      <c r="AA187" s="31"/>
      <c r="AB187" s="30"/>
      <c r="AC187" s="31"/>
      <c r="AD187" s="30"/>
      <c r="AE187" s="27"/>
      <c r="AF187" s="27"/>
      <c r="AG187" s="27"/>
      <c r="AH187" s="27">
        <f>91.5+6.7</f>
        <v>98.2</v>
      </c>
      <c r="AI187" s="28"/>
      <c r="AJ187" s="32"/>
      <c r="AK187" s="33">
        <v>125.3</v>
      </c>
      <c r="AL187" s="33">
        <f>91.5/AK187</f>
        <v>0.7302474062250599</v>
      </c>
      <c r="AM187" s="33">
        <f>+AH187/AK187</f>
        <v>0.7837190742218676</v>
      </c>
      <c r="AN187" s="33"/>
      <c r="AO187" s="33">
        <f>+AH187*19581</f>
        <v>1922854.2</v>
      </c>
      <c r="AP187" s="34">
        <v>26485.5</v>
      </c>
      <c r="AQ187" s="33" t="s">
        <v>71</v>
      </c>
      <c r="AR187" s="34" t="s">
        <v>884</v>
      </c>
      <c r="AS187" s="35">
        <v>44790</v>
      </c>
      <c r="AT187" s="36"/>
      <c r="AU187" s="134">
        <v>44777</v>
      </c>
      <c r="AV187" s="19"/>
      <c r="AW187" s="19"/>
      <c r="AX187" s="19"/>
      <c r="AY187" s="19"/>
      <c r="AZ187" s="19"/>
      <c r="BA187" s="19"/>
      <c r="BB187" s="19"/>
      <c r="BC187" s="19"/>
      <c r="BD187" s="19"/>
      <c r="BE187" s="19"/>
      <c r="BF187" s="19"/>
      <c r="BG187" s="20"/>
      <c r="BH187" s="20"/>
      <c r="BI187" s="20"/>
      <c r="BJ187" s="20"/>
      <c r="BK187" s="20"/>
      <c r="BL187" s="20"/>
      <c r="BM187" s="20"/>
      <c r="BN187" s="20"/>
      <c r="BO187" s="20"/>
      <c r="BP187" s="20"/>
      <c r="BQ187" s="20"/>
      <c r="BR187" s="20"/>
      <c r="BS187" s="20"/>
      <c r="BT187" s="20"/>
      <c r="BU187" s="20"/>
      <c r="BV187" s="20"/>
      <c r="IP187" s="20"/>
      <c r="IQ187" s="20"/>
      <c r="IR187" s="20"/>
      <c r="IS187" s="20"/>
      <c r="IT187" s="20"/>
      <c r="IU187" s="20"/>
      <c r="IV187" s="20"/>
    </row>
    <row r="188" spans="1:256" s="21" customFormat="1" ht="38.25">
      <c r="A188" s="135"/>
      <c r="B188" s="24">
        <v>176</v>
      </c>
      <c r="C188" s="24">
        <v>543635</v>
      </c>
      <c r="D188" s="25">
        <v>44747</v>
      </c>
      <c r="E188" s="26">
        <v>60694</v>
      </c>
      <c r="F188" s="26">
        <v>168713</v>
      </c>
      <c r="G188" s="26">
        <v>33917</v>
      </c>
      <c r="H188" s="27">
        <v>327</v>
      </c>
      <c r="I188" s="27"/>
      <c r="J188" s="27">
        <v>8</v>
      </c>
      <c r="K188" s="27">
        <v>8</v>
      </c>
      <c r="L188" s="27" t="s">
        <v>74</v>
      </c>
      <c r="M188" s="27" t="s">
        <v>642</v>
      </c>
      <c r="N188" s="27" t="s">
        <v>885</v>
      </c>
      <c r="O188" s="27"/>
      <c r="P188" s="27" t="s">
        <v>699</v>
      </c>
      <c r="Q188" s="27" t="s">
        <v>699</v>
      </c>
      <c r="R188" s="27" t="s">
        <v>699</v>
      </c>
      <c r="S188" s="27" t="s">
        <v>886</v>
      </c>
      <c r="T188" s="27"/>
      <c r="U188" s="28">
        <v>1</v>
      </c>
      <c r="V188" s="27"/>
      <c r="W188" s="27"/>
      <c r="X188" s="27" t="s">
        <v>887</v>
      </c>
      <c r="Y188" s="29"/>
      <c r="Z188" s="30">
        <v>2</v>
      </c>
      <c r="AA188" s="31"/>
      <c r="AB188" s="30">
        <f>+Z188+1</f>
        <v>3</v>
      </c>
      <c r="AC188" s="31"/>
      <c r="AD188" s="30">
        <f>+Z188*2</f>
        <v>4</v>
      </c>
      <c r="AE188" s="27"/>
      <c r="AF188" s="27"/>
      <c r="AG188" s="27"/>
      <c r="AH188" s="27"/>
      <c r="AI188" s="28">
        <v>132.5</v>
      </c>
      <c r="AJ188" s="32"/>
      <c r="AK188" s="33">
        <v>382</v>
      </c>
      <c r="AL188" s="33">
        <f>+AI188/AK188</f>
        <v>0.34685863874345552</v>
      </c>
      <c r="AM188" s="33">
        <f>+AI188/AK188</f>
        <v>0.34685863874345552</v>
      </c>
      <c r="AN188" s="33">
        <f>+(2+21+4)/(1+7+1)</f>
        <v>3</v>
      </c>
      <c r="AO188" s="33">
        <f>+(7*24483+4*19581+14688*7+2*9793)/20*AI188</f>
        <v>2465208.875</v>
      </c>
      <c r="AP188" s="34">
        <v>11199.18</v>
      </c>
      <c r="AQ188" s="33" t="s">
        <v>71</v>
      </c>
      <c r="AR188" s="34" t="s">
        <v>888</v>
      </c>
      <c r="AS188" s="35">
        <v>44789</v>
      </c>
      <c r="AT188" s="36"/>
      <c r="AU188" s="134" t="s">
        <v>889</v>
      </c>
      <c r="AV188" s="19"/>
      <c r="AW188" s="19"/>
      <c r="AX188" s="19"/>
      <c r="AY188" s="19"/>
      <c r="AZ188" s="19"/>
      <c r="BA188" s="19"/>
      <c r="BB188" s="19"/>
      <c r="BC188" s="19"/>
      <c r="BD188" s="19"/>
      <c r="BE188" s="19"/>
      <c r="BF188" s="19"/>
      <c r="BG188" s="20"/>
      <c r="BH188" s="20"/>
      <c r="BI188" s="20"/>
      <c r="BJ188" s="20"/>
      <c r="BK188" s="20"/>
      <c r="BL188" s="20"/>
      <c r="BM188" s="20"/>
      <c r="BN188" s="20"/>
      <c r="BO188" s="20"/>
      <c r="BP188" s="20"/>
      <c r="BQ188" s="20"/>
      <c r="BR188" s="20"/>
      <c r="BS188" s="20"/>
      <c r="BT188" s="20"/>
      <c r="BU188" s="20"/>
      <c r="BV188" s="20"/>
      <c r="IP188" s="20"/>
      <c r="IQ188" s="20"/>
      <c r="IR188" s="20"/>
      <c r="IS188" s="20"/>
      <c r="IT188" s="20"/>
      <c r="IU188" s="20"/>
      <c r="IV188" s="20"/>
    </row>
    <row r="189" spans="1:256" s="21" customFormat="1" ht="89.25">
      <c r="A189" s="135"/>
      <c r="B189" s="24">
        <v>179</v>
      </c>
      <c r="C189" s="24">
        <v>543940</v>
      </c>
      <c r="D189" s="63">
        <v>44762</v>
      </c>
      <c r="E189" s="26"/>
      <c r="F189" s="26"/>
      <c r="G189" s="26">
        <v>31605</v>
      </c>
      <c r="H189" s="27">
        <v>3</v>
      </c>
      <c r="I189" s="27"/>
      <c r="J189" s="27">
        <v>4</v>
      </c>
      <c r="K189" s="27">
        <v>3</v>
      </c>
      <c r="L189" s="27" t="s">
        <v>793</v>
      </c>
      <c r="M189" s="27" t="s">
        <v>270</v>
      </c>
      <c r="N189" s="27" t="s">
        <v>890</v>
      </c>
      <c r="O189" s="27"/>
      <c r="P189" s="27" t="s">
        <v>891</v>
      </c>
      <c r="Q189" s="27" t="s">
        <v>891</v>
      </c>
      <c r="R189" s="27" t="s">
        <v>891</v>
      </c>
      <c r="S189" s="27" t="s">
        <v>892</v>
      </c>
      <c r="T189" s="27"/>
      <c r="U189" s="28">
        <v>1</v>
      </c>
      <c r="V189" s="27"/>
      <c r="W189" s="27"/>
      <c r="X189" s="27" t="s">
        <v>65</v>
      </c>
      <c r="Y189" s="29"/>
      <c r="Z189" s="30">
        <v>3</v>
      </c>
      <c r="AA189" s="31"/>
      <c r="AB189" s="30">
        <f>+Z189+1+1</f>
        <v>5</v>
      </c>
      <c r="AC189" s="31"/>
      <c r="AD189" s="30">
        <f>+Z189*2</f>
        <v>6</v>
      </c>
      <c r="AE189" s="27"/>
      <c r="AF189" s="27"/>
      <c r="AG189" s="27"/>
      <c r="AH189" s="27"/>
      <c r="AI189" s="28">
        <f>120.5+101.6/2+115.8</f>
        <v>287.10000000000002</v>
      </c>
      <c r="AJ189" s="32"/>
      <c r="AK189" s="33">
        <v>908.89</v>
      </c>
      <c r="AL189" s="33">
        <f>+(120.5+101.6)/AK189</f>
        <v>0.24436400444498235</v>
      </c>
      <c r="AM189" s="33">
        <f>+AI189/AK189</f>
        <v>0.31587980943788579</v>
      </c>
      <c r="AN189" s="33"/>
      <c r="AO189" s="33">
        <f>+(9*24483+19581*7+14688*5)/21*AI189</f>
        <v>5890389.6857142858</v>
      </c>
      <c r="AP189" s="34">
        <v>21685.29</v>
      </c>
      <c r="AQ189" s="33" t="s">
        <v>71</v>
      </c>
      <c r="AR189" s="34" t="s">
        <v>893</v>
      </c>
      <c r="AS189" s="35">
        <v>44790</v>
      </c>
      <c r="AT189" s="36"/>
      <c r="AU189" s="134"/>
      <c r="AV189" s="19"/>
      <c r="AW189" s="19"/>
      <c r="AX189" s="19"/>
      <c r="AY189" s="19"/>
      <c r="AZ189" s="19"/>
      <c r="BA189" s="19"/>
      <c r="BB189" s="19"/>
      <c r="BC189" s="19"/>
      <c r="BD189" s="19"/>
      <c r="BE189" s="19"/>
      <c r="BF189" s="19"/>
      <c r="BG189" s="20"/>
      <c r="BH189" s="20"/>
      <c r="BI189" s="20"/>
      <c r="BJ189" s="20"/>
      <c r="BK189" s="20"/>
      <c r="BL189" s="20"/>
      <c r="BM189" s="20"/>
      <c r="BN189" s="20"/>
      <c r="BO189" s="20"/>
      <c r="BP189" s="20"/>
      <c r="BQ189" s="20"/>
      <c r="BR189" s="20"/>
      <c r="BS189" s="20"/>
      <c r="BT189" s="20"/>
      <c r="BU189" s="20"/>
      <c r="BV189" s="20"/>
      <c r="IP189" s="20"/>
      <c r="IQ189" s="20"/>
      <c r="IR189" s="20"/>
      <c r="IS189" s="20"/>
      <c r="IT189" s="20"/>
      <c r="IU189" s="20"/>
      <c r="IV189" s="20"/>
    </row>
    <row r="190" spans="1:256" s="21" customFormat="1" ht="51">
      <c r="A190" s="135"/>
      <c r="B190" s="24">
        <v>180</v>
      </c>
      <c r="C190" s="24" t="s">
        <v>817</v>
      </c>
      <c r="D190" s="25">
        <v>44712</v>
      </c>
      <c r="E190" s="26">
        <v>-52602</v>
      </c>
      <c r="F190" s="26">
        <v>162232</v>
      </c>
      <c r="G190" s="26">
        <v>33164</v>
      </c>
      <c r="H190" s="27">
        <v>341</v>
      </c>
      <c r="I190" s="27"/>
      <c r="J190" s="27"/>
      <c r="K190" s="27">
        <v>2</v>
      </c>
      <c r="L190" s="27" t="s">
        <v>88</v>
      </c>
      <c r="M190" s="27" t="s">
        <v>894</v>
      </c>
      <c r="N190" s="27" t="s">
        <v>895</v>
      </c>
      <c r="O190" s="27"/>
      <c r="P190" s="27" t="s">
        <v>896</v>
      </c>
      <c r="Q190" s="27" t="s">
        <v>896</v>
      </c>
      <c r="R190" s="27" t="s">
        <v>896</v>
      </c>
      <c r="S190" s="27" t="s">
        <v>897</v>
      </c>
      <c r="T190" s="27"/>
      <c r="U190" s="28">
        <v>1</v>
      </c>
      <c r="V190" s="27"/>
      <c r="W190" s="27"/>
      <c r="X190" s="27" t="s">
        <v>65</v>
      </c>
      <c r="Y190" s="29"/>
      <c r="Z190" s="30">
        <v>4</v>
      </c>
      <c r="AA190" s="31"/>
      <c r="AB190" s="30">
        <f>+Z190+1</f>
        <v>5</v>
      </c>
      <c r="AC190" s="31"/>
      <c r="AD190" s="30">
        <f>+Z190*2</f>
        <v>8</v>
      </c>
      <c r="AE190" s="27"/>
      <c r="AF190" s="27"/>
      <c r="AG190" s="27"/>
      <c r="AH190" s="27"/>
      <c r="AI190" s="28">
        <f>167.16+156.87/2</f>
        <v>245.595</v>
      </c>
      <c r="AJ190" s="32"/>
      <c r="AK190" s="33">
        <v>1114.78</v>
      </c>
      <c r="AL190" s="33">
        <f>167.16/AK190</f>
        <v>0.14994886883510647</v>
      </c>
      <c r="AM190" s="33">
        <f>+AI190/AK190</f>
        <v>0.22030804284253397</v>
      </c>
      <c r="AN190" s="33"/>
      <c r="AO190" s="33">
        <f>+(6*24483+19581*11+14688*5+1*9793)/23*AI190</f>
        <v>4757303.2865217393</v>
      </c>
      <c r="AP190" s="34">
        <v>25952.38</v>
      </c>
      <c r="AQ190" s="33" t="s">
        <v>71</v>
      </c>
      <c r="AR190" s="34" t="s">
        <v>898</v>
      </c>
      <c r="AS190" s="35">
        <v>44790</v>
      </c>
      <c r="AT190" s="36"/>
      <c r="AU190" s="134" t="s">
        <v>899</v>
      </c>
      <c r="AV190" s="19"/>
      <c r="AW190" s="19"/>
      <c r="AX190" s="19"/>
      <c r="AY190" s="19"/>
      <c r="AZ190" s="19"/>
      <c r="BA190" s="19"/>
      <c r="BB190" s="19"/>
      <c r="BC190" s="19"/>
      <c r="BD190" s="19"/>
      <c r="BE190" s="19"/>
      <c r="BF190" s="19"/>
      <c r="BG190" s="20"/>
      <c r="BH190" s="20"/>
      <c r="BI190" s="20"/>
      <c r="BJ190" s="20"/>
      <c r="BK190" s="20"/>
      <c r="BL190" s="20"/>
      <c r="BM190" s="20"/>
      <c r="BN190" s="20"/>
      <c r="BO190" s="20"/>
      <c r="BP190" s="20"/>
      <c r="BQ190" s="20"/>
      <c r="BR190" s="20"/>
      <c r="BS190" s="20"/>
      <c r="BT190" s="20"/>
      <c r="BU190" s="20"/>
      <c r="BV190" s="20"/>
      <c r="IP190" s="20"/>
      <c r="IQ190" s="20"/>
      <c r="IR190" s="20"/>
      <c r="IS190" s="20"/>
      <c r="IT190" s="20"/>
      <c r="IU190" s="20"/>
      <c r="IV190" s="20"/>
    </row>
    <row r="191" spans="1:256" s="21" customFormat="1" ht="51">
      <c r="A191" s="135"/>
      <c r="B191" s="24">
        <v>181</v>
      </c>
      <c r="C191" s="24" t="s">
        <v>900</v>
      </c>
      <c r="D191" s="25">
        <v>44721</v>
      </c>
      <c r="E191" s="26">
        <v>60620</v>
      </c>
      <c r="F191" s="26">
        <v>168650</v>
      </c>
      <c r="G191" s="26">
        <v>33946</v>
      </c>
      <c r="H191" s="27">
        <v>271</v>
      </c>
      <c r="I191" s="27"/>
      <c r="J191" s="27">
        <v>1</v>
      </c>
      <c r="K191" s="27">
        <v>13</v>
      </c>
      <c r="L191" s="27" t="s">
        <v>901</v>
      </c>
      <c r="M191" s="27" t="s">
        <v>902</v>
      </c>
      <c r="N191" s="27" t="s">
        <v>903</v>
      </c>
      <c r="O191" s="27"/>
      <c r="P191" s="27" t="s">
        <v>660</v>
      </c>
      <c r="Q191" s="27" t="s">
        <v>660</v>
      </c>
      <c r="R191" s="27" t="s">
        <v>660</v>
      </c>
      <c r="S191" s="27" t="s">
        <v>904</v>
      </c>
      <c r="T191" s="27"/>
      <c r="U191" s="28">
        <v>1</v>
      </c>
      <c r="V191" s="27"/>
      <c r="W191" s="27"/>
      <c r="X191" s="27" t="s">
        <v>65</v>
      </c>
      <c r="Y191" s="29"/>
      <c r="Z191" s="30">
        <v>2</v>
      </c>
      <c r="AA191" s="31"/>
      <c r="AB191" s="30">
        <f>+Z191+1</f>
        <v>3</v>
      </c>
      <c r="AC191" s="31"/>
      <c r="AD191" s="30">
        <f>+Z191*2</f>
        <v>4</v>
      </c>
      <c r="AE191" s="27"/>
      <c r="AF191" s="27"/>
      <c r="AG191" s="27"/>
      <c r="AH191" s="27"/>
      <c r="AI191" s="28">
        <f>73.1+3.1/2</f>
        <v>74.649999999999991</v>
      </c>
      <c r="AJ191" s="32"/>
      <c r="AK191" s="33">
        <v>230</v>
      </c>
      <c r="AL191" s="33">
        <f>+(73.1+3.1)/AK191</f>
        <v>0.33130434782608692</v>
      </c>
      <c r="AM191" s="33">
        <f>+AI191/AK191</f>
        <v>0.32456521739130428</v>
      </c>
      <c r="AN191" s="33"/>
      <c r="AO191" s="33">
        <f>+(3*24483+6*19581+4*14688+8*9793)/21*AI191</f>
        <v>1166072.1023809523</v>
      </c>
      <c r="AP191" s="34">
        <v>6068.82</v>
      </c>
      <c r="AQ191" s="33" t="s">
        <v>51</v>
      </c>
      <c r="AR191" s="34" t="s">
        <v>905</v>
      </c>
      <c r="AS191" s="35">
        <v>44791</v>
      </c>
      <c r="AT191" s="36"/>
      <c r="AU191" s="134" t="s">
        <v>906</v>
      </c>
      <c r="AV191" s="19"/>
      <c r="AW191" s="19"/>
      <c r="AX191" s="19"/>
      <c r="AY191" s="19"/>
      <c r="AZ191" s="19"/>
      <c r="BA191" s="19"/>
      <c r="BB191" s="19"/>
      <c r="BC191" s="19"/>
      <c r="BD191" s="19"/>
      <c r="BE191" s="19"/>
      <c r="BF191" s="19"/>
      <c r="BG191" s="20"/>
      <c r="BH191" s="20"/>
      <c r="BI191" s="20"/>
      <c r="BJ191" s="20"/>
      <c r="BK191" s="20"/>
      <c r="BL191" s="20"/>
      <c r="BM191" s="20"/>
      <c r="BN191" s="20"/>
      <c r="BO191" s="20"/>
      <c r="BP191" s="20"/>
      <c r="BQ191" s="20"/>
      <c r="BR191" s="20"/>
      <c r="BS191" s="20"/>
      <c r="BT191" s="20"/>
      <c r="BU191" s="20"/>
      <c r="BV191" s="20"/>
      <c r="IP191" s="20"/>
      <c r="IQ191" s="20"/>
      <c r="IR191" s="20"/>
      <c r="IS191" s="20"/>
      <c r="IT191" s="20"/>
      <c r="IU191" s="20"/>
      <c r="IV191" s="20"/>
    </row>
    <row r="192" spans="1:256" s="21" customFormat="1" ht="51">
      <c r="A192" s="135"/>
      <c r="B192" s="24">
        <v>182</v>
      </c>
      <c r="C192" s="24">
        <v>541453</v>
      </c>
      <c r="D192" s="25">
        <v>44659</v>
      </c>
      <c r="E192" s="26">
        <v>-36089</v>
      </c>
      <c r="F192" s="26">
        <v>135626</v>
      </c>
      <c r="G192" s="26">
        <v>31417</v>
      </c>
      <c r="H192" s="27">
        <v>310</v>
      </c>
      <c r="I192" s="27"/>
      <c r="J192" s="27">
        <v>2</v>
      </c>
      <c r="K192" s="27">
        <v>4</v>
      </c>
      <c r="L192" s="27" t="s">
        <v>417</v>
      </c>
      <c r="M192" s="27" t="s">
        <v>810</v>
      </c>
      <c r="N192" s="27" t="s">
        <v>907</v>
      </c>
      <c r="O192" s="27"/>
      <c r="P192" s="27" t="s">
        <v>56</v>
      </c>
      <c r="Q192" s="27"/>
      <c r="R192" s="27"/>
      <c r="S192" s="27"/>
      <c r="T192" s="27">
        <v>1</v>
      </c>
      <c r="U192" s="28"/>
      <c r="V192" s="27"/>
      <c r="W192" s="27"/>
      <c r="X192" s="27" t="s">
        <v>65</v>
      </c>
      <c r="Y192" s="29">
        <v>1</v>
      </c>
      <c r="Z192" s="30"/>
      <c r="AA192" s="31">
        <f>1+1</f>
        <v>2</v>
      </c>
      <c r="AB192" s="30" t="s">
        <v>405</v>
      </c>
      <c r="AC192" s="31">
        <f>+Y192*2</f>
        <v>2</v>
      </c>
      <c r="AD192" s="30"/>
      <c r="AE192" s="27"/>
      <c r="AF192" s="27"/>
      <c r="AG192" s="27">
        <f>46.74+20.66/2</f>
        <v>57.07</v>
      </c>
      <c r="AH192" s="27"/>
      <c r="AI192" s="28"/>
      <c r="AJ192" s="32"/>
      <c r="AK192" s="33">
        <v>1550</v>
      </c>
      <c r="AL192" s="33">
        <f>+(23.37+17.06)/AK192</f>
        <v>2.6083870967741934E-2</v>
      </c>
      <c r="AM192" s="33">
        <f>+AG192/AK192</f>
        <v>3.6819354838709677E-2</v>
      </c>
      <c r="AN192" s="33"/>
      <c r="AO192" s="33"/>
      <c r="AP192" s="34">
        <v>14019.2</v>
      </c>
      <c r="AQ192" s="33" t="s">
        <v>51</v>
      </c>
      <c r="AR192" s="34" t="s">
        <v>908</v>
      </c>
      <c r="AS192" s="35">
        <v>44792</v>
      </c>
      <c r="AT192" s="36"/>
      <c r="AU192" s="134" t="s">
        <v>909</v>
      </c>
      <c r="AV192" s="19"/>
      <c r="AW192" s="19"/>
      <c r="AX192" s="19"/>
      <c r="AY192" s="19"/>
      <c r="AZ192" s="19"/>
      <c r="BA192" s="19"/>
      <c r="BB192" s="19"/>
      <c r="BC192" s="19"/>
      <c r="BD192" s="19"/>
      <c r="BE192" s="19"/>
      <c r="BF192" s="19"/>
      <c r="BG192" s="20"/>
      <c r="BH192" s="20"/>
      <c r="BI192" s="20"/>
      <c r="BJ192" s="20"/>
      <c r="BK192" s="20"/>
      <c r="BL192" s="20"/>
      <c r="BM192" s="20"/>
      <c r="BN192" s="20"/>
      <c r="BO192" s="20"/>
      <c r="BP192" s="20"/>
      <c r="BQ192" s="20"/>
      <c r="BR192" s="20"/>
      <c r="BS192" s="20"/>
      <c r="BT192" s="20"/>
      <c r="BU192" s="20"/>
      <c r="BV192" s="20"/>
      <c r="IP192" s="20"/>
      <c r="IQ192" s="20"/>
      <c r="IR192" s="20"/>
      <c r="IS192" s="20"/>
      <c r="IT192" s="20"/>
      <c r="IU192" s="20"/>
      <c r="IV192" s="20"/>
    </row>
    <row r="193" spans="1:256" s="21" customFormat="1" ht="63.75">
      <c r="A193" s="135"/>
      <c r="B193" s="24">
        <v>184</v>
      </c>
      <c r="C193" s="24">
        <v>543708</v>
      </c>
      <c r="D193" s="25">
        <v>44749</v>
      </c>
      <c r="E193" s="26">
        <v>39883</v>
      </c>
      <c r="F193" s="26">
        <v>110199</v>
      </c>
      <c r="G193" s="26">
        <v>94</v>
      </c>
      <c r="H193" s="27"/>
      <c r="I193" s="27"/>
      <c r="J193" s="27">
        <v>158</v>
      </c>
      <c r="K193" s="27" t="s">
        <v>910</v>
      </c>
      <c r="L193" s="27" t="s">
        <v>31</v>
      </c>
      <c r="M193" s="27" t="s">
        <v>911</v>
      </c>
      <c r="N193" s="27" t="s">
        <v>912</v>
      </c>
      <c r="O193" s="27"/>
      <c r="P193" s="27" t="s">
        <v>70</v>
      </c>
      <c r="Q193" s="27"/>
      <c r="R193" s="27"/>
      <c r="S193" s="27"/>
      <c r="T193" s="27"/>
      <c r="U193" s="28"/>
      <c r="V193" s="27">
        <v>1</v>
      </c>
      <c r="W193" s="27"/>
      <c r="X193" s="27" t="s">
        <v>186</v>
      </c>
      <c r="Y193" s="29"/>
      <c r="Z193" s="30"/>
      <c r="AA193" s="31"/>
      <c r="AB193" s="30"/>
      <c r="AC193" s="31"/>
      <c r="AD193" s="30"/>
      <c r="AE193" s="27"/>
      <c r="AF193" s="27"/>
      <c r="AG193" s="27"/>
      <c r="AH193" s="27" t="s">
        <v>913</v>
      </c>
      <c r="AI193" s="28"/>
      <c r="AJ193" s="32"/>
      <c r="AK193" s="33">
        <v>159.30000000000001</v>
      </c>
      <c r="AL193" s="33">
        <v>1</v>
      </c>
      <c r="AM193" s="33">
        <v>1.96</v>
      </c>
      <c r="AN193" s="33"/>
      <c r="AO193" s="33">
        <v>327200</v>
      </c>
      <c r="AP193" s="34">
        <v>13899.96</v>
      </c>
      <c r="AQ193" s="33" t="s">
        <v>71</v>
      </c>
      <c r="AR193" s="34" t="s">
        <v>914</v>
      </c>
      <c r="AS193" s="35">
        <v>44795</v>
      </c>
      <c r="AT193" s="36"/>
      <c r="AU193" s="134"/>
      <c r="AV193" s="19"/>
      <c r="AW193" s="19"/>
      <c r="AX193" s="19"/>
      <c r="AY193" s="19"/>
      <c r="AZ193" s="19"/>
      <c r="BA193" s="19"/>
      <c r="BB193" s="19"/>
      <c r="BC193" s="19"/>
      <c r="BD193" s="19"/>
      <c r="BE193" s="19"/>
      <c r="BF193" s="19"/>
      <c r="BG193" s="20"/>
      <c r="BH193" s="20"/>
      <c r="BI193" s="20"/>
      <c r="BJ193" s="20"/>
      <c r="BK193" s="20"/>
      <c r="BL193" s="20"/>
      <c r="BM193" s="20"/>
      <c r="BN193" s="20"/>
      <c r="BO193" s="20"/>
      <c r="BP193" s="20"/>
      <c r="BQ193" s="20"/>
      <c r="BR193" s="20"/>
      <c r="BS193" s="20"/>
      <c r="BT193" s="20"/>
      <c r="BU193" s="20"/>
      <c r="BV193" s="20"/>
      <c r="IP193" s="20"/>
      <c r="IQ193" s="20"/>
      <c r="IR193" s="20"/>
      <c r="IS193" s="20"/>
      <c r="IT193" s="20"/>
      <c r="IU193" s="20"/>
      <c r="IV193" s="20"/>
    </row>
    <row r="194" spans="1:256" s="21" customFormat="1" ht="38.25">
      <c r="A194" s="135"/>
      <c r="B194" s="24"/>
      <c r="C194" s="25"/>
      <c r="D194" s="63"/>
      <c r="E194" s="164">
        <v>39884</v>
      </c>
      <c r="F194" s="26">
        <v>138577</v>
      </c>
      <c r="G194" s="26">
        <v>8308</v>
      </c>
      <c r="H194" s="27"/>
      <c r="I194" s="27"/>
      <c r="J194" s="27"/>
      <c r="K194" s="27" t="s">
        <v>915</v>
      </c>
      <c r="L194" s="27"/>
      <c r="M194" s="27"/>
      <c r="N194" s="27" t="s">
        <v>916</v>
      </c>
      <c r="O194" s="27"/>
      <c r="P194" s="27"/>
      <c r="Q194" s="27"/>
      <c r="R194" s="27"/>
      <c r="S194" s="27"/>
      <c r="T194" s="27"/>
      <c r="U194" s="28"/>
      <c r="V194" s="27"/>
      <c r="W194" s="27"/>
      <c r="X194" s="27" t="s">
        <v>186</v>
      </c>
      <c r="Y194" s="29"/>
      <c r="Z194" s="30"/>
      <c r="AA194" s="31"/>
      <c r="AB194" s="30"/>
      <c r="AC194" s="31"/>
      <c r="AD194" s="30"/>
      <c r="AE194" s="27"/>
      <c r="AF194" s="27"/>
      <c r="AG194" s="27"/>
      <c r="AH194" s="27"/>
      <c r="AI194" s="28"/>
      <c r="AJ194" s="32"/>
      <c r="AK194" s="33"/>
      <c r="AL194" s="33"/>
      <c r="AM194" s="33"/>
      <c r="AN194" s="33"/>
      <c r="AO194" s="33"/>
      <c r="AP194" s="34"/>
      <c r="AQ194" s="33" t="s">
        <v>71</v>
      </c>
      <c r="AR194" s="34"/>
      <c r="AS194" s="35"/>
      <c r="AT194" s="36"/>
      <c r="AU194" s="134"/>
      <c r="AV194" s="19"/>
      <c r="AW194" s="19"/>
      <c r="AX194" s="19"/>
      <c r="AY194" s="19"/>
      <c r="AZ194" s="19"/>
      <c r="BA194" s="19"/>
      <c r="BB194" s="19"/>
      <c r="BC194" s="19"/>
      <c r="BD194" s="19"/>
      <c r="BE194" s="19"/>
      <c r="BF194" s="19"/>
      <c r="BG194" s="20"/>
      <c r="BH194" s="20"/>
      <c r="BI194" s="20"/>
      <c r="BJ194" s="20"/>
      <c r="BK194" s="20"/>
      <c r="BL194" s="20"/>
      <c r="BM194" s="20"/>
      <c r="BN194" s="20"/>
      <c r="BO194" s="20"/>
      <c r="BP194" s="20"/>
      <c r="BQ194" s="20"/>
      <c r="BR194" s="20"/>
      <c r="BS194" s="20"/>
      <c r="BT194" s="20"/>
      <c r="BU194" s="20"/>
      <c r="BV194" s="20"/>
      <c r="IP194" s="20"/>
      <c r="IQ194" s="20"/>
      <c r="IR194" s="20"/>
      <c r="IS194" s="20"/>
      <c r="IT194" s="20"/>
      <c r="IU194" s="20"/>
      <c r="IV194" s="20"/>
    </row>
    <row r="195" spans="1:256" s="21" customFormat="1" ht="38.25">
      <c r="A195" s="44"/>
      <c r="B195" s="64">
        <v>188</v>
      </c>
      <c r="C195" s="64" t="s">
        <v>917</v>
      </c>
      <c r="D195" s="66">
        <v>44747</v>
      </c>
      <c r="E195" s="26">
        <v>52518</v>
      </c>
      <c r="F195" s="26">
        <v>162100</v>
      </c>
      <c r="G195" s="26">
        <v>33097</v>
      </c>
      <c r="H195" s="27">
        <v>3</v>
      </c>
      <c r="I195" s="27"/>
      <c r="J195" s="27">
        <v>4</v>
      </c>
      <c r="K195" s="27">
        <v>26</v>
      </c>
      <c r="L195" s="27" t="s">
        <v>545</v>
      </c>
      <c r="M195" s="27" t="s">
        <v>270</v>
      </c>
      <c r="N195" s="27" t="s">
        <v>918</v>
      </c>
      <c r="O195" s="27"/>
      <c r="P195" s="27" t="s">
        <v>132</v>
      </c>
      <c r="Q195" s="27"/>
      <c r="R195" s="27"/>
      <c r="S195" s="27"/>
      <c r="T195" s="27">
        <v>1</v>
      </c>
      <c r="U195" s="28"/>
      <c r="V195" s="27"/>
      <c r="W195" s="27"/>
      <c r="X195" s="27" t="s">
        <v>65</v>
      </c>
      <c r="Y195" s="29"/>
      <c r="Z195" s="30"/>
      <c r="AA195" s="31"/>
      <c r="AB195" s="30"/>
      <c r="AC195" s="31"/>
      <c r="AD195" s="30"/>
      <c r="AE195" s="27">
        <f>198.91+55.2/2</f>
        <v>226.51</v>
      </c>
      <c r="AF195" s="27"/>
      <c r="AG195" s="27">
        <v>4.82</v>
      </c>
      <c r="AH195" s="27"/>
      <c r="AI195" s="28"/>
      <c r="AJ195" s="32"/>
      <c r="AK195" s="33">
        <v>800.5</v>
      </c>
      <c r="AL195" s="33">
        <v>0.24</v>
      </c>
      <c r="AM195" s="33">
        <f>+(AE195+AG195)/AK195</f>
        <v>0.28898188632104932</v>
      </c>
      <c r="AN195" s="33"/>
      <c r="AO195" s="33">
        <f>+(6*24483+19581*11+4*14688)/21*AG195</f>
        <v>96638.934285714291</v>
      </c>
      <c r="AP195" s="34">
        <v>34359.519999999997</v>
      </c>
      <c r="AQ195" s="33" t="s">
        <v>71</v>
      </c>
      <c r="AR195" s="34" t="s">
        <v>919</v>
      </c>
      <c r="AS195" s="35">
        <v>44796</v>
      </c>
      <c r="AT195" s="36"/>
      <c r="AU195" s="37">
        <v>44784</v>
      </c>
      <c r="AV195" s="19"/>
      <c r="AW195" s="19"/>
      <c r="AX195" s="19"/>
      <c r="AY195" s="19"/>
      <c r="AZ195" s="19"/>
      <c r="BA195" s="19"/>
      <c r="BB195" s="19"/>
      <c r="BC195" s="19"/>
      <c r="BD195" s="19"/>
      <c r="BE195" s="19"/>
      <c r="BF195" s="19"/>
      <c r="BG195" s="20"/>
      <c r="BH195" s="20"/>
      <c r="BI195" s="20"/>
      <c r="BJ195" s="20"/>
      <c r="BK195" s="20"/>
      <c r="BL195" s="20"/>
      <c r="BM195" s="20"/>
      <c r="BN195" s="20"/>
      <c r="BO195" s="20"/>
      <c r="BP195" s="20"/>
      <c r="BQ195" s="20"/>
      <c r="BR195" s="20"/>
      <c r="BS195" s="20"/>
      <c r="BT195" s="20"/>
      <c r="BU195" s="20"/>
      <c r="BV195" s="20"/>
      <c r="IP195" s="20"/>
      <c r="IQ195" s="20"/>
      <c r="IR195" s="20"/>
      <c r="IS195" s="20"/>
      <c r="IT195" s="20"/>
      <c r="IU195" s="20"/>
      <c r="IV195" s="20"/>
    </row>
    <row r="196" spans="1:256" s="21" customFormat="1" ht="63.75">
      <c r="A196" s="135"/>
      <c r="B196" s="24">
        <v>186</v>
      </c>
      <c r="C196" s="24">
        <v>542998</v>
      </c>
      <c r="D196" s="25">
        <v>44715</v>
      </c>
      <c r="E196" s="26">
        <v>-16167</v>
      </c>
      <c r="F196" s="26">
        <v>106581</v>
      </c>
      <c r="G196" s="26">
        <v>3783</v>
      </c>
      <c r="H196" s="27"/>
      <c r="I196" s="27"/>
      <c r="J196" s="27">
        <v>318</v>
      </c>
      <c r="K196" s="27">
        <v>1</v>
      </c>
      <c r="L196" s="27" t="s">
        <v>38</v>
      </c>
      <c r="M196" s="27" t="s">
        <v>920</v>
      </c>
      <c r="N196" s="27" t="s">
        <v>921</v>
      </c>
      <c r="O196" s="27"/>
      <c r="P196" s="27" t="s">
        <v>922</v>
      </c>
      <c r="Q196" s="27"/>
      <c r="R196" s="27"/>
      <c r="S196" s="27"/>
      <c r="T196" s="27"/>
      <c r="U196" s="28"/>
      <c r="V196" s="27">
        <v>1</v>
      </c>
      <c r="W196" s="27"/>
      <c r="X196" s="27" t="s">
        <v>151</v>
      </c>
      <c r="Y196" s="29"/>
      <c r="Z196" s="30"/>
      <c r="AA196" s="31"/>
      <c r="AB196" s="30"/>
      <c r="AC196" s="31"/>
      <c r="AD196" s="30"/>
      <c r="AE196" s="27"/>
      <c r="AF196" s="27"/>
      <c r="AG196" s="27">
        <f>365.82+26.91/2</f>
        <v>379.27499999999998</v>
      </c>
      <c r="AH196" s="27"/>
      <c r="AI196" s="28">
        <v>31.7</v>
      </c>
      <c r="AJ196" s="32">
        <v>64.3</v>
      </c>
      <c r="AK196" s="33">
        <v>1034.43</v>
      </c>
      <c r="AL196" s="33"/>
      <c r="AM196" s="33"/>
      <c r="AN196" s="33"/>
      <c r="AO196" s="33"/>
      <c r="AP196" s="34">
        <v>13043.34</v>
      </c>
      <c r="AQ196" s="33" t="s">
        <v>71</v>
      </c>
      <c r="AR196" s="34" t="s">
        <v>923</v>
      </c>
      <c r="AS196" s="35">
        <v>44799</v>
      </c>
      <c r="AT196" s="36"/>
      <c r="AU196" s="134" t="s">
        <v>924</v>
      </c>
      <c r="AV196" s="19"/>
      <c r="AW196" s="19"/>
      <c r="AX196" s="19"/>
      <c r="AY196" s="19"/>
      <c r="AZ196" s="19"/>
      <c r="BA196" s="19"/>
      <c r="BB196" s="19"/>
      <c r="BC196" s="19"/>
      <c r="BD196" s="19"/>
      <c r="BE196" s="19"/>
      <c r="BF196" s="19"/>
      <c r="BG196" s="20"/>
      <c r="BH196" s="20"/>
      <c r="BI196" s="20"/>
      <c r="BJ196" s="20"/>
      <c r="BK196" s="20"/>
      <c r="BL196" s="20"/>
      <c r="BM196" s="20"/>
      <c r="BN196" s="20"/>
      <c r="BO196" s="20"/>
      <c r="BP196" s="20"/>
      <c r="BQ196" s="20"/>
      <c r="BR196" s="20"/>
      <c r="BS196" s="20"/>
      <c r="BT196" s="20"/>
      <c r="BU196" s="20"/>
      <c r="BV196" s="20"/>
      <c r="IP196" s="20"/>
      <c r="IQ196" s="20"/>
      <c r="IR196" s="20"/>
      <c r="IS196" s="20"/>
      <c r="IT196" s="20"/>
      <c r="IU196" s="20"/>
      <c r="IV196" s="20"/>
    </row>
    <row r="197" spans="1:256" s="21" customFormat="1" ht="79.150000000000006" customHeight="1">
      <c r="A197" s="135"/>
      <c r="B197" s="233">
        <v>185</v>
      </c>
      <c r="C197" s="233">
        <v>542061</v>
      </c>
      <c r="D197" s="261">
        <v>44684</v>
      </c>
      <c r="E197" s="26">
        <v>55223</v>
      </c>
      <c r="F197" s="26">
        <v>162612</v>
      </c>
      <c r="G197" s="26">
        <v>33186</v>
      </c>
      <c r="H197" s="72">
        <v>3</v>
      </c>
      <c r="I197" s="72"/>
      <c r="J197" s="72">
        <v>4</v>
      </c>
      <c r="K197" s="27">
        <v>31</v>
      </c>
      <c r="L197" s="72" t="s">
        <v>793</v>
      </c>
      <c r="M197" s="72" t="s">
        <v>270</v>
      </c>
      <c r="N197" s="72" t="s">
        <v>925</v>
      </c>
      <c r="O197" s="72" t="s">
        <v>926</v>
      </c>
      <c r="P197" s="72" t="s">
        <v>115</v>
      </c>
      <c r="Q197" s="72" t="s">
        <v>115</v>
      </c>
      <c r="R197" s="72" t="s">
        <v>115</v>
      </c>
      <c r="S197" s="72" t="s">
        <v>100</v>
      </c>
      <c r="T197" s="27"/>
      <c r="U197" s="73">
        <v>1</v>
      </c>
      <c r="V197" s="27"/>
      <c r="W197" s="27"/>
      <c r="X197" s="72" t="s">
        <v>65</v>
      </c>
      <c r="Y197" s="29"/>
      <c r="Z197" s="30"/>
      <c r="AA197" s="31"/>
      <c r="AB197" s="30"/>
      <c r="AC197" s="31"/>
      <c r="AD197" s="30"/>
      <c r="AE197" s="27"/>
      <c r="AF197" s="27"/>
      <c r="AG197" s="27"/>
      <c r="AH197" s="27"/>
      <c r="AI197" s="28">
        <f>372+67.64/2+248.3+43.03/2</f>
        <v>675.63499999999999</v>
      </c>
      <c r="AJ197" s="32"/>
      <c r="AK197" s="33">
        <v>876.78</v>
      </c>
      <c r="AL197" s="33">
        <f>+(372+67.64)/AK197</f>
        <v>0.50142567120600379</v>
      </c>
      <c r="AM197" s="33">
        <f>+AI197/AK197</f>
        <v>0.77058669221469467</v>
      </c>
      <c r="AN197" s="33"/>
      <c r="AO197" s="78">
        <f>241648.64+((8*24483+19581*8+14688*3+9793*3)/22)*AI197</f>
        <v>13323017.113863636</v>
      </c>
      <c r="AP197" s="72">
        <v>57640.32</v>
      </c>
      <c r="AQ197" s="72" t="s">
        <v>71</v>
      </c>
      <c r="AR197" s="79" t="s">
        <v>927</v>
      </c>
      <c r="AS197" s="35">
        <v>44795</v>
      </c>
      <c r="AT197" s="36"/>
      <c r="AU197" s="262" t="s">
        <v>928</v>
      </c>
      <c r="AV197" s="19"/>
      <c r="AW197" s="19"/>
      <c r="AX197" s="19"/>
      <c r="AY197" s="19"/>
      <c r="AZ197" s="19"/>
      <c r="BA197" s="19"/>
      <c r="BB197" s="19"/>
      <c r="BC197" s="19"/>
      <c r="BD197" s="19"/>
      <c r="BE197" s="19"/>
      <c r="BF197" s="19"/>
      <c r="BG197" s="20"/>
      <c r="BH197" s="20"/>
      <c r="BI197" s="20"/>
      <c r="BJ197" s="20"/>
      <c r="BK197" s="20"/>
      <c r="BL197" s="20"/>
      <c r="BM197" s="20"/>
      <c r="BN197" s="20"/>
      <c r="BO197" s="20"/>
      <c r="BP197" s="20"/>
      <c r="BQ197" s="20"/>
      <c r="BR197" s="20"/>
      <c r="BS197" s="20"/>
      <c r="BT197" s="20"/>
      <c r="BU197" s="20"/>
      <c r="BV197" s="20"/>
      <c r="IP197" s="20"/>
      <c r="IQ197" s="20"/>
      <c r="IR197" s="20"/>
      <c r="IS197" s="20"/>
      <c r="IT197" s="20"/>
      <c r="IU197" s="20"/>
      <c r="IV197" s="20"/>
    </row>
    <row r="198" spans="1:256" s="21" customFormat="1" ht="12.75">
      <c r="A198" s="135"/>
      <c r="B198" s="263"/>
      <c r="C198" s="263"/>
      <c r="D198" s="264"/>
      <c r="E198" s="26">
        <v>55165</v>
      </c>
      <c r="F198" s="26">
        <v>164254</v>
      </c>
      <c r="G198" s="26">
        <v>33471</v>
      </c>
      <c r="H198" s="102"/>
      <c r="I198" s="102"/>
      <c r="J198" s="102"/>
      <c r="K198" s="27">
        <v>32</v>
      </c>
      <c r="L198" s="102"/>
      <c r="M198" s="102"/>
      <c r="N198" s="102"/>
      <c r="O198" s="102"/>
      <c r="P198" s="102"/>
      <c r="Q198" s="102"/>
      <c r="R198" s="102"/>
      <c r="S198" s="102"/>
      <c r="T198" s="27"/>
      <c r="U198" s="265"/>
      <c r="V198" s="27"/>
      <c r="W198" s="27"/>
      <c r="X198" s="102"/>
      <c r="Y198" s="29"/>
      <c r="Z198" s="30"/>
      <c r="AA198" s="31"/>
      <c r="AB198" s="30"/>
      <c r="AC198" s="31"/>
      <c r="AD198" s="30"/>
      <c r="AE198" s="27"/>
      <c r="AF198" s="27"/>
      <c r="AG198" s="27"/>
      <c r="AH198" s="27"/>
      <c r="AI198" s="28"/>
      <c r="AJ198" s="32"/>
      <c r="AK198" s="33">
        <v>892.92</v>
      </c>
      <c r="AL198" s="33"/>
      <c r="AM198" s="33"/>
      <c r="AN198" s="33"/>
      <c r="AO198" s="236"/>
      <c r="AP198" s="102"/>
      <c r="AQ198" s="102"/>
      <c r="AR198" s="248"/>
      <c r="AS198" s="35"/>
      <c r="AT198" s="36"/>
      <c r="AU198" s="266"/>
      <c r="AV198" s="19"/>
      <c r="AW198" s="19"/>
      <c r="AX198" s="19"/>
      <c r="AY198" s="19"/>
      <c r="AZ198" s="19"/>
      <c r="BA198" s="19"/>
      <c r="BB198" s="19"/>
      <c r="BC198" s="19"/>
      <c r="BD198" s="19"/>
      <c r="BE198" s="19"/>
      <c r="BF198" s="19"/>
      <c r="BG198" s="20"/>
      <c r="BH198" s="20"/>
      <c r="BI198" s="20"/>
      <c r="BJ198" s="20"/>
      <c r="BK198" s="20"/>
      <c r="BL198" s="20"/>
      <c r="BM198" s="20"/>
      <c r="BN198" s="20"/>
      <c r="BO198" s="20"/>
      <c r="BP198" s="20"/>
      <c r="BQ198" s="20"/>
      <c r="BR198" s="20"/>
      <c r="BS198" s="20"/>
      <c r="BT198" s="20"/>
      <c r="BU198" s="20"/>
      <c r="BV198" s="20"/>
      <c r="IP198" s="20"/>
      <c r="IQ198" s="20"/>
      <c r="IR198" s="20"/>
      <c r="IS198" s="20"/>
      <c r="IT198" s="20"/>
      <c r="IU198" s="20"/>
      <c r="IV198" s="20"/>
    </row>
    <row r="199" spans="1:256" s="21" customFormat="1" ht="76.5">
      <c r="A199" s="135"/>
      <c r="B199" s="24">
        <v>183</v>
      </c>
      <c r="C199" s="24">
        <v>543853</v>
      </c>
      <c r="D199" s="25">
        <v>44757</v>
      </c>
      <c r="E199" s="26">
        <v>60787</v>
      </c>
      <c r="F199" s="26">
        <v>168781</v>
      </c>
      <c r="G199" s="26">
        <v>33999</v>
      </c>
      <c r="H199" s="27">
        <v>3</v>
      </c>
      <c r="I199" s="27"/>
      <c r="J199" s="27">
        <v>6</v>
      </c>
      <c r="K199" s="27">
        <v>12</v>
      </c>
      <c r="L199" s="27" t="s">
        <v>793</v>
      </c>
      <c r="M199" s="27" t="s">
        <v>270</v>
      </c>
      <c r="N199" s="27" t="s">
        <v>929</v>
      </c>
      <c r="O199" s="27"/>
      <c r="P199" s="27" t="s">
        <v>317</v>
      </c>
      <c r="Q199" s="27" t="s">
        <v>317</v>
      </c>
      <c r="R199" s="27" t="s">
        <v>317</v>
      </c>
      <c r="S199" s="27" t="s">
        <v>64</v>
      </c>
      <c r="T199" s="27"/>
      <c r="U199" s="28">
        <v>1</v>
      </c>
      <c r="V199" s="27"/>
      <c r="W199" s="27"/>
      <c r="X199" s="27" t="s">
        <v>65</v>
      </c>
      <c r="Y199" s="29"/>
      <c r="Z199" s="30">
        <v>3</v>
      </c>
      <c r="AA199" s="31"/>
      <c r="AB199" s="30">
        <f>+Z199+1</f>
        <v>4</v>
      </c>
      <c r="AC199" s="31"/>
      <c r="AD199" s="30">
        <f>+Z199*2</f>
        <v>6</v>
      </c>
      <c r="AE199" s="27"/>
      <c r="AF199" s="27"/>
      <c r="AG199" s="27"/>
      <c r="AH199" s="27"/>
      <c r="AI199" s="28">
        <f>139.63+84.35/2</f>
        <v>181.80500000000001</v>
      </c>
      <c r="AJ199" s="32"/>
      <c r="AK199" s="33">
        <v>902.91</v>
      </c>
      <c r="AL199" s="33">
        <f>+(139.63+84.35)/AK199</f>
        <v>0.24806459115526464</v>
      </c>
      <c r="AM199" s="33">
        <f>+AI199/AK199</f>
        <v>0.20135450930879048</v>
      </c>
      <c r="AN199" s="33"/>
      <c r="AO199" s="33"/>
      <c r="AP199" s="34">
        <v>14387.7</v>
      </c>
      <c r="AQ199" s="33" t="s">
        <v>71</v>
      </c>
      <c r="AR199" s="34" t="s">
        <v>930</v>
      </c>
      <c r="AS199" s="35">
        <v>44795</v>
      </c>
      <c r="AT199" s="36"/>
      <c r="AU199" s="134"/>
      <c r="AV199" s="19"/>
      <c r="AW199" s="19"/>
      <c r="AX199" s="19"/>
      <c r="AY199" s="19"/>
      <c r="AZ199" s="19"/>
      <c r="BA199" s="19"/>
      <c r="BB199" s="19"/>
      <c r="BC199" s="19"/>
      <c r="BD199" s="19"/>
      <c r="BE199" s="19"/>
      <c r="BF199" s="19"/>
      <c r="BG199" s="20"/>
      <c r="BH199" s="20"/>
      <c r="BI199" s="20"/>
      <c r="BJ199" s="20"/>
      <c r="BK199" s="20"/>
      <c r="BL199" s="20"/>
      <c r="BM199" s="20"/>
      <c r="BN199" s="20"/>
      <c r="BO199" s="20"/>
      <c r="BP199" s="20"/>
      <c r="BQ199" s="20"/>
      <c r="BR199" s="20"/>
      <c r="BS199" s="20"/>
      <c r="BT199" s="20"/>
      <c r="BU199" s="20"/>
      <c r="BV199" s="20"/>
      <c r="IP199" s="20"/>
      <c r="IQ199" s="20"/>
      <c r="IR199" s="20"/>
      <c r="IS199" s="20"/>
      <c r="IT199" s="20"/>
      <c r="IU199" s="20"/>
      <c r="IV199" s="20"/>
    </row>
    <row r="200" spans="1:256" s="21" customFormat="1" ht="76.5">
      <c r="A200" s="135"/>
      <c r="B200" s="24">
        <v>187</v>
      </c>
      <c r="C200" s="24">
        <v>522426</v>
      </c>
      <c r="D200" s="25">
        <v>44036</v>
      </c>
      <c r="E200" s="26">
        <v>29844</v>
      </c>
      <c r="F200" s="26">
        <v>128197</v>
      </c>
      <c r="G200" s="26">
        <v>31313</v>
      </c>
      <c r="H200" s="27">
        <v>3</v>
      </c>
      <c r="I200" s="27"/>
      <c r="J200" s="27"/>
      <c r="K200" s="27">
        <v>38</v>
      </c>
      <c r="L200" s="27" t="s">
        <v>545</v>
      </c>
      <c r="M200" s="27" t="s">
        <v>931</v>
      </c>
      <c r="N200" s="27" t="s">
        <v>932</v>
      </c>
      <c r="O200" s="27"/>
      <c r="P200" s="27" t="s">
        <v>933</v>
      </c>
      <c r="Q200" s="27"/>
      <c r="R200" s="27"/>
      <c r="S200" s="27"/>
      <c r="T200" s="27">
        <f>1+1</f>
        <v>2</v>
      </c>
      <c r="U200" s="28"/>
      <c r="V200" s="27"/>
      <c r="W200" s="27"/>
      <c r="X200" s="27" t="s">
        <v>934</v>
      </c>
      <c r="Y200" s="29">
        <v>3</v>
      </c>
      <c r="Z200" s="30"/>
      <c r="AA200" s="31">
        <v>3</v>
      </c>
      <c r="AB200" s="30"/>
      <c r="AC200" s="31">
        <f>+Y200*2</f>
        <v>6</v>
      </c>
      <c r="AD200" s="30"/>
      <c r="AE200" s="27"/>
      <c r="AF200" s="27"/>
      <c r="AG200" s="27"/>
      <c r="AH200" s="27">
        <f>459.68+27.84/2+123.54+123.31</f>
        <v>720.45</v>
      </c>
      <c r="AI200" s="28"/>
      <c r="AJ200" s="32"/>
      <c r="AK200" s="33">
        <v>2114.88</v>
      </c>
      <c r="AL200" s="33">
        <f>+(469.68+27.84)/AK200</f>
        <v>0.23524738992283248</v>
      </c>
      <c r="AM200" s="33">
        <f>+AH200/AK200</f>
        <v>0.34065762596459376</v>
      </c>
      <c r="AN200" s="33"/>
      <c r="AO200" s="33">
        <f>+AH200*19581</f>
        <v>14107131.450000001</v>
      </c>
      <c r="AP200" s="34">
        <v>208828.05</v>
      </c>
      <c r="AQ200" s="33" t="s">
        <v>71</v>
      </c>
      <c r="AR200" s="34" t="s">
        <v>935</v>
      </c>
      <c r="AS200" s="35"/>
      <c r="AT200" s="36"/>
      <c r="AU200" s="34"/>
      <c r="AV200" s="19"/>
      <c r="AW200" s="19"/>
      <c r="AX200" s="19"/>
      <c r="AY200" s="19"/>
      <c r="AZ200" s="19"/>
      <c r="BA200" s="19"/>
      <c r="BB200" s="19"/>
      <c r="BC200" s="19"/>
      <c r="BD200" s="19"/>
      <c r="BE200" s="19"/>
      <c r="BF200" s="19"/>
      <c r="BG200" s="20"/>
      <c r="BH200" s="20"/>
      <c r="BI200" s="20"/>
      <c r="BJ200" s="20"/>
      <c r="BK200" s="20"/>
      <c r="BL200" s="20"/>
      <c r="BM200" s="20"/>
      <c r="BN200" s="20"/>
      <c r="BO200" s="20"/>
      <c r="BP200" s="20"/>
      <c r="BQ200" s="20"/>
      <c r="BR200" s="20"/>
      <c r="BS200" s="20"/>
      <c r="BT200" s="20"/>
      <c r="BU200" s="20"/>
      <c r="BV200" s="20"/>
      <c r="IP200" s="20"/>
      <c r="IQ200" s="20"/>
      <c r="IR200" s="20"/>
      <c r="IS200" s="20"/>
      <c r="IT200" s="20"/>
      <c r="IU200" s="20"/>
      <c r="IV200" s="20"/>
    </row>
    <row r="201" spans="1:256" s="21" customFormat="1" ht="63.75">
      <c r="A201" s="135"/>
      <c r="B201" s="24">
        <v>189</v>
      </c>
      <c r="C201" s="24" t="s">
        <v>936</v>
      </c>
      <c r="D201" s="25">
        <v>44761</v>
      </c>
      <c r="E201" s="26">
        <v>-23355</v>
      </c>
      <c r="F201" s="26">
        <v>118776</v>
      </c>
      <c r="G201" s="26">
        <v>571</v>
      </c>
      <c r="H201" s="27"/>
      <c r="I201" s="27"/>
      <c r="J201" s="27">
        <v>186</v>
      </c>
      <c r="K201" s="27">
        <v>8</v>
      </c>
      <c r="L201" s="27" t="s">
        <v>31</v>
      </c>
      <c r="M201" s="27" t="s">
        <v>937</v>
      </c>
      <c r="N201" s="27" t="s">
        <v>938</v>
      </c>
      <c r="O201" s="27"/>
      <c r="P201" s="27" t="s">
        <v>120</v>
      </c>
      <c r="Q201" s="27"/>
      <c r="R201" s="27"/>
      <c r="S201" s="27"/>
      <c r="T201" s="27">
        <f>1+1+1+1+1</f>
        <v>5</v>
      </c>
      <c r="U201" s="28"/>
      <c r="V201" s="27"/>
      <c r="W201" s="27"/>
      <c r="X201" s="27" t="s">
        <v>404</v>
      </c>
      <c r="Y201" s="29">
        <f>1+1+1+2</f>
        <v>5</v>
      </c>
      <c r="Z201" s="30"/>
      <c r="AA201" s="31">
        <f>+Y201+1+1+1+1</f>
        <v>9</v>
      </c>
      <c r="AB201" s="30"/>
      <c r="AC201" s="31">
        <f>+Y201*2</f>
        <v>10</v>
      </c>
      <c r="AD201" s="30"/>
      <c r="AE201" s="27"/>
      <c r="AF201" s="27">
        <f>406.52+12.24/2</f>
        <v>412.64</v>
      </c>
      <c r="AG201" s="27"/>
      <c r="AH201" s="27">
        <f>35.45+68.3+71.85</f>
        <v>175.6</v>
      </c>
      <c r="AI201" s="28"/>
      <c r="AJ201" s="32"/>
      <c r="AK201" s="33">
        <v>460.65</v>
      </c>
      <c r="AL201" s="33">
        <v>1</v>
      </c>
      <c r="AM201" s="33">
        <f>+(AF201+AH201)/AK201</f>
        <v>1.2769781830022795</v>
      </c>
      <c r="AN201" s="33"/>
      <c r="AO201" s="33">
        <v>3500000</v>
      </c>
      <c r="AP201" s="34">
        <v>67602.990000000005</v>
      </c>
      <c r="AQ201" s="33" t="s">
        <v>71</v>
      </c>
      <c r="AR201" s="34" t="s">
        <v>939</v>
      </c>
      <c r="AS201" s="35">
        <v>44796</v>
      </c>
      <c r="AT201" s="36"/>
      <c r="AU201" s="134">
        <v>44784</v>
      </c>
      <c r="AV201" s="19"/>
      <c r="AW201" s="19"/>
      <c r="AX201" s="19"/>
      <c r="AY201" s="19"/>
      <c r="AZ201" s="19"/>
      <c r="BA201" s="19"/>
      <c r="BB201" s="19"/>
      <c r="BC201" s="19"/>
      <c r="BD201" s="19"/>
      <c r="BE201" s="19"/>
      <c r="BF201" s="19"/>
      <c r="BG201" s="20"/>
      <c r="BH201" s="20"/>
      <c r="BI201" s="20"/>
      <c r="BJ201" s="20"/>
      <c r="BK201" s="20"/>
      <c r="BL201" s="20"/>
      <c r="BM201" s="20"/>
      <c r="BN201" s="20"/>
      <c r="BO201" s="20"/>
      <c r="BP201" s="20"/>
      <c r="BQ201" s="20"/>
      <c r="BR201" s="20"/>
      <c r="BS201" s="20"/>
      <c r="BT201" s="20"/>
      <c r="BU201" s="20"/>
      <c r="BV201" s="20"/>
      <c r="IP201" s="20"/>
      <c r="IQ201" s="20"/>
      <c r="IR201" s="20"/>
      <c r="IS201" s="20"/>
      <c r="IT201" s="20"/>
      <c r="IU201" s="20"/>
      <c r="IV201" s="20"/>
    </row>
    <row r="202" spans="1:256" s="21" customFormat="1" ht="51">
      <c r="A202" s="135"/>
      <c r="B202" s="24">
        <v>190</v>
      </c>
      <c r="C202" s="24">
        <v>542205</v>
      </c>
      <c r="D202" s="25">
        <v>44691</v>
      </c>
      <c r="E202" s="26">
        <v>54007</v>
      </c>
      <c r="F202" s="26">
        <v>138586</v>
      </c>
      <c r="G202" s="26">
        <v>8485</v>
      </c>
      <c r="H202" s="27"/>
      <c r="I202" s="27"/>
      <c r="J202" s="27">
        <v>662</v>
      </c>
      <c r="K202" s="27">
        <v>8</v>
      </c>
      <c r="L202" s="27" t="s">
        <v>88</v>
      </c>
      <c r="M202" s="27" t="s">
        <v>940</v>
      </c>
      <c r="N202" s="27" t="s">
        <v>941</v>
      </c>
      <c r="O202" s="27"/>
      <c r="P202" s="27" t="s">
        <v>557</v>
      </c>
      <c r="Q202" s="27" t="s">
        <v>557</v>
      </c>
      <c r="R202" s="27" t="s">
        <v>557</v>
      </c>
      <c r="S202" s="27" t="s">
        <v>100</v>
      </c>
      <c r="T202" s="27"/>
      <c r="U202" s="28">
        <v>5</v>
      </c>
      <c r="V202" s="27"/>
      <c r="W202" s="27"/>
      <c r="X202" s="27" t="s">
        <v>77</v>
      </c>
      <c r="Y202" s="29"/>
      <c r="Z202" s="30">
        <f>2*U202</f>
        <v>10</v>
      </c>
      <c r="AA202" s="31"/>
      <c r="AB202" s="30">
        <f>+Z202+5</f>
        <v>15</v>
      </c>
      <c r="AC202" s="31"/>
      <c r="AD202" s="30">
        <f>+Z202*2</f>
        <v>20</v>
      </c>
      <c r="AE202" s="27"/>
      <c r="AF202" s="27"/>
      <c r="AG202" s="27"/>
      <c r="AH202" s="27"/>
      <c r="AI202" s="28">
        <f>373.31+89.03/2</f>
        <v>417.82499999999999</v>
      </c>
      <c r="AJ202" s="32"/>
      <c r="AK202" s="33">
        <v>600.19000000000005</v>
      </c>
      <c r="AL202" s="33">
        <f>+(373.31+89.03)/AK202</f>
        <v>0.77032273113514049</v>
      </c>
      <c r="AM202" s="33">
        <f>+AI202/AK202</f>
        <v>0.69615455105883128</v>
      </c>
      <c r="AN202" s="33"/>
      <c r="AO202" s="33">
        <f>+(3*24483+19581*17+14688+9793)/22*AI202</f>
        <v>8181906.1261363635</v>
      </c>
      <c r="AP202" s="34">
        <v>29797.46</v>
      </c>
      <c r="AQ202" s="33" t="s">
        <v>71</v>
      </c>
      <c r="AR202" s="34" t="s">
        <v>942</v>
      </c>
      <c r="AS202" s="35">
        <v>44797</v>
      </c>
      <c r="AT202" s="36"/>
      <c r="AU202" s="134" t="s">
        <v>943</v>
      </c>
      <c r="AV202" s="19"/>
      <c r="AW202" s="19"/>
      <c r="AX202" s="19"/>
      <c r="AY202" s="19"/>
      <c r="AZ202" s="19"/>
      <c r="BA202" s="19"/>
      <c r="BB202" s="19"/>
      <c r="BC202" s="19"/>
      <c r="BD202" s="19"/>
      <c r="BE202" s="19"/>
      <c r="BF202" s="19"/>
      <c r="BG202" s="20"/>
      <c r="BH202" s="20"/>
      <c r="BI202" s="20"/>
      <c r="BJ202" s="20"/>
      <c r="BK202" s="20"/>
      <c r="BL202" s="20"/>
      <c r="BM202" s="20"/>
      <c r="BN202" s="20"/>
      <c r="BO202" s="20"/>
      <c r="BP202" s="20"/>
      <c r="BQ202" s="20"/>
      <c r="BR202" s="20"/>
      <c r="BS202" s="20"/>
      <c r="BT202" s="20"/>
      <c r="BU202" s="20"/>
      <c r="BV202" s="20"/>
      <c r="IP202" s="20"/>
      <c r="IQ202" s="20"/>
      <c r="IR202" s="20"/>
      <c r="IS202" s="20"/>
      <c r="IT202" s="20"/>
      <c r="IU202" s="20"/>
      <c r="IV202" s="20"/>
    </row>
    <row r="203" spans="1:256" s="21" customFormat="1" ht="51">
      <c r="A203" s="135"/>
      <c r="B203" s="24">
        <v>191</v>
      </c>
      <c r="C203" s="24">
        <v>543554</v>
      </c>
      <c r="D203" s="25">
        <v>44742</v>
      </c>
      <c r="E203" s="26">
        <v>52779</v>
      </c>
      <c r="F203" s="26">
        <v>50444</v>
      </c>
      <c r="G203" s="26">
        <v>4018</v>
      </c>
      <c r="H203" s="27"/>
      <c r="I203" s="27"/>
      <c r="J203" s="27">
        <v>343</v>
      </c>
      <c r="K203" s="27">
        <v>6</v>
      </c>
      <c r="L203" s="27" t="s">
        <v>46</v>
      </c>
      <c r="M203" s="27" t="s">
        <v>944</v>
      </c>
      <c r="N203" s="27" t="s">
        <v>945</v>
      </c>
      <c r="O203" s="27"/>
      <c r="P203" s="27" t="s">
        <v>34</v>
      </c>
      <c r="Q203" s="27"/>
      <c r="R203" s="27" t="s">
        <v>34</v>
      </c>
      <c r="S203" s="27" t="s">
        <v>100</v>
      </c>
      <c r="T203" s="27"/>
      <c r="U203" s="28">
        <v>1</v>
      </c>
      <c r="V203" s="27"/>
      <c r="W203" s="27"/>
      <c r="X203" s="27" t="s">
        <v>186</v>
      </c>
      <c r="Y203" s="29"/>
      <c r="Z203" s="30"/>
      <c r="AA203" s="31"/>
      <c r="AB203" s="30"/>
      <c r="AC203" s="31"/>
      <c r="AD203" s="30"/>
      <c r="AE203" s="27"/>
      <c r="AF203" s="27">
        <f>93.64+68.65/2</f>
        <v>127.965</v>
      </c>
      <c r="AG203" s="27"/>
      <c r="AH203" s="27"/>
      <c r="AI203" s="28"/>
      <c r="AJ203" s="32">
        <f>159.6+9.15/2+154.14+9.15/2</f>
        <v>322.88999999999993</v>
      </c>
      <c r="AK203" s="33">
        <v>272.04000000000002</v>
      </c>
      <c r="AL203" s="33">
        <f>+(93.64+68.65)/AK203</f>
        <v>0.59656668137038671</v>
      </c>
      <c r="AM203" s="33">
        <v>1.5</v>
      </c>
      <c r="AN203" s="33"/>
      <c r="AO203" s="33">
        <f>+(2*24483+19581*9+8*14688+9793*1)/20*AJ203</f>
        <v>5690807.0939999986</v>
      </c>
      <c r="AP203" s="34">
        <v>18180.21</v>
      </c>
      <c r="AQ203" s="33" t="s">
        <v>36</v>
      </c>
      <c r="AR203" s="34" t="s">
        <v>946</v>
      </c>
      <c r="AS203" s="35">
        <v>44802</v>
      </c>
      <c r="AT203" s="36"/>
      <c r="AU203" s="134">
        <v>44743</v>
      </c>
      <c r="AV203" s="19"/>
      <c r="AW203" s="19"/>
      <c r="AX203" s="19"/>
      <c r="AY203" s="19"/>
      <c r="AZ203" s="19"/>
      <c r="BA203" s="19"/>
      <c r="BB203" s="19"/>
      <c r="BC203" s="19"/>
      <c r="BD203" s="19"/>
      <c r="BE203" s="19"/>
      <c r="BF203" s="19"/>
      <c r="BG203" s="20"/>
      <c r="BH203" s="20"/>
      <c r="BI203" s="20"/>
      <c r="BJ203" s="20"/>
      <c r="BK203" s="20"/>
      <c r="BL203" s="20"/>
      <c r="BM203" s="20"/>
      <c r="BN203" s="20"/>
      <c r="BO203" s="20"/>
      <c r="BP203" s="20"/>
      <c r="BQ203" s="20"/>
      <c r="BR203" s="20"/>
      <c r="BS203" s="20"/>
      <c r="BT203" s="20"/>
      <c r="BU203" s="20"/>
      <c r="BV203" s="20"/>
      <c r="IP203" s="20"/>
      <c r="IQ203" s="20"/>
      <c r="IR203" s="20"/>
      <c r="IS203" s="20"/>
      <c r="IT203" s="20"/>
      <c r="IU203" s="20"/>
      <c r="IV203" s="20"/>
    </row>
    <row r="204" spans="1:256" s="21" customFormat="1" ht="38.25">
      <c r="A204" s="135"/>
      <c r="B204" s="24">
        <v>192</v>
      </c>
      <c r="C204" s="24">
        <v>542307</v>
      </c>
      <c r="D204" s="25">
        <v>44693</v>
      </c>
      <c r="E204" s="26">
        <v>57844</v>
      </c>
      <c r="F204" s="26">
        <v>166508</v>
      </c>
      <c r="G204" s="26">
        <v>10362</v>
      </c>
      <c r="H204" s="27"/>
      <c r="I204" s="27"/>
      <c r="J204" s="27">
        <v>577</v>
      </c>
      <c r="K204" s="27">
        <v>23</v>
      </c>
      <c r="L204" s="27" t="s">
        <v>46</v>
      </c>
      <c r="M204" s="27" t="s">
        <v>947</v>
      </c>
      <c r="N204" s="27" t="s">
        <v>948</v>
      </c>
      <c r="O204" s="27"/>
      <c r="P204" s="27" t="s">
        <v>949</v>
      </c>
      <c r="Q204" s="27"/>
      <c r="R204" s="27"/>
      <c r="S204" s="27"/>
      <c r="T204" s="27">
        <v>1</v>
      </c>
      <c r="U204" s="28"/>
      <c r="V204" s="27"/>
      <c r="W204" s="27"/>
      <c r="X204" s="27" t="s">
        <v>77</v>
      </c>
      <c r="Y204" s="29"/>
      <c r="Z204" s="30"/>
      <c r="AA204" s="31"/>
      <c r="AB204" s="30"/>
      <c r="AC204" s="31"/>
      <c r="AD204" s="30"/>
      <c r="AE204" s="27">
        <f>60.81+10.07/2</f>
        <v>65.844999999999999</v>
      </c>
      <c r="AF204" s="27"/>
      <c r="AG204" s="27">
        <v>75.37</v>
      </c>
      <c r="AH204" s="27"/>
      <c r="AI204" s="28"/>
      <c r="AJ204" s="32"/>
      <c r="AK204" s="33">
        <v>168.49</v>
      </c>
      <c r="AL204" s="33">
        <f>+(75.37)/AK204</f>
        <v>0.44732625081607219</v>
      </c>
      <c r="AM204" s="33">
        <f>+(AE204+AG204)/AK204</f>
        <v>0.83812095673333731</v>
      </c>
      <c r="AN204" s="33"/>
      <c r="AO204" s="33"/>
      <c r="AP204" s="34">
        <v>44923.74</v>
      </c>
      <c r="AQ204" s="33" t="s">
        <v>71</v>
      </c>
      <c r="AR204" s="34" t="s">
        <v>950</v>
      </c>
      <c r="AS204" s="35">
        <v>44809</v>
      </c>
      <c r="AT204" s="36"/>
      <c r="AU204" s="134"/>
      <c r="AV204" s="19"/>
      <c r="AW204" s="19"/>
      <c r="AX204" s="19"/>
      <c r="AY204" s="19"/>
      <c r="AZ204" s="19"/>
      <c r="BA204" s="19"/>
      <c r="BB204" s="19"/>
      <c r="BC204" s="19"/>
      <c r="BD204" s="19"/>
      <c r="BE204" s="19"/>
      <c r="BF204" s="19"/>
      <c r="BG204" s="20"/>
      <c r="BH204" s="20"/>
      <c r="BI204" s="20"/>
      <c r="BJ204" s="20"/>
      <c r="BK204" s="20"/>
      <c r="BL204" s="20"/>
      <c r="BM204" s="20"/>
      <c r="BN204" s="20"/>
      <c r="BO204" s="20"/>
      <c r="BP204" s="20"/>
      <c r="BQ204" s="20"/>
      <c r="BR204" s="20"/>
      <c r="BS204" s="20"/>
      <c r="BT204" s="20"/>
      <c r="BU204" s="20"/>
      <c r="BV204" s="20"/>
      <c r="IP204" s="20"/>
      <c r="IQ204" s="20"/>
      <c r="IR204" s="20"/>
      <c r="IS204" s="20"/>
      <c r="IT204" s="20"/>
      <c r="IU204" s="20"/>
      <c r="IV204" s="20"/>
    </row>
    <row r="205" spans="1:256" s="21" customFormat="1" ht="38.25">
      <c r="A205" s="135"/>
      <c r="B205" s="24">
        <v>193</v>
      </c>
      <c r="C205" s="24">
        <v>544918</v>
      </c>
      <c r="D205" s="25">
        <v>44792</v>
      </c>
      <c r="E205" s="26">
        <v>35439</v>
      </c>
      <c r="F205" s="26">
        <v>50654</v>
      </c>
      <c r="G205" s="26">
        <v>211</v>
      </c>
      <c r="H205" s="27"/>
      <c r="I205" s="27"/>
      <c r="J205" s="27">
        <v>833</v>
      </c>
      <c r="K205" s="27">
        <v>11</v>
      </c>
      <c r="L205" s="27" t="s">
        <v>60</v>
      </c>
      <c r="M205" s="27" t="s">
        <v>951</v>
      </c>
      <c r="N205" s="27" t="s">
        <v>952</v>
      </c>
      <c r="O205" s="27"/>
      <c r="P205" s="27" t="s">
        <v>953</v>
      </c>
      <c r="Q205" s="27" t="s">
        <v>953</v>
      </c>
      <c r="R205" s="27" t="s">
        <v>953</v>
      </c>
      <c r="S205" s="27" t="s">
        <v>954</v>
      </c>
      <c r="T205" s="27"/>
      <c r="U205" s="28">
        <v>1</v>
      </c>
      <c r="V205" s="27"/>
      <c r="W205" s="27"/>
      <c r="X205" s="27" t="s">
        <v>186</v>
      </c>
      <c r="Y205" s="29"/>
      <c r="Z205" s="30"/>
      <c r="AA205" s="31"/>
      <c r="AB205" s="30"/>
      <c r="AC205" s="31"/>
      <c r="AD205" s="30"/>
      <c r="AE205" s="27"/>
      <c r="AF205" s="27"/>
      <c r="AG205" s="27"/>
      <c r="AH205" s="27"/>
      <c r="AI205" s="28"/>
      <c r="AJ205" s="32">
        <f>151.6+54.6</f>
        <v>206.2</v>
      </c>
      <c r="AK205" s="33">
        <v>241.57</v>
      </c>
      <c r="AL205" s="33">
        <f>+(151.6/AK205)</f>
        <v>0.62756136937533635</v>
      </c>
      <c r="AM205" s="33">
        <f>+AJ205/AK205</f>
        <v>0.85358281243531897</v>
      </c>
      <c r="AN205" s="33"/>
      <c r="AO205" s="33">
        <v>227775</v>
      </c>
      <c r="AP205" s="34">
        <v>38911.550000000003</v>
      </c>
      <c r="AQ205" s="33" t="s">
        <v>71</v>
      </c>
      <c r="AR205" s="34" t="s">
        <v>955</v>
      </c>
      <c r="AS205" s="35">
        <v>44804</v>
      </c>
      <c r="AT205" s="36"/>
      <c r="AU205" s="134" t="s">
        <v>956</v>
      </c>
      <c r="AV205" s="19"/>
      <c r="AW205" s="19"/>
      <c r="AX205" s="19"/>
      <c r="AY205" s="19"/>
      <c r="AZ205" s="19"/>
      <c r="BA205" s="19"/>
      <c r="BB205" s="19"/>
      <c r="BC205" s="19"/>
      <c r="BD205" s="19"/>
      <c r="BE205" s="19"/>
      <c r="BF205" s="19"/>
      <c r="BG205" s="20"/>
      <c r="BH205" s="20"/>
      <c r="BI205" s="20"/>
      <c r="BJ205" s="20"/>
      <c r="BK205" s="20"/>
      <c r="BL205" s="20"/>
      <c r="BM205" s="20"/>
      <c r="BN205" s="20"/>
      <c r="BO205" s="20"/>
      <c r="BP205" s="20"/>
      <c r="BQ205" s="20"/>
      <c r="BR205" s="20"/>
      <c r="BS205" s="20"/>
      <c r="BT205" s="20"/>
      <c r="BU205" s="20"/>
      <c r="BV205" s="20"/>
      <c r="IP205" s="20"/>
      <c r="IQ205" s="20"/>
      <c r="IR205" s="20"/>
      <c r="IS205" s="20"/>
      <c r="IT205" s="20"/>
      <c r="IU205" s="20"/>
      <c r="IV205" s="20"/>
    </row>
    <row r="206" spans="1:256" s="21" customFormat="1" ht="76.5">
      <c r="A206" s="22"/>
      <c r="B206" s="23">
        <v>194</v>
      </c>
      <c r="C206" s="23" t="s">
        <v>957</v>
      </c>
      <c r="D206" s="66">
        <v>44783</v>
      </c>
      <c r="E206" s="26">
        <v>60631</v>
      </c>
      <c r="F206" s="26">
        <v>168661</v>
      </c>
      <c r="G206" s="26">
        <v>33957</v>
      </c>
      <c r="H206" s="27">
        <v>271</v>
      </c>
      <c r="I206" s="27"/>
      <c r="J206" s="27">
        <v>2</v>
      </c>
      <c r="K206" s="27">
        <v>4</v>
      </c>
      <c r="L206" s="27" t="s">
        <v>240</v>
      </c>
      <c r="M206" s="27" t="s">
        <v>958</v>
      </c>
      <c r="N206" s="27" t="s">
        <v>959</v>
      </c>
      <c r="O206" s="27"/>
      <c r="P206" s="27" t="s">
        <v>149</v>
      </c>
      <c r="Q206" s="27" t="s">
        <v>149</v>
      </c>
      <c r="R206" s="27" t="s">
        <v>149</v>
      </c>
      <c r="S206" s="27" t="s">
        <v>960</v>
      </c>
      <c r="T206" s="27"/>
      <c r="U206" s="28">
        <v>1</v>
      </c>
      <c r="V206" s="27"/>
      <c r="W206" s="27"/>
      <c r="X206" s="27" t="s">
        <v>65</v>
      </c>
      <c r="Y206" s="29"/>
      <c r="Z206" s="30">
        <v>2</v>
      </c>
      <c r="AA206" s="31"/>
      <c r="AB206" s="30">
        <f>+Z206+1</f>
        <v>3</v>
      </c>
      <c r="AC206" s="31"/>
      <c r="AD206" s="30">
        <f>+Z206*2</f>
        <v>4</v>
      </c>
      <c r="AE206" s="27"/>
      <c r="AF206" s="27"/>
      <c r="AG206" s="27"/>
      <c r="AH206" s="27"/>
      <c r="AI206" s="28">
        <v>60</v>
      </c>
      <c r="AJ206" s="32"/>
      <c r="AK206" s="33">
        <v>231.13</v>
      </c>
      <c r="AL206" s="33">
        <f>+AI206/AK206</f>
        <v>0.25959416778436378</v>
      </c>
      <c r="AM206" s="33">
        <f>+AI206/AK206</f>
        <v>0.25959416778436378</v>
      </c>
      <c r="AN206" s="33"/>
      <c r="AO206" s="33">
        <f>+(2*24483+19581*4+12*14688+2*9793)/20*AI206</f>
        <v>969396</v>
      </c>
      <c r="AP206" s="34">
        <v>4190</v>
      </c>
      <c r="AQ206" s="33" t="s">
        <v>961</v>
      </c>
      <c r="AR206" s="34" t="s">
        <v>962</v>
      </c>
      <c r="AS206" s="35">
        <v>44804</v>
      </c>
      <c r="AT206" s="36"/>
      <c r="AU206" s="43" t="s">
        <v>963</v>
      </c>
      <c r="AV206" s="19"/>
      <c r="AW206" s="19"/>
      <c r="AX206" s="19"/>
      <c r="AY206" s="19"/>
      <c r="AZ206" s="19"/>
      <c r="BA206" s="19"/>
      <c r="BB206" s="19"/>
      <c r="BC206" s="19"/>
      <c r="BD206" s="19"/>
      <c r="BE206" s="19"/>
      <c r="BF206" s="19"/>
      <c r="BG206" s="20"/>
      <c r="BH206" s="20"/>
      <c r="BI206" s="20"/>
      <c r="BJ206" s="20"/>
      <c r="BK206" s="20"/>
      <c r="BL206" s="20"/>
      <c r="BM206" s="20"/>
      <c r="BN206" s="20"/>
      <c r="BO206" s="20"/>
      <c r="BP206" s="20"/>
      <c r="BQ206" s="20"/>
      <c r="BR206" s="20"/>
      <c r="BS206" s="20"/>
      <c r="BT206" s="20"/>
      <c r="BU206" s="20"/>
      <c r="BV206" s="20"/>
      <c r="IP206" s="20"/>
      <c r="IQ206" s="20"/>
      <c r="IR206" s="20"/>
      <c r="IS206" s="20"/>
      <c r="IT206" s="20"/>
      <c r="IU206" s="20"/>
      <c r="IV206" s="20"/>
    </row>
    <row r="207" spans="1:256" s="21" customFormat="1" ht="76.5">
      <c r="A207" s="22"/>
      <c r="B207" s="23">
        <v>196</v>
      </c>
      <c r="C207" s="23" t="s">
        <v>964</v>
      </c>
      <c r="D207" s="66">
        <v>44721</v>
      </c>
      <c r="E207" s="26">
        <v>3394</v>
      </c>
      <c r="F207" s="26">
        <v>1504</v>
      </c>
      <c r="G207" s="26">
        <v>773</v>
      </c>
      <c r="H207" s="27"/>
      <c r="I207" s="27"/>
      <c r="J207" s="27">
        <v>157</v>
      </c>
      <c r="K207" s="27">
        <v>23</v>
      </c>
      <c r="L207" s="27" t="s">
        <v>31</v>
      </c>
      <c r="M207" s="27" t="s">
        <v>965</v>
      </c>
      <c r="N207" s="27" t="s">
        <v>966</v>
      </c>
      <c r="O207" s="27"/>
      <c r="P207" s="27" t="s">
        <v>967</v>
      </c>
      <c r="Q207" s="27"/>
      <c r="R207" s="27"/>
      <c r="S207" s="27"/>
      <c r="T207" s="27">
        <v>1</v>
      </c>
      <c r="U207" s="28"/>
      <c r="V207" s="27"/>
      <c r="W207" s="27"/>
      <c r="X207" s="27" t="s">
        <v>65</v>
      </c>
      <c r="Y207" s="29">
        <v>2</v>
      </c>
      <c r="Z207" s="30"/>
      <c r="AA207" s="31">
        <f>+Y207+1+1</f>
        <v>4</v>
      </c>
      <c r="AB207" s="30"/>
      <c r="AC207" s="31">
        <f>+Y207*2</f>
        <v>4</v>
      </c>
      <c r="AD207" s="30"/>
      <c r="AE207" s="27"/>
      <c r="AF207" s="27"/>
      <c r="AG207" s="27">
        <f>137.12+28.74/2+27.99+0.84/2</f>
        <v>179.9</v>
      </c>
      <c r="AH207" s="27"/>
      <c r="AI207" s="28"/>
      <c r="AJ207" s="32"/>
      <c r="AK207" s="33">
        <v>241.2</v>
      </c>
      <c r="AL207" s="33">
        <f>+(137.12+28.74)/AK207</f>
        <v>0.68764510779436161</v>
      </c>
      <c r="AM207" s="33">
        <f>+AG207/AK207</f>
        <v>0.7458540630182422</v>
      </c>
      <c r="AN207" s="33">
        <f>+(1+6+12+4)/(1+3+4+1)</f>
        <v>2.5555555555555554</v>
      </c>
      <c r="AO207" s="33">
        <f>+(1*33123+26491*6+19871*6+13249*10)/23*AG207</f>
        <v>3471170.5</v>
      </c>
      <c r="AP207" s="34">
        <v>55331.99</v>
      </c>
      <c r="AQ207" s="33" t="s">
        <v>71</v>
      </c>
      <c r="AR207" s="34" t="s">
        <v>968</v>
      </c>
      <c r="AS207" s="35">
        <v>44805</v>
      </c>
      <c r="AT207" s="36"/>
      <c r="AU207" s="37">
        <v>44799</v>
      </c>
      <c r="AV207" s="19"/>
      <c r="AW207" s="19"/>
      <c r="AX207" s="19"/>
      <c r="AY207" s="19"/>
      <c r="AZ207" s="19"/>
      <c r="BA207" s="19"/>
      <c r="BB207" s="19"/>
      <c r="BC207" s="19"/>
      <c r="BD207" s="19"/>
      <c r="BE207" s="19"/>
      <c r="BF207" s="19"/>
      <c r="BG207" s="20"/>
      <c r="BH207" s="20"/>
      <c r="BI207" s="20"/>
      <c r="BJ207" s="20"/>
      <c r="BK207" s="20"/>
      <c r="BL207" s="20"/>
      <c r="BM207" s="20"/>
      <c r="BN207" s="20"/>
      <c r="BO207" s="20"/>
      <c r="BP207" s="20"/>
      <c r="BQ207" s="20"/>
      <c r="BR207" s="20"/>
      <c r="BS207" s="20"/>
      <c r="BT207" s="20"/>
      <c r="BU207" s="20"/>
      <c r="BV207" s="20"/>
      <c r="IP207" s="20"/>
      <c r="IQ207" s="20"/>
      <c r="IR207" s="20"/>
      <c r="IS207" s="20"/>
      <c r="IT207" s="20"/>
      <c r="IU207" s="20"/>
      <c r="IV207" s="20"/>
    </row>
    <row r="208" spans="1:256" s="21" customFormat="1" ht="51">
      <c r="A208" s="22"/>
      <c r="B208" s="23">
        <v>195</v>
      </c>
      <c r="C208" s="23" t="s">
        <v>969</v>
      </c>
      <c r="D208" s="66">
        <v>44725</v>
      </c>
      <c r="E208" s="26">
        <v>32927</v>
      </c>
      <c r="F208" s="26">
        <v>131643</v>
      </c>
      <c r="G208" s="26">
        <v>6985</v>
      </c>
      <c r="H208" s="27"/>
      <c r="I208" s="27"/>
      <c r="J208" s="27">
        <v>128</v>
      </c>
      <c r="K208" s="27">
        <v>10</v>
      </c>
      <c r="L208" s="27" t="s">
        <v>31</v>
      </c>
      <c r="M208" s="27" t="s">
        <v>970</v>
      </c>
      <c r="N208" s="27" t="s">
        <v>971</v>
      </c>
      <c r="O208" s="27"/>
      <c r="P208" s="27" t="s">
        <v>967</v>
      </c>
      <c r="Q208" s="27"/>
      <c r="R208" s="27"/>
      <c r="S208" s="27"/>
      <c r="T208" s="27">
        <v>1</v>
      </c>
      <c r="U208" s="28"/>
      <c r="V208" s="27"/>
      <c r="W208" s="27"/>
      <c r="X208" s="27" t="s">
        <v>151</v>
      </c>
      <c r="Y208" s="29">
        <v>2</v>
      </c>
      <c r="Z208" s="30"/>
      <c r="AA208" s="31">
        <f>+Y208+1</f>
        <v>3</v>
      </c>
      <c r="AB208" s="30"/>
      <c r="AC208" s="31">
        <f>+Y208*2</f>
        <v>4</v>
      </c>
      <c r="AD208" s="30"/>
      <c r="AE208" s="27"/>
      <c r="AF208" s="27"/>
      <c r="AG208" s="27">
        <f>109.2+49.4/2-AH208</f>
        <v>116.11</v>
      </c>
      <c r="AH208" s="27">
        <f>+(3*(5.63+0.15+0.15))</f>
        <v>17.790000000000003</v>
      </c>
      <c r="AI208" s="28"/>
      <c r="AJ208" s="32"/>
      <c r="AK208" s="33">
        <v>287</v>
      </c>
      <c r="AL208" s="33">
        <f>+(109.2+49.4)/AK208</f>
        <v>0.55261324041811843</v>
      </c>
      <c r="AM208" s="33">
        <f>+AG208/AK208</f>
        <v>0.40456445993031359</v>
      </c>
      <c r="AN208" s="33"/>
      <c r="AO208" s="33">
        <f>+(((4*19581+6*14688+9793*10)/20)*AG208)+(19581*(3*(5.63+0.15+0.15)))</f>
        <v>1883215.6910000001</v>
      </c>
      <c r="AP208" s="34">
        <v>25580.91</v>
      </c>
      <c r="AQ208" s="33" t="s">
        <v>71</v>
      </c>
      <c r="AR208" s="34" t="s">
        <v>972</v>
      </c>
      <c r="AS208" s="35">
        <v>44804</v>
      </c>
      <c r="AT208" s="36"/>
      <c r="AU208" s="37">
        <v>44799</v>
      </c>
      <c r="AV208" s="19"/>
      <c r="AW208" s="19"/>
      <c r="AX208" s="19"/>
      <c r="AY208" s="19"/>
      <c r="AZ208" s="19"/>
      <c r="BA208" s="19"/>
      <c r="BB208" s="19"/>
      <c r="BC208" s="19"/>
      <c r="BD208" s="19"/>
      <c r="BE208" s="19"/>
      <c r="BF208" s="19"/>
      <c r="BG208" s="20"/>
      <c r="BH208" s="20"/>
      <c r="BI208" s="20"/>
      <c r="BJ208" s="20"/>
      <c r="BK208" s="20"/>
      <c r="BL208" s="20"/>
      <c r="BM208" s="20"/>
      <c r="BN208" s="20"/>
      <c r="BO208" s="20"/>
      <c r="BP208" s="20"/>
      <c r="BQ208" s="20"/>
      <c r="BR208" s="20"/>
      <c r="BS208" s="20"/>
      <c r="BT208" s="20"/>
      <c r="BU208" s="20"/>
      <c r="BV208" s="20"/>
      <c r="IP208" s="20"/>
      <c r="IQ208" s="20"/>
      <c r="IR208" s="20"/>
      <c r="IS208" s="20"/>
      <c r="IT208" s="20"/>
      <c r="IU208" s="20"/>
      <c r="IV208" s="20"/>
    </row>
    <row r="209" spans="1:256" s="21" customFormat="1" ht="51">
      <c r="A209" s="135"/>
      <c r="B209" s="161">
        <v>198</v>
      </c>
      <c r="C209" s="161" t="s">
        <v>973</v>
      </c>
      <c r="D209" s="66"/>
      <c r="E209" s="26"/>
      <c r="F209" s="26"/>
      <c r="G209" s="26"/>
      <c r="H209" s="27"/>
      <c r="I209" s="27"/>
      <c r="J209" s="27"/>
      <c r="K209" s="27"/>
      <c r="L209" s="27" t="s">
        <v>31</v>
      </c>
      <c r="M209" s="27" t="s">
        <v>974</v>
      </c>
      <c r="N209" s="27"/>
      <c r="O209" s="27" t="s">
        <v>262</v>
      </c>
      <c r="P209" s="27" t="s">
        <v>261</v>
      </c>
      <c r="Q209" s="27" t="s">
        <v>261</v>
      </c>
      <c r="R209" s="27" t="s">
        <v>261</v>
      </c>
      <c r="S209" s="27" t="s">
        <v>262</v>
      </c>
      <c r="T209" s="27"/>
      <c r="U209" s="28"/>
      <c r="V209" s="27"/>
      <c r="W209" s="27"/>
      <c r="X209" s="27" t="s">
        <v>599</v>
      </c>
      <c r="Y209" s="29"/>
      <c r="Z209" s="30"/>
      <c r="AA209" s="31"/>
      <c r="AB209" s="30"/>
      <c r="AC209" s="31"/>
      <c r="AD209" s="30"/>
      <c r="AE209" s="27"/>
      <c r="AF209" s="27"/>
      <c r="AG209" s="27"/>
      <c r="AH209" s="27"/>
      <c r="AI209" s="28">
        <f>170.13+418.47+63.25/2+418.47+56.3/2+273.82+15.96/2-14.94*3</f>
        <v>1303.8250000000003</v>
      </c>
      <c r="AJ209" s="32"/>
      <c r="AK209" s="33">
        <v>866</v>
      </c>
      <c r="AL209" s="33">
        <f>+(170.13+311.58)/AK209</f>
        <v>0.55624711316397224</v>
      </c>
      <c r="AM209" s="33">
        <f>+AI209/AK209</f>
        <v>1.5055715935334877</v>
      </c>
      <c r="AN209" s="33"/>
      <c r="AO209" s="33"/>
      <c r="AP209" s="34">
        <v>129432.98</v>
      </c>
      <c r="AQ209" s="33" t="s">
        <v>71</v>
      </c>
      <c r="AR209" s="34" t="s">
        <v>975</v>
      </c>
      <c r="AS209" s="35">
        <v>44809</v>
      </c>
      <c r="AT209" s="36"/>
      <c r="AU209" s="165"/>
      <c r="AV209" s="19"/>
      <c r="AW209" s="19"/>
      <c r="AX209" s="19"/>
      <c r="AY209" s="19"/>
      <c r="AZ209" s="19"/>
      <c r="BA209" s="19"/>
      <c r="BB209" s="19"/>
      <c r="BC209" s="19"/>
      <c r="BD209" s="19"/>
      <c r="BE209" s="19"/>
      <c r="BF209" s="19"/>
      <c r="BG209" s="20"/>
      <c r="BH209" s="20"/>
      <c r="BI209" s="20"/>
      <c r="BJ209" s="20"/>
      <c r="BK209" s="20"/>
      <c r="BL209" s="20"/>
      <c r="BM209" s="20"/>
      <c r="BN209" s="20"/>
      <c r="BO209" s="20"/>
      <c r="BP209" s="20"/>
      <c r="BQ209" s="20"/>
      <c r="BR209" s="20"/>
      <c r="BS209" s="20"/>
      <c r="BT209" s="20"/>
      <c r="BU209" s="20"/>
      <c r="BV209" s="20"/>
      <c r="IP209" s="20"/>
      <c r="IQ209" s="20"/>
      <c r="IR209" s="20"/>
      <c r="IS209" s="20"/>
      <c r="IT209" s="20"/>
      <c r="IU209" s="20"/>
      <c r="IV209" s="20"/>
    </row>
    <row r="210" spans="1:256" s="21" customFormat="1" ht="63.75">
      <c r="A210" s="135"/>
      <c r="B210" s="24">
        <v>199</v>
      </c>
      <c r="C210" s="24">
        <v>543986</v>
      </c>
      <c r="D210" s="25">
        <v>44764</v>
      </c>
      <c r="E210" s="26">
        <v>45592</v>
      </c>
      <c r="F210" s="26">
        <v>142753</v>
      </c>
      <c r="G210" s="26">
        <v>9055</v>
      </c>
      <c r="H210" s="27"/>
      <c r="I210" s="27">
        <v>102</v>
      </c>
      <c r="J210" s="27">
        <v>591</v>
      </c>
      <c r="K210" s="27">
        <v>5</v>
      </c>
      <c r="L210" s="27" t="s">
        <v>88</v>
      </c>
      <c r="M210" s="27" t="s">
        <v>976</v>
      </c>
      <c r="N210" s="27" t="s">
        <v>977</v>
      </c>
      <c r="O210" s="27"/>
      <c r="P210" s="27" t="s">
        <v>827</v>
      </c>
      <c r="Q210" s="27"/>
      <c r="R210" s="27"/>
      <c r="S210" s="27"/>
      <c r="T210" s="27">
        <v>4</v>
      </c>
      <c r="U210" s="28"/>
      <c r="V210" s="27"/>
      <c r="W210" s="27"/>
      <c r="X210" s="27" t="s">
        <v>77</v>
      </c>
      <c r="Y210" s="29">
        <f>1+1+1+2</f>
        <v>5</v>
      </c>
      <c r="Z210" s="30"/>
      <c r="AA210" s="31">
        <f>+Y210+1</f>
        <v>6</v>
      </c>
      <c r="AB210" s="30"/>
      <c r="AC210" s="31">
        <f>+Y210*2</f>
        <v>10</v>
      </c>
      <c r="AD210" s="30"/>
      <c r="AE210" s="27"/>
      <c r="AF210" s="27"/>
      <c r="AG210" s="27">
        <f>53.44+70.41/2+91.21+4.65/2</f>
        <v>182.17999999999998</v>
      </c>
      <c r="AH210" s="27"/>
      <c r="AI210" s="28"/>
      <c r="AJ210" s="32"/>
      <c r="AK210" s="33">
        <v>245.68</v>
      </c>
      <c r="AL210" s="33">
        <f>+(53.44+70.41)/AK210</f>
        <v>0.50411103874959295</v>
      </c>
      <c r="AM210" s="33">
        <f>+AG210/AK210</f>
        <v>0.74153370237707572</v>
      </c>
      <c r="AN210" s="33"/>
      <c r="AO210" s="33">
        <f>+(2*24483+19581*2+5*14688+9793*10)/24*AG210</f>
        <v>1969806.0683333329</v>
      </c>
      <c r="AP210" s="34">
        <v>51057.65</v>
      </c>
      <c r="AQ210" s="33" t="s">
        <v>71</v>
      </c>
      <c r="AR210" s="34" t="s">
        <v>978</v>
      </c>
      <c r="AS210" s="35">
        <v>44810</v>
      </c>
      <c r="AT210" s="36"/>
      <c r="AU210" s="134">
        <v>44769</v>
      </c>
      <c r="AV210" s="19"/>
      <c r="AW210" s="19"/>
      <c r="AX210" s="19"/>
      <c r="AY210" s="19"/>
      <c r="AZ210" s="19"/>
      <c r="BA210" s="19"/>
      <c r="BB210" s="19"/>
      <c r="BC210" s="19"/>
      <c r="BD210" s="19"/>
      <c r="BE210" s="19"/>
      <c r="BF210" s="19"/>
      <c r="BG210" s="20"/>
      <c r="BH210" s="20"/>
      <c r="BI210" s="20"/>
      <c r="BJ210" s="20"/>
      <c r="BK210" s="20"/>
      <c r="BL210" s="20"/>
      <c r="BM210" s="20"/>
      <c r="BN210" s="20"/>
      <c r="BO210" s="20"/>
      <c r="BP210" s="20"/>
      <c r="BQ210" s="20"/>
      <c r="BR210" s="20"/>
      <c r="BS210" s="20"/>
      <c r="BT210" s="20"/>
      <c r="BU210" s="20"/>
      <c r="BV210" s="20"/>
      <c r="IP210" s="20"/>
      <c r="IQ210" s="20"/>
      <c r="IR210" s="20"/>
      <c r="IS210" s="20"/>
      <c r="IT210" s="20"/>
      <c r="IU210" s="20"/>
      <c r="IV210" s="20"/>
    </row>
    <row r="211" spans="1:256" s="21" customFormat="1" ht="38.25">
      <c r="A211" s="166"/>
      <c r="B211" s="23">
        <v>544293</v>
      </c>
      <c r="C211" s="66">
        <v>44805</v>
      </c>
      <c r="D211" s="25" t="s">
        <v>979</v>
      </c>
      <c r="E211" s="26">
        <v>57038</v>
      </c>
      <c r="F211" s="26">
        <v>165699</v>
      </c>
      <c r="G211" s="26">
        <v>33722</v>
      </c>
      <c r="H211" s="27">
        <v>326</v>
      </c>
      <c r="I211" s="27"/>
      <c r="J211" s="27">
        <v>6</v>
      </c>
      <c r="K211" s="27">
        <v>2</v>
      </c>
      <c r="L211" s="27" t="s">
        <v>74</v>
      </c>
      <c r="M211" s="27" t="s">
        <v>241</v>
      </c>
      <c r="N211" s="27" t="s">
        <v>980</v>
      </c>
      <c r="O211" s="27" t="s">
        <v>981</v>
      </c>
      <c r="P211" s="27" t="s">
        <v>982</v>
      </c>
      <c r="Q211" s="27" t="s">
        <v>982</v>
      </c>
      <c r="R211" s="27" t="s">
        <v>982</v>
      </c>
      <c r="S211" s="27" t="s">
        <v>538</v>
      </c>
      <c r="T211" s="27"/>
      <c r="U211" s="28">
        <v>0</v>
      </c>
      <c r="V211" s="27"/>
      <c r="W211" s="27"/>
      <c r="X211" s="27" t="s">
        <v>65</v>
      </c>
      <c r="Y211" s="29"/>
      <c r="Z211" s="30">
        <v>1</v>
      </c>
      <c r="AA211" s="31"/>
      <c r="AB211" s="30">
        <f>+Z211+1</f>
        <v>2</v>
      </c>
      <c r="AC211" s="31"/>
      <c r="AD211" s="30">
        <f>+Z211*2</f>
        <v>2</v>
      </c>
      <c r="AE211" s="27"/>
      <c r="AF211" s="27"/>
      <c r="AG211" s="27"/>
      <c r="AH211" s="27"/>
      <c r="AI211" s="28">
        <f>51+8.3/2</f>
        <v>55.15</v>
      </c>
      <c r="AJ211" s="32"/>
      <c r="AK211" s="33">
        <v>172.9</v>
      </c>
      <c r="AL211" s="33">
        <f>+(51+8.3)/AK211</f>
        <v>0.34297281665702717</v>
      </c>
      <c r="AM211" s="33">
        <f>+AI211/AK211</f>
        <v>0.31897050318102949</v>
      </c>
      <c r="AN211" s="33">
        <f>+(2+21+4)/(1+7+1)</f>
        <v>3</v>
      </c>
      <c r="AO211" s="33">
        <f>+(3*24483+4*19581+6*14688+9793*8)/21*AI211</f>
        <v>835771.98809523811</v>
      </c>
      <c r="AP211" s="34"/>
      <c r="AQ211" s="33" t="s">
        <v>983</v>
      </c>
      <c r="AR211" s="34" t="s">
        <v>984</v>
      </c>
      <c r="AS211" s="35"/>
      <c r="AT211" s="36"/>
      <c r="AU211" s="43" t="s">
        <v>985</v>
      </c>
      <c r="AV211" s="19"/>
      <c r="AW211" s="19"/>
      <c r="AX211" s="19"/>
      <c r="AY211" s="19"/>
      <c r="AZ211" s="19"/>
      <c r="BA211" s="19"/>
      <c r="BB211" s="19"/>
      <c r="BC211" s="19"/>
      <c r="BD211" s="19"/>
      <c r="BE211" s="19"/>
      <c r="BF211" s="19"/>
      <c r="BG211" s="20"/>
      <c r="BH211" s="20"/>
      <c r="BI211" s="20"/>
      <c r="BJ211" s="20"/>
      <c r="BK211" s="20"/>
      <c r="BL211" s="20"/>
      <c r="BM211" s="20"/>
      <c r="BN211" s="20"/>
      <c r="BO211" s="20"/>
      <c r="BP211" s="20"/>
      <c r="BQ211" s="20"/>
      <c r="BR211" s="20"/>
      <c r="BS211" s="20"/>
      <c r="BT211" s="20"/>
      <c r="BU211" s="20"/>
      <c r="BV211" s="20"/>
      <c r="IP211" s="20"/>
      <c r="IQ211" s="20"/>
      <c r="IR211" s="20"/>
      <c r="IS211" s="20"/>
      <c r="IT211" s="20"/>
      <c r="IU211" s="20"/>
      <c r="IV211" s="20"/>
    </row>
    <row r="212" spans="1:256" s="21" customFormat="1" ht="38.25">
      <c r="A212" s="166"/>
      <c r="B212" s="167">
        <v>545021</v>
      </c>
      <c r="C212" s="168">
        <v>44805</v>
      </c>
      <c r="D212" s="25" t="s">
        <v>979</v>
      </c>
      <c r="E212" s="26">
        <v>57038</v>
      </c>
      <c r="F212" s="26">
        <v>165699</v>
      </c>
      <c r="G212" s="26">
        <v>33722</v>
      </c>
      <c r="H212" s="27">
        <v>326</v>
      </c>
      <c r="I212" s="27"/>
      <c r="J212" s="27">
        <v>6</v>
      </c>
      <c r="K212" s="27">
        <v>2</v>
      </c>
      <c r="L212" s="27" t="s">
        <v>74</v>
      </c>
      <c r="M212" s="27" t="s">
        <v>241</v>
      </c>
      <c r="N212" s="27" t="s">
        <v>986</v>
      </c>
      <c r="O212" s="27" t="s">
        <v>981</v>
      </c>
      <c r="P212" s="27" t="s">
        <v>982</v>
      </c>
      <c r="Q212" s="27" t="s">
        <v>982</v>
      </c>
      <c r="R212" s="27" t="s">
        <v>982</v>
      </c>
      <c r="S212" s="27" t="s">
        <v>538</v>
      </c>
      <c r="T212" s="27"/>
      <c r="U212" s="28">
        <v>1</v>
      </c>
      <c r="V212" s="27"/>
      <c r="W212" s="27"/>
      <c r="X212" s="27" t="s">
        <v>65</v>
      </c>
      <c r="Y212" s="29"/>
      <c r="Z212" s="30">
        <v>2</v>
      </c>
      <c r="AA212" s="31"/>
      <c r="AB212" s="30">
        <f>+Z212+1</f>
        <v>3</v>
      </c>
      <c r="AC212" s="31"/>
      <c r="AD212" s="30">
        <f>+Z212*2</f>
        <v>4</v>
      </c>
      <c r="AE212" s="27"/>
      <c r="AF212" s="27"/>
      <c r="AG212" s="27"/>
      <c r="AH212" s="27"/>
      <c r="AI212" s="28">
        <f>51+8.3/2</f>
        <v>55.15</v>
      </c>
      <c r="AJ212" s="32"/>
      <c r="AK212" s="33">
        <v>173.9</v>
      </c>
      <c r="AL212" s="33">
        <f>+(51+8.3)/AK212</f>
        <v>0.3410005750431282</v>
      </c>
      <c r="AM212" s="33">
        <f>+AI212/AK212</f>
        <v>0.31713628522139159</v>
      </c>
      <c r="AN212" s="33">
        <f>+(2+21+4)/(1+7+1)</f>
        <v>3</v>
      </c>
      <c r="AO212" s="33">
        <f>+(3*24483+4*19581+6*14688+9793*8)/21*AI212</f>
        <v>835771.98809523811</v>
      </c>
      <c r="AP212" s="34"/>
      <c r="AQ212" s="33" t="s">
        <v>983</v>
      </c>
      <c r="AR212" s="34" t="s">
        <v>984</v>
      </c>
      <c r="AS212" s="35"/>
      <c r="AT212" s="36"/>
      <c r="AU212" s="43" t="s">
        <v>985</v>
      </c>
      <c r="AV212" s="19"/>
      <c r="AW212" s="19"/>
      <c r="AX212" s="19"/>
      <c r="AY212" s="19"/>
      <c r="AZ212" s="19"/>
      <c r="BA212" s="19"/>
      <c r="BB212" s="19"/>
      <c r="BC212" s="19"/>
      <c r="BD212" s="19"/>
      <c r="BE212" s="19"/>
      <c r="BF212" s="19"/>
      <c r="BG212" s="20"/>
      <c r="BH212" s="20"/>
      <c r="BI212" s="20"/>
      <c r="BJ212" s="20"/>
      <c r="BK212" s="20"/>
      <c r="BL212" s="20"/>
      <c r="BM212" s="20"/>
      <c r="BN212" s="20"/>
      <c r="BO212" s="20"/>
      <c r="BP212" s="20"/>
      <c r="BQ212" s="20"/>
      <c r="BR212" s="20"/>
      <c r="BS212" s="20"/>
      <c r="BT212" s="20"/>
      <c r="BU212" s="20"/>
      <c r="BV212" s="20"/>
      <c r="IP212" s="20"/>
      <c r="IQ212" s="20"/>
      <c r="IR212" s="20"/>
      <c r="IS212" s="20"/>
      <c r="IT212" s="20"/>
      <c r="IU212" s="20"/>
      <c r="IV212" s="20"/>
    </row>
    <row r="213" spans="1:256" s="148" customFormat="1" ht="38.25">
      <c r="A213" s="169"/>
      <c r="B213" s="170">
        <v>545022</v>
      </c>
      <c r="C213" s="171">
        <v>44805</v>
      </c>
      <c r="D213" s="172" t="s">
        <v>979</v>
      </c>
      <c r="E213" s="26">
        <v>57038</v>
      </c>
      <c r="F213" s="26">
        <v>165699</v>
      </c>
      <c r="G213" s="26">
        <v>33722</v>
      </c>
      <c r="H213" s="27">
        <v>326</v>
      </c>
      <c r="I213" s="27"/>
      <c r="J213" s="27">
        <v>6</v>
      </c>
      <c r="K213" s="27">
        <v>2</v>
      </c>
      <c r="L213" s="27" t="s">
        <v>74</v>
      </c>
      <c r="M213" s="27" t="s">
        <v>241</v>
      </c>
      <c r="N213" s="27" t="s">
        <v>987</v>
      </c>
      <c r="O213" s="27" t="s">
        <v>981</v>
      </c>
      <c r="P213" s="27" t="s">
        <v>982</v>
      </c>
      <c r="Q213" s="27" t="s">
        <v>982</v>
      </c>
      <c r="R213" s="27" t="s">
        <v>982</v>
      </c>
      <c r="S213" s="27" t="s">
        <v>538</v>
      </c>
      <c r="T213" s="27"/>
      <c r="U213" s="28">
        <v>2</v>
      </c>
      <c r="V213" s="27"/>
      <c r="W213" s="27"/>
      <c r="X213" s="27" t="s">
        <v>65</v>
      </c>
      <c r="Y213" s="29"/>
      <c r="Z213" s="30">
        <v>3</v>
      </c>
      <c r="AA213" s="31"/>
      <c r="AB213" s="30">
        <f t="shared" ref="AB213:AB214" si="0">+Z213+1</f>
        <v>4</v>
      </c>
      <c r="AC213" s="31"/>
      <c r="AD213" s="30">
        <f t="shared" ref="AD213:AD214" si="1">+Z213*2</f>
        <v>6</v>
      </c>
      <c r="AE213" s="27"/>
      <c r="AF213" s="27"/>
      <c r="AG213" s="27"/>
      <c r="AH213" s="27"/>
      <c r="AI213" s="28">
        <f t="shared" ref="AI213:AI214" si="2">51+8.3/2</f>
        <v>55.15</v>
      </c>
      <c r="AJ213" s="32"/>
      <c r="AK213" s="33">
        <v>174.9</v>
      </c>
      <c r="AL213" s="33">
        <f t="shared" ref="AL213:AL214" si="3">+(51+8.3)/AK213</f>
        <v>0.33905088622069751</v>
      </c>
      <c r="AM213" s="33">
        <f t="shared" ref="AM213:AM214" si="4">+AI213/AK213</f>
        <v>0.31532304173813608</v>
      </c>
      <c r="AN213" s="33">
        <f t="shared" ref="AN213:AN214" si="5">+(2+21+4)/(1+7+1)</f>
        <v>3</v>
      </c>
      <c r="AO213" s="33">
        <f t="shared" ref="AO213:AO214" si="6">+(3*24483+4*19581+6*14688+9793*8)/21*AI213</f>
        <v>835771.98809523811</v>
      </c>
      <c r="AP213" s="34"/>
      <c r="AQ213" s="33" t="s">
        <v>983</v>
      </c>
      <c r="AR213" s="34" t="s">
        <v>984</v>
      </c>
      <c r="AS213" s="35"/>
      <c r="AT213" s="36"/>
      <c r="AU213" s="43" t="s">
        <v>985</v>
      </c>
      <c r="BU213" s="173"/>
      <c r="BV213" s="173"/>
      <c r="BW213" s="173"/>
      <c r="BX213" s="173"/>
      <c r="BY213" s="173"/>
      <c r="BZ213" s="173"/>
      <c r="CA213" s="173"/>
      <c r="CB213" s="173"/>
      <c r="CC213" s="173"/>
      <c r="CD213" s="173"/>
      <c r="CE213" s="173"/>
      <c r="CF213" s="173"/>
      <c r="CG213" s="173"/>
      <c r="CH213" s="173"/>
      <c r="CI213" s="173"/>
      <c r="CJ213" s="173"/>
      <c r="CK213" s="173"/>
      <c r="CL213" s="173"/>
      <c r="CM213" s="173"/>
      <c r="CN213" s="173"/>
      <c r="CO213" s="173"/>
      <c r="CP213" s="173"/>
      <c r="CQ213" s="173"/>
      <c r="CR213" s="173"/>
      <c r="CS213" s="173"/>
      <c r="CT213" s="173"/>
      <c r="CU213" s="173"/>
      <c r="CV213" s="173"/>
      <c r="CW213" s="173"/>
      <c r="CX213" s="173"/>
      <c r="CY213" s="173"/>
      <c r="CZ213" s="173"/>
      <c r="DA213" s="173"/>
      <c r="DB213" s="173"/>
      <c r="DC213" s="173"/>
      <c r="DD213" s="173"/>
      <c r="DE213" s="173"/>
      <c r="DF213" s="173"/>
      <c r="DG213" s="173"/>
      <c r="DH213" s="173"/>
      <c r="DI213" s="173"/>
      <c r="DJ213" s="173"/>
      <c r="DK213" s="173"/>
      <c r="DL213" s="173"/>
      <c r="DM213" s="173"/>
      <c r="DN213" s="173"/>
      <c r="DO213" s="173"/>
      <c r="DP213" s="173"/>
      <c r="DQ213" s="173"/>
      <c r="DR213" s="173"/>
      <c r="DS213" s="173"/>
      <c r="DT213" s="173"/>
      <c r="DU213" s="173"/>
      <c r="DV213" s="173"/>
      <c r="DW213" s="173"/>
      <c r="DX213" s="173"/>
      <c r="DY213" s="173"/>
      <c r="DZ213" s="173"/>
      <c r="EA213" s="173"/>
      <c r="EB213" s="173"/>
      <c r="EC213" s="173"/>
      <c r="ED213" s="173"/>
      <c r="EE213" s="173"/>
      <c r="EF213" s="173"/>
      <c r="EG213" s="173"/>
      <c r="EH213" s="173"/>
      <c r="EI213" s="173"/>
      <c r="EJ213" s="173"/>
      <c r="EK213" s="173"/>
      <c r="EL213" s="173"/>
      <c r="EM213" s="173"/>
      <c r="EN213" s="173"/>
      <c r="EO213" s="173"/>
      <c r="EP213" s="173"/>
      <c r="EQ213" s="173"/>
      <c r="ER213" s="173"/>
      <c r="ES213" s="173"/>
      <c r="ET213" s="173"/>
      <c r="EU213" s="173"/>
      <c r="EV213" s="173"/>
      <c r="EW213" s="173"/>
      <c r="EX213" s="173"/>
      <c r="EY213" s="173"/>
      <c r="EZ213" s="173"/>
      <c r="FA213" s="173"/>
      <c r="FB213" s="173"/>
      <c r="FC213" s="173"/>
      <c r="FD213" s="173"/>
      <c r="FE213" s="173"/>
      <c r="FF213" s="173"/>
      <c r="FG213" s="173"/>
      <c r="FH213" s="173"/>
      <c r="FI213" s="173"/>
      <c r="FJ213" s="173"/>
      <c r="FK213" s="173"/>
      <c r="FL213" s="173"/>
      <c r="FM213" s="173"/>
      <c r="FN213" s="173"/>
      <c r="FO213" s="173"/>
      <c r="FP213" s="173"/>
      <c r="FQ213" s="173"/>
      <c r="FR213" s="173"/>
      <c r="FS213" s="173"/>
      <c r="FT213" s="173"/>
      <c r="FU213" s="173"/>
      <c r="FV213" s="173"/>
      <c r="FW213" s="173"/>
      <c r="FX213" s="173"/>
      <c r="FY213" s="173"/>
      <c r="FZ213" s="173"/>
      <c r="GA213" s="173"/>
      <c r="GB213" s="173"/>
      <c r="GC213" s="173"/>
      <c r="GD213" s="173"/>
      <c r="GE213" s="173"/>
      <c r="GF213" s="173"/>
      <c r="GG213" s="173"/>
      <c r="GH213" s="173"/>
      <c r="GI213" s="173"/>
      <c r="GJ213" s="173"/>
      <c r="GK213" s="173"/>
      <c r="GL213" s="173"/>
      <c r="GM213" s="173"/>
      <c r="GN213" s="173"/>
      <c r="GO213" s="173"/>
      <c r="GP213" s="173"/>
      <c r="GQ213" s="173"/>
      <c r="GR213" s="173"/>
      <c r="GS213" s="173"/>
      <c r="GT213" s="173"/>
      <c r="GU213" s="173"/>
      <c r="GV213" s="173"/>
      <c r="GW213" s="173"/>
      <c r="GX213" s="173"/>
      <c r="GY213" s="173"/>
      <c r="GZ213" s="173"/>
      <c r="HA213" s="173"/>
      <c r="HB213" s="173"/>
      <c r="HC213" s="173"/>
      <c r="HD213" s="173"/>
      <c r="HE213" s="173"/>
      <c r="HF213" s="173"/>
      <c r="HG213" s="173"/>
      <c r="HH213" s="173"/>
      <c r="HI213" s="173"/>
      <c r="HJ213" s="173"/>
      <c r="HK213" s="173"/>
      <c r="HL213" s="173"/>
      <c r="HM213" s="173"/>
      <c r="HN213" s="173"/>
      <c r="HO213" s="173"/>
      <c r="HP213" s="173"/>
      <c r="HQ213" s="173"/>
      <c r="HR213" s="173"/>
      <c r="HS213" s="173"/>
      <c r="HT213" s="173"/>
      <c r="HU213" s="173"/>
      <c r="HV213" s="173"/>
      <c r="HW213" s="173"/>
      <c r="HX213" s="173"/>
      <c r="HY213" s="173"/>
      <c r="HZ213" s="173"/>
      <c r="IA213" s="173"/>
      <c r="IB213" s="173"/>
      <c r="IC213" s="173"/>
      <c r="ID213" s="173"/>
      <c r="IE213" s="173"/>
      <c r="IF213" s="173"/>
      <c r="IG213" s="173"/>
      <c r="IH213" s="173"/>
      <c r="II213" s="173"/>
      <c r="IJ213" s="173"/>
      <c r="IK213" s="173"/>
      <c r="IL213" s="173"/>
      <c r="IM213" s="173"/>
    </row>
    <row r="214" spans="1:256" s="21" customFormat="1" ht="38.25">
      <c r="A214" s="166"/>
      <c r="B214" s="23">
        <v>545023</v>
      </c>
      <c r="C214" s="66">
        <v>44805</v>
      </c>
      <c r="D214" s="25" t="s">
        <v>979</v>
      </c>
      <c r="E214" s="26">
        <v>57038</v>
      </c>
      <c r="F214" s="26">
        <v>165699</v>
      </c>
      <c r="G214" s="26">
        <v>33722</v>
      </c>
      <c r="H214" s="27">
        <v>326</v>
      </c>
      <c r="I214" s="27"/>
      <c r="J214" s="27">
        <v>6</v>
      </c>
      <c r="K214" s="27">
        <v>2</v>
      </c>
      <c r="L214" s="27" t="s">
        <v>74</v>
      </c>
      <c r="M214" s="27" t="s">
        <v>241</v>
      </c>
      <c r="N214" s="27" t="s">
        <v>988</v>
      </c>
      <c r="O214" s="27" t="s">
        <v>981</v>
      </c>
      <c r="P214" s="27" t="s">
        <v>982</v>
      </c>
      <c r="Q214" s="27" t="s">
        <v>982</v>
      </c>
      <c r="R214" s="27" t="s">
        <v>982</v>
      </c>
      <c r="S214" s="27" t="s">
        <v>538</v>
      </c>
      <c r="T214" s="27"/>
      <c r="U214" s="28">
        <v>3</v>
      </c>
      <c r="V214" s="27"/>
      <c r="W214" s="27"/>
      <c r="X214" s="27" t="s">
        <v>65</v>
      </c>
      <c r="Y214" s="29"/>
      <c r="Z214" s="30">
        <v>4</v>
      </c>
      <c r="AA214" s="31"/>
      <c r="AB214" s="30">
        <f t="shared" si="0"/>
        <v>5</v>
      </c>
      <c r="AC214" s="31"/>
      <c r="AD214" s="30">
        <f t="shared" si="1"/>
        <v>8</v>
      </c>
      <c r="AE214" s="27"/>
      <c r="AF214" s="27"/>
      <c r="AG214" s="27"/>
      <c r="AH214" s="27"/>
      <c r="AI214" s="28">
        <f t="shared" si="2"/>
        <v>55.15</v>
      </c>
      <c r="AJ214" s="32"/>
      <c r="AK214" s="33">
        <v>175.9</v>
      </c>
      <c r="AL214" s="33">
        <f t="shared" si="3"/>
        <v>0.33712336554860711</v>
      </c>
      <c r="AM214" s="33">
        <f t="shared" si="4"/>
        <v>0.31353041500852757</v>
      </c>
      <c r="AN214" s="33">
        <f t="shared" si="5"/>
        <v>3</v>
      </c>
      <c r="AO214" s="33">
        <f t="shared" si="6"/>
        <v>835771.98809523811</v>
      </c>
      <c r="AP214" s="34"/>
      <c r="AQ214" s="33" t="s">
        <v>983</v>
      </c>
      <c r="AR214" s="34" t="s">
        <v>984</v>
      </c>
      <c r="AS214" s="35"/>
      <c r="AT214" s="36"/>
      <c r="AU214" s="43" t="s">
        <v>985</v>
      </c>
      <c r="AV214" s="19"/>
      <c r="AW214" s="19"/>
      <c r="AX214" s="19"/>
      <c r="AY214" s="19"/>
      <c r="AZ214" s="19"/>
      <c r="BA214" s="19"/>
      <c r="BB214" s="19"/>
      <c r="BC214" s="19"/>
      <c r="BD214" s="19"/>
      <c r="BE214" s="19"/>
      <c r="BF214" s="19"/>
      <c r="BG214" s="20"/>
      <c r="BH214" s="20"/>
      <c r="BI214" s="20"/>
      <c r="BJ214" s="20"/>
      <c r="BK214" s="20"/>
      <c r="BL214" s="20"/>
      <c r="BM214" s="20"/>
      <c r="BN214" s="20"/>
      <c r="BO214" s="20"/>
      <c r="BP214" s="20"/>
      <c r="BQ214" s="20"/>
      <c r="BR214" s="20"/>
      <c r="BS214" s="20"/>
      <c r="BT214" s="20"/>
      <c r="BU214" s="20"/>
      <c r="BV214" s="20"/>
      <c r="IP214" s="20"/>
      <c r="IQ214" s="20"/>
      <c r="IR214" s="20"/>
      <c r="IS214" s="20"/>
      <c r="IT214" s="20"/>
      <c r="IU214" s="20"/>
      <c r="IV214" s="20"/>
    </row>
    <row r="215" spans="1:256" s="21" customFormat="1" ht="51">
      <c r="A215" s="135"/>
      <c r="B215" s="23">
        <v>267</v>
      </c>
      <c r="C215" s="23" t="s">
        <v>989</v>
      </c>
      <c r="D215" s="66">
        <v>44798</v>
      </c>
      <c r="E215" s="26">
        <v>52700</v>
      </c>
      <c r="F215" s="26">
        <v>162455</v>
      </c>
      <c r="G215" s="26">
        <v>21266</v>
      </c>
      <c r="H215" s="27">
        <v>111</v>
      </c>
      <c r="I215" s="27"/>
      <c r="J215" s="27">
        <v>644</v>
      </c>
      <c r="K215" s="27">
        <v>8</v>
      </c>
      <c r="L215" s="27" t="s">
        <v>495</v>
      </c>
      <c r="M215" s="27" t="s">
        <v>990</v>
      </c>
      <c r="N215" s="27" t="s">
        <v>991</v>
      </c>
      <c r="O215" s="27"/>
      <c r="P215" s="27" t="s">
        <v>49</v>
      </c>
      <c r="Q215" s="27" t="s">
        <v>49</v>
      </c>
      <c r="R215" s="27" t="s">
        <v>49</v>
      </c>
      <c r="S215" s="27" t="s">
        <v>100</v>
      </c>
      <c r="T215" s="27"/>
      <c r="U215" s="28">
        <v>4</v>
      </c>
      <c r="V215" s="27"/>
      <c r="W215" s="27"/>
      <c r="X215" s="27" t="s">
        <v>77</v>
      </c>
      <c r="Y215" s="29"/>
      <c r="Z215" s="30">
        <f>2+1+1+1</f>
        <v>5</v>
      </c>
      <c r="AA215" s="31"/>
      <c r="AB215" s="30"/>
      <c r="AC215" s="31"/>
      <c r="AD215" s="30"/>
      <c r="AE215" s="27"/>
      <c r="AF215" s="27"/>
      <c r="AG215" s="27"/>
      <c r="AH215" s="27"/>
      <c r="AI215" s="28"/>
      <c r="AJ215" s="32"/>
      <c r="AK215" s="33"/>
      <c r="AL215" s="33"/>
      <c r="AM215" s="33"/>
      <c r="AN215" s="33"/>
      <c r="AO215" s="33"/>
      <c r="AP215" s="34"/>
      <c r="AQ215" s="33" t="s">
        <v>51</v>
      </c>
      <c r="AR215" s="34"/>
      <c r="AS215" s="35">
        <v>44909</v>
      </c>
      <c r="AT215" s="36"/>
      <c r="AU215" s="43"/>
      <c r="AV215" s="19"/>
      <c r="AW215" s="19"/>
      <c r="AX215" s="19"/>
      <c r="AY215" s="19"/>
      <c r="AZ215" s="19"/>
      <c r="BA215" s="19"/>
      <c r="BB215" s="19"/>
      <c r="BC215" s="19"/>
      <c r="BD215" s="19"/>
      <c r="BE215" s="19"/>
      <c r="BF215" s="19"/>
      <c r="BG215" s="20"/>
      <c r="BH215" s="20"/>
      <c r="BI215" s="20"/>
      <c r="BJ215" s="20"/>
      <c r="BK215" s="20"/>
      <c r="BL215" s="20"/>
      <c r="BM215" s="20"/>
      <c r="BN215" s="20"/>
      <c r="BO215" s="20"/>
      <c r="BP215" s="20"/>
      <c r="BQ215" s="20"/>
      <c r="BR215" s="20"/>
      <c r="BS215" s="20"/>
      <c r="BT215" s="20"/>
      <c r="BU215" s="20"/>
      <c r="BV215" s="20"/>
      <c r="IP215" s="20"/>
      <c r="IQ215" s="20"/>
      <c r="IR215" s="20"/>
      <c r="IS215" s="20"/>
      <c r="IT215" s="20"/>
      <c r="IU215" s="20"/>
      <c r="IV215" s="20"/>
    </row>
    <row r="216" spans="1:256" s="21" customFormat="1" ht="51">
      <c r="A216" s="135"/>
      <c r="B216" s="23">
        <v>258</v>
      </c>
      <c r="C216" s="23" t="s">
        <v>992</v>
      </c>
      <c r="D216" s="66">
        <v>44802</v>
      </c>
      <c r="E216" s="26">
        <v>53538</v>
      </c>
      <c r="F216" s="26">
        <v>1390</v>
      </c>
      <c r="G216" s="26">
        <v>1414</v>
      </c>
      <c r="H216" s="27"/>
      <c r="I216" s="27"/>
      <c r="J216" s="27">
        <v>167</v>
      </c>
      <c r="K216" s="27">
        <v>11</v>
      </c>
      <c r="L216" s="27" t="s">
        <v>88</v>
      </c>
      <c r="M216" s="27" t="s">
        <v>993</v>
      </c>
      <c r="N216" s="27" t="s">
        <v>994</v>
      </c>
      <c r="O216" s="27"/>
      <c r="P216" s="27" t="s">
        <v>995</v>
      </c>
      <c r="Q216" s="27"/>
      <c r="R216" s="27"/>
      <c r="S216" s="27"/>
      <c r="T216" s="27">
        <v>1</v>
      </c>
      <c r="U216" s="28"/>
      <c r="V216" s="27"/>
      <c r="W216" s="27"/>
      <c r="X216" s="27" t="s">
        <v>65</v>
      </c>
      <c r="Y216" s="29">
        <v>2</v>
      </c>
      <c r="Z216" s="30"/>
      <c r="AA216" s="31">
        <f>+Y216+1</f>
        <v>3</v>
      </c>
      <c r="AB216" s="30"/>
      <c r="AC216" s="31">
        <f>+Y216*2</f>
        <v>4</v>
      </c>
      <c r="AD216" s="30"/>
      <c r="AE216" s="27"/>
      <c r="AF216" s="27"/>
      <c r="AG216" s="27">
        <f>107.19+2.16/2</f>
        <v>108.27</v>
      </c>
      <c r="AH216" s="27"/>
      <c r="AI216" s="28"/>
      <c r="AJ216" s="32"/>
      <c r="AK216" s="33">
        <v>308.66000000000003</v>
      </c>
      <c r="AL216" s="27">
        <f>+(107.19+2.16)/AK216</f>
        <v>0.35427331043867033</v>
      </c>
      <c r="AM216" s="33">
        <f>+AG216/AK216</f>
        <v>0.3507743147800168</v>
      </c>
      <c r="AN216" s="33"/>
      <c r="AO216" s="33"/>
      <c r="AP216" s="34"/>
      <c r="AQ216" s="33" t="s">
        <v>51</v>
      </c>
      <c r="AR216" s="34" t="s">
        <v>996</v>
      </c>
      <c r="AS216" s="35"/>
      <c r="AT216" s="36"/>
      <c r="AU216" s="37"/>
      <c r="AV216" s="19"/>
      <c r="AW216" s="19"/>
      <c r="AX216" s="19"/>
      <c r="AY216" s="19"/>
      <c r="AZ216" s="19"/>
      <c r="BA216" s="19"/>
      <c r="BB216" s="19"/>
      <c r="BC216" s="19"/>
      <c r="BD216" s="19"/>
      <c r="BE216" s="19"/>
      <c r="BF216" s="19"/>
      <c r="BG216" s="20"/>
      <c r="BH216" s="20"/>
      <c r="BI216" s="20"/>
      <c r="BJ216" s="20"/>
      <c r="BK216" s="20"/>
      <c r="BL216" s="20"/>
      <c r="BM216" s="20"/>
      <c r="BN216" s="20"/>
      <c r="BO216" s="20"/>
      <c r="BP216" s="20"/>
      <c r="BQ216" s="20"/>
      <c r="BR216" s="20"/>
      <c r="BS216" s="20"/>
      <c r="BT216" s="20"/>
      <c r="BU216" s="20"/>
      <c r="BV216" s="20"/>
      <c r="IP216" s="20"/>
      <c r="IQ216" s="20"/>
      <c r="IR216" s="20"/>
      <c r="IS216" s="20"/>
      <c r="IT216" s="20"/>
      <c r="IU216" s="20"/>
      <c r="IV216" s="20"/>
    </row>
    <row r="217" spans="1:256" s="21" customFormat="1" ht="38.25">
      <c r="A217" s="135"/>
      <c r="B217" s="24">
        <v>197</v>
      </c>
      <c r="C217" s="24" t="s">
        <v>997</v>
      </c>
      <c r="D217" s="25">
        <v>44614</v>
      </c>
      <c r="E217" s="26">
        <v>43748</v>
      </c>
      <c r="F217" s="26">
        <v>141450</v>
      </c>
      <c r="G217" s="26">
        <v>32002</v>
      </c>
      <c r="H217" s="27">
        <v>327</v>
      </c>
      <c r="I217" s="27"/>
      <c r="J217" s="27">
        <v>6</v>
      </c>
      <c r="K217" s="27">
        <v>3</v>
      </c>
      <c r="L217" s="27" t="s">
        <v>38</v>
      </c>
      <c r="M217" s="27" t="s">
        <v>998</v>
      </c>
      <c r="N217" s="27" t="s">
        <v>999</v>
      </c>
      <c r="O217" s="27"/>
      <c r="P217" s="27" t="s">
        <v>1000</v>
      </c>
      <c r="Q217" s="27"/>
      <c r="R217" s="27"/>
      <c r="S217" s="27"/>
      <c r="T217" s="27"/>
      <c r="U217" s="28"/>
      <c r="V217" s="27">
        <v>1</v>
      </c>
      <c r="W217" s="27"/>
      <c r="X217" s="27" t="s">
        <v>65</v>
      </c>
      <c r="Y217" s="29"/>
      <c r="Z217" s="30"/>
      <c r="AA217" s="31"/>
      <c r="AB217" s="30"/>
      <c r="AC217" s="31"/>
      <c r="AD217" s="30"/>
      <c r="AE217" s="27">
        <f>55.6+2.35/2</f>
        <v>56.774999999999999</v>
      </c>
      <c r="AF217" s="27"/>
      <c r="AG217" s="27"/>
      <c r="AH217" s="27"/>
      <c r="AI217" s="28">
        <f>40+19.65/2</f>
        <v>49.825000000000003</v>
      </c>
      <c r="AJ217" s="32"/>
      <c r="AK217" s="33">
        <v>374</v>
      </c>
      <c r="AL217" s="33">
        <f>+(55.6+2.35+40+19.65)/AK217</f>
        <v>0.31443850267379675</v>
      </c>
      <c r="AM217" s="33">
        <f>+(AE217+AI217)/AK217</f>
        <v>0.28502673796791445</v>
      </c>
      <c r="AN217" s="33"/>
      <c r="AO217" s="33">
        <v>5487750</v>
      </c>
      <c r="AP217" s="34">
        <v>22362.12</v>
      </c>
      <c r="AQ217" s="33" t="s">
        <v>36</v>
      </c>
      <c r="AR217" s="34" t="s">
        <v>1001</v>
      </c>
      <c r="AS217" s="35">
        <v>44809</v>
      </c>
      <c r="AT217" s="36"/>
      <c r="AU217" s="134">
        <v>44802</v>
      </c>
      <c r="AV217" s="19"/>
      <c r="AW217" s="19"/>
      <c r="AX217" s="19"/>
      <c r="AY217" s="19"/>
      <c r="AZ217" s="19"/>
      <c r="BA217" s="19"/>
      <c r="BB217" s="19"/>
      <c r="BC217" s="19"/>
      <c r="BD217" s="19"/>
      <c r="BE217" s="19"/>
      <c r="BF217" s="19"/>
      <c r="BG217" s="20"/>
      <c r="BH217" s="20"/>
      <c r="BI217" s="20"/>
      <c r="BJ217" s="20"/>
      <c r="BK217" s="20"/>
      <c r="BL217" s="20"/>
      <c r="BM217" s="20"/>
      <c r="BN217" s="20"/>
      <c r="BO217" s="20"/>
      <c r="BP217" s="20"/>
      <c r="BQ217" s="20"/>
      <c r="BR217" s="20"/>
      <c r="BS217" s="20"/>
      <c r="BT217" s="20"/>
      <c r="BU217" s="20"/>
      <c r="BV217" s="20"/>
      <c r="IP217" s="20"/>
      <c r="IQ217" s="20"/>
      <c r="IR217" s="20"/>
      <c r="IS217" s="20"/>
      <c r="IT217" s="20"/>
      <c r="IU217" s="20"/>
      <c r="IV217" s="20"/>
    </row>
    <row r="218" spans="1:256" s="21" customFormat="1" ht="38.25">
      <c r="A218" s="135"/>
      <c r="B218" s="24">
        <v>200</v>
      </c>
      <c r="C218" s="24">
        <v>544301</v>
      </c>
      <c r="D218" s="25">
        <v>44775</v>
      </c>
      <c r="E218" s="26">
        <v>5335</v>
      </c>
      <c r="F218" s="26">
        <v>1401</v>
      </c>
      <c r="G218" s="26">
        <v>1424</v>
      </c>
      <c r="H218" s="27"/>
      <c r="I218" s="27"/>
      <c r="J218" s="27">
        <v>185</v>
      </c>
      <c r="K218" s="27">
        <v>1</v>
      </c>
      <c r="L218" s="27" t="s">
        <v>31</v>
      </c>
      <c r="M218" s="27" t="s">
        <v>1002</v>
      </c>
      <c r="N218" s="27" t="s">
        <v>1003</v>
      </c>
      <c r="O218" s="27"/>
      <c r="P218" s="27" t="s">
        <v>63</v>
      </c>
      <c r="Q218" s="27" t="s">
        <v>63</v>
      </c>
      <c r="R218" s="27" t="s">
        <v>63</v>
      </c>
      <c r="S218" s="27" t="s">
        <v>1004</v>
      </c>
      <c r="T218" s="27"/>
      <c r="U218" s="28"/>
      <c r="V218" s="27">
        <v>1</v>
      </c>
      <c r="W218" s="27"/>
      <c r="X218" s="27" t="s">
        <v>186</v>
      </c>
      <c r="Y218" s="29"/>
      <c r="Z218" s="30"/>
      <c r="AA218" s="31"/>
      <c r="AB218" s="30"/>
      <c r="AC218" s="31"/>
      <c r="AD218" s="30"/>
      <c r="AE218" s="27"/>
      <c r="AF218" s="27"/>
      <c r="AG218" s="27">
        <v>118.16</v>
      </c>
      <c r="AH218" s="27"/>
      <c r="AI218" s="28">
        <v>60.97</v>
      </c>
      <c r="AJ218" s="32"/>
      <c r="AK218" s="33">
        <v>205.67</v>
      </c>
      <c r="AL218" s="33">
        <v>1</v>
      </c>
      <c r="AM218" s="33">
        <v>1.43</v>
      </c>
      <c r="AN218" s="33"/>
      <c r="AO218" s="33">
        <f>1713320+60000</f>
        <v>1773320</v>
      </c>
      <c r="AP218" s="34">
        <v>12174.95</v>
      </c>
      <c r="AQ218" s="33" t="s">
        <v>36</v>
      </c>
      <c r="AR218" s="34" t="s">
        <v>1005</v>
      </c>
      <c r="AS218" s="35">
        <v>44811</v>
      </c>
      <c r="AT218" s="36"/>
      <c r="AU218" s="134">
        <v>44776</v>
      </c>
      <c r="AV218" s="19"/>
      <c r="AW218" s="19"/>
      <c r="AX218" s="19"/>
      <c r="AY218" s="19"/>
      <c r="AZ218" s="19"/>
      <c r="BA218" s="19"/>
      <c r="BB218" s="19"/>
      <c r="BC218" s="19"/>
      <c r="BD218" s="19"/>
      <c r="BE218" s="19"/>
      <c r="BF218" s="19"/>
      <c r="BG218" s="20"/>
      <c r="BH218" s="20"/>
      <c r="BI218" s="20"/>
      <c r="BJ218" s="20"/>
      <c r="BK218" s="20"/>
      <c r="BL218" s="20"/>
      <c r="BM218" s="20"/>
      <c r="BN218" s="20"/>
      <c r="BO218" s="20"/>
      <c r="BP218" s="20"/>
      <c r="BQ218" s="20"/>
      <c r="BR218" s="20"/>
      <c r="BS218" s="20"/>
      <c r="BT218" s="20"/>
      <c r="BU218" s="20"/>
      <c r="BV218" s="20"/>
      <c r="IP218" s="20"/>
      <c r="IQ218" s="20"/>
      <c r="IR218" s="20"/>
      <c r="IS218" s="20"/>
      <c r="IT218" s="20"/>
      <c r="IU218" s="20"/>
      <c r="IV218" s="20"/>
    </row>
    <row r="219" spans="1:256" s="21" customFormat="1" ht="38.25">
      <c r="A219" s="135"/>
      <c r="B219" s="39">
        <v>201</v>
      </c>
      <c r="C219" s="39">
        <v>536859</v>
      </c>
      <c r="D219" s="25">
        <v>44504</v>
      </c>
      <c r="E219" s="26">
        <v>52698</v>
      </c>
      <c r="F219" s="26">
        <v>162312</v>
      </c>
      <c r="G219" s="26">
        <v>21272</v>
      </c>
      <c r="H219" s="27"/>
      <c r="I219" s="27"/>
      <c r="J219" s="27">
        <v>380</v>
      </c>
      <c r="K219" s="27">
        <v>12</v>
      </c>
      <c r="L219" s="27" t="s">
        <v>53</v>
      </c>
      <c r="M219" s="27" t="s">
        <v>1006</v>
      </c>
      <c r="N219" s="27" t="s">
        <v>1007</v>
      </c>
      <c r="O219" s="27"/>
      <c r="P219" s="27" t="s">
        <v>568</v>
      </c>
      <c r="Q219" s="27"/>
      <c r="R219" s="27"/>
      <c r="S219" s="27"/>
      <c r="T219" s="27">
        <v>1</v>
      </c>
      <c r="U219" s="28"/>
      <c r="V219" s="27"/>
      <c r="W219" s="27"/>
      <c r="X219" s="27" t="s">
        <v>105</v>
      </c>
      <c r="Y219" s="29"/>
      <c r="Z219" s="30"/>
      <c r="AA219" s="31"/>
      <c r="AB219" s="30"/>
      <c r="AC219" s="31"/>
      <c r="AD219" s="30"/>
      <c r="AE219" s="27"/>
      <c r="AF219" s="27"/>
      <c r="AG219" s="27"/>
      <c r="AH219" s="27">
        <f>461+124</f>
        <v>585</v>
      </c>
      <c r="AI219" s="28"/>
      <c r="AJ219" s="32"/>
      <c r="AK219" s="33">
        <v>551.92999999999995</v>
      </c>
      <c r="AL219" s="33">
        <f>461/AK219</f>
        <v>0.83525084702770291</v>
      </c>
      <c r="AM219" s="33">
        <f>+AH219/AK219</f>
        <v>1.0599170184624862</v>
      </c>
      <c r="AN219" s="33"/>
      <c r="AO219" s="33">
        <f>+AH219*26491</f>
        <v>15497235</v>
      </c>
      <c r="AP219" s="34">
        <v>313328.88</v>
      </c>
      <c r="AQ219" s="33" t="s">
        <v>51</v>
      </c>
      <c r="AR219" s="34" t="s">
        <v>1008</v>
      </c>
      <c r="AS219" s="35">
        <v>44811</v>
      </c>
      <c r="AT219" s="36"/>
      <c r="AU219" s="134">
        <v>44510</v>
      </c>
      <c r="AV219" s="19"/>
      <c r="AW219" s="19"/>
      <c r="AX219" s="19"/>
      <c r="AY219" s="19"/>
      <c r="AZ219" s="19"/>
      <c r="BA219" s="19"/>
      <c r="BB219" s="19"/>
      <c r="BC219" s="19"/>
      <c r="BD219" s="19"/>
      <c r="BE219" s="19"/>
      <c r="BF219" s="19"/>
      <c r="BG219" s="20"/>
      <c r="BH219" s="20"/>
      <c r="BI219" s="20"/>
      <c r="BJ219" s="20"/>
      <c r="BK219" s="20"/>
      <c r="BL219" s="20"/>
      <c r="BM219" s="20"/>
      <c r="BN219" s="20"/>
      <c r="BO219" s="20"/>
      <c r="BP219" s="20"/>
      <c r="BQ219" s="20"/>
      <c r="BR219" s="20"/>
      <c r="BS219" s="20"/>
      <c r="BT219" s="20"/>
      <c r="BU219" s="20"/>
      <c r="BV219" s="20"/>
      <c r="IP219" s="20"/>
      <c r="IQ219" s="20"/>
      <c r="IR219" s="20"/>
      <c r="IS219" s="20"/>
      <c r="IT219" s="20"/>
      <c r="IU219" s="20"/>
      <c r="IV219" s="20"/>
    </row>
    <row r="220" spans="1:256" s="21" customFormat="1" ht="51">
      <c r="A220" s="22"/>
      <c r="B220" s="23">
        <v>202</v>
      </c>
      <c r="C220" s="23" t="s">
        <v>1009</v>
      </c>
      <c r="D220" s="66">
        <v>44781</v>
      </c>
      <c r="E220" s="26">
        <v>60351</v>
      </c>
      <c r="F220" s="26">
        <v>168450</v>
      </c>
      <c r="G220" s="26">
        <v>33982</v>
      </c>
      <c r="H220" s="27">
        <v>314</v>
      </c>
      <c r="I220" s="27"/>
      <c r="J220" s="27"/>
      <c r="K220" s="27">
        <v>10</v>
      </c>
      <c r="L220" s="27" t="s">
        <v>500</v>
      </c>
      <c r="M220" s="27" t="s">
        <v>1010</v>
      </c>
      <c r="N220" s="27" t="s">
        <v>1011</v>
      </c>
      <c r="O220" s="27"/>
      <c r="P220" s="27" t="s">
        <v>49</v>
      </c>
      <c r="Q220" s="27" t="s">
        <v>49</v>
      </c>
      <c r="R220" s="27" t="s">
        <v>49</v>
      </c>
      <c r="S220" s="27" t="s">
        <v>1012</v>
      </c>
      <c r="T220" s="27"/>
      <c r="U220" s="28">
        <v>1</v>
      </c>
      <c r="V220" s="27"/>
      <c r="W220" s="27"/>
      <c r="X220" s="27" t="s">
        <v>65</v>
      </c>
      <c r="Y220" s="29"/>
      <c r="Z220" s="30">
        <v>2</v>
      </c>
      <c r="AA220" s="31"/>
      <c r="AB220" s="30">
        <f>+Z220+1</f>
        <v>3</v>
      </c>
      <c r="AC220" s="31"/>
      <c r="AD220" s="30">
        <f>+Z220*2</f>
        <v>4</v>
      </c>
      <c r="AE220" s="27"/>
      <c r="AF220" s="27"/>
      <c r="AG220" s="27"/>
      <c r="AH220" s="27"/>
      <c r="AI220" s="28">
        <v>62.05</v>
      </c>
      <c r="AJ220" s="32"/>
      <c r="AK220" s="33">
        <v>800</v>
      </c>
      <c r="AL220" s="33">
        <f>+AI220/AK220</f>
        <v>7.7562499999999993E-2</v>
      </c>
      <c r="AM220" s="33">
        <f>+AI220/AK220</f>
        <v>7.7562499999999993E-2</v>
      </c>
      <c r="AN220" s="33"/>
      <c r="AO220" s="33">
        <f>+(1*33123+10*26491+5*19871+13249*5)/21*AI220</f>
        <v>1369925.1261904761</v>
      </c>
      <c r="AP220" s="34">
        <v>8107.76</v>
      </c>
      <c r="AQ220" s="33" t="s">
        <v>51</v>
      </c>
      <c r="AR220" s="34" t="s">
        <v>1013</v>
      </c>
      <c r="AS220" s="35">
        <v>44812</v>
      </c>
      <c r="AT220" s="36"/>
      <c r="AU220" s="37" t="s">
        <v>1014</v>
      </c>
      <c r="AV220" s="19"/>
      <c r="AW220" s="19"/>
      <c r="AX220" s="19"/>
      <c r="AY220" s="19"/>
      <c r="AZ220" s="19"/>
      <c r="BA220" s="19"/>
      <c r="BB220" s="19"/>
      <c r="BC220" s="19"/>
      <c r="BD220" s="19"/>
      <c r="BE220" s="19"/>
      <c r="BF220" s="19"/>
      <c r="BG220" s="20"/>
      <c r="BH220" s="20"/>
      <c r="BI220" s="20"/>
      <c r="BJ220" s="20"/>
      <c r="BK220" s="20"/>
      <c r="BL220" s="20"/>
      <c r="BM220" s="20"/>
      <c r="BN220" s="20"/>
      <c r="BO220" s="20"/>
      <c r="BP220" s="20"/>
      <c r="BQ220" s="20"/>
      <c r="BR220" s="20"/>
      <c r="BS220" s="20"/>
      <c r="BT220" s="20"/>
      <c r="BU220" s="20"/>
      <c r="BV220" s="20"/>
      <c r="IP220" s="20"/>
      <c r="IQ220" s="20"/>
      <c r="IR220" s="20"/>
      <c r="IS220" s="20"/>
      <c r="IT220" s="20"/>
      <c r="IU220" s="20"/>
      <c r="IV220" s="20"/>
    </row>
    <row r="221" spans="1:256" s="21" customFormat="1" ht="38.25">
      <c r="A221" s="44"/>
      <c r="B221" s="174">
        <v>206</v>
      </c>
      <c r="C221" s="174">
        <v>544960</v>
      </c>
      <c r="D221" s="175">
        <v>44803</v>
      </c>
      <c r="E221" s="27">
        <v>3860</v>
      </c>
      <c r="F221" s="27">
        <v>1833</v>
      </c>
      <c r="G221" s="27">
        <v>2371</v>
      </c>
      <c r="H221" s="27"/>
      <c r="I221" s="27"/>
      <c r="J221" s="27">
        <v>41</v>
      </c>
      <c r="K221" s="27">
        <v>16</v>
      </c>
      <c r="L221" s="27" t="s">
        <v>38</v>
      </c>
      <c r="M221" s="27" t="s">
        <v>1015</v>
      </c>
      <c r="N221" s="27" t="s">
        <v>1016</v>
      </c>
      <c r="O221" s="27"/>
      <c r="P221" s="27" t="s">
        <v>953</v>
      </c>
      <c r="Q221" s="27" t="s">
        <v>953</v>
      </c>
      <c r="R221" s="27" t="s">
        <v>953</v>
      </c>
      <c r="S221" s="27" t="s">
        <v>1017</v>
      </c>
      <c r="T221" s="27"/>
      <c r="U221" s="176">
        <v>1</v>
      </c>
      <c r="V221" s="27"/>
      <c r="W221" s="27"/>
      <c r="X221" s="27" t="s">
        <v>65</v>
      </c>
      <c r="Y221" s="27"/>
      <c r="Z221" s="28">
        <v>2</v>
      </c>
      <c r="AA221" s="27"/>
      <c r="AB221" s="28">
        <f>+Z221+1</f>
        <v>3</v>
      </c>
      <c r="AC221" s="27"/>
      <c r="AD221" s="177">
        <f>+Z221*2</f>
        <v>4</v>
      </c>
      <c r="AE221" s="178"/>
      <c r="AF221" s="179"/>
      <c r="AG221" s="180"/>
      <c r="AH221" s="181"/>
      <c r="AI221" s="182">
        <f>65.74+1.35/2</f>
        <v>66.414999999999992</v>
      </c>
      <c r="AJ221" s="183"/>
      <c r="AK221" s="184">
        <v>111.875</v>
      </c>
      <c r="AL221" s="143">
        <f>+(65.74+1.35)/AK221</f>
        <v>0.59968715083798874</v>
      </c>
      <c r="AM221" s="143">
        <f>+AI221/AK221</f>
        <v>0.59365363128491611</v>
      </c>
      <c r="AN221" s="143"/>
      <c r="AO221" s="108">
        <f>+(12*26491+6/19871+2*13249)/20*AI221</f>
        <v>1143633.0935026924</v>
      </c>
      <c r="AP221" s="108">
        <v>8733.16</v>
      </c>
      <c r="AQ221" s="36" t="s">
        <v>71</v>
      </c>
      <c r="AR221" s="34" t="s">
        <v>1018</v>
      </c>
      <c r="AS221" s="146">
        <v>44812</v>
      </c>
      <c r="AT221" s="143"/>
      <c r="AU221" s="104">
        <v>44805</v>
      </c>
      <c r="AV221" s="148"/>
      <c r="AW221" s="148"/>
      <c r="AX221" s="148"/>
      <c r="AY221" s="148"/>
      <c r="AZ221" s="148"/>
      <c r="BA221" s="148"/>
      <c r="BB221" s="148"/>
      <c r="BC221" s="148"/>
      <c r="BD221" s="148"/>
      <c r="BE221" s="20"/>
      <c r="BF221" s="20"/>
      <c r="BG221" s="20"/>
      <c r="BH221" s="20"/>
      <c r="BI221" s="20"/>
      <c r="BJ221" s="20"/>
      <c r="BK221" s="20"/>
      <c r="BL221" s="20"/>
      <c r="BM221" s="20"/>
      <c r="BN221" s="20"/>
      <c r="BO221" s="20"/>
      <c r="BP221" s="20"/>
      <c r="BQ221" s="20"/>
      <c r="BR221" s="20"/>
      <c r="BS221" s="20"/>
      <c r="BT221" s="20"/>
      <c r="IN221" s="20"/>
      <c r="IO221" s="20"/>
      <c r="IP221" s="20"/>
      <c r="IQ221" s="20"/>
      <c r="IR221" s="20"/>
      <c r="IS221" s="20"/>
      <c r="IT221" s="20"/>
      <c r="IU221" s="20"/>
      <c r="IV221" s="20"/>
    </row>
    <row r="222" spans="1:256" s="21" customFormat="1" ht="76.5">
      <c r="A222" s="135"/>
      <c r="B222" s="24">
        <v>205</v>
      </c>
      <c r="C222" s="24" t="s">
        <v>1019</v>
      </c>
      <c r="D222" s="25">
        <v>44783</v>
      </c>
      <c r="E222" s="26">
        <v>23979</v>
      </c>
      <c r="F222" s="26">
        <v>50263</v>
      </c>
      <c r="G222" s="26">
        <v>1479</v>
      </c>
      <c r="H222" s="27"/>
      <c r="I222" s="27"/>
      <c r="J222" s="27">
        <v>775</v>
      </c>
      <c r="K222" s="27">
        <v>12</v>
      </c>
      <c r="L222" s="27" t="s">
        <v>60</v>
      </c>
      <c r="M222" s="27" t="s">
        <v>1020</v>
      </c>
      <c r="N222" s="27" t="s">
        <v>1021</v>
      </c>
      <c r="O222" s="27"/>
      <c r="P222" s="27" t="s">
        <v>115</v>
      </c>
      <c r="Q222" s="27" t="s">
        <v>115</v>
      </c>
      <c r="R222" s="27" t="s">
        <v>115</v>
      </c>
      <c r="S222" s="27" t="s">
        <v>100</v>
      </c>
      <c r="T222" s="27">
        <v>1</v>
      </c>
      <c r="U222" s="28">
        <v>1</v>
      </c>
      <c r="V222" s="27"/>
      <c r="W222" s="27"/>
      <c r="X222" s="27" t="s">
        <v>77</v>
      </c>
      <c r="Y222" s="29">
        <v>3</v>
      </c>
      <c r="Z222" s="30">
        <v>2</v>
      </c>
      <c r="AA222" s="31">
        <f>+Y222+1</f>
        <v>4</v>
      </c>
      <c r="AB222" s="30">
        <f>+Z222+1</f>
        <v>3</v>
      </c>
      <c r="AC222" s="31">
        <f>+Y222*2</f>
        <v>6</v>
      </c>
      <c r="AD222" s="30">
        <f>+Z222*2</f>
        <v>4</v>
      </c>
      <c r="AE222" s="27">
        <f>63.96+34.52+55.02/2</f>
        <v>125.99000000000001</v>
      </c>
      <c r="AF222" s="27"/>
      <c r="AG222" s="27"/>
      <c r="AH222" s="27"/>
      <c r="AI222" s="28">
        <v>60</v>
      </c>
      <c r="AJ222" s="32"/>
      <c r="AK222" s="33">
        <v>369.85</v>
      </c>
      <c r="AL222" s="33">
        <f>+(60+63.95+55.02)/AK222</f>
        <v>0.48389887792348246</v>
      </c>
      <c r="AM222" s="33">
        <f>+(AE222+AI222)/AK222</f>
        <v>0.50287954576179528</v>
      </c>
      <c r="AN222" s="33"/>
      <c r="AO222" s="33">
        <f>+(4*26491+11*19871+5*13249)/20*AI222</f>
        <v>1172370</v>
      </c>
      <c r="AP222" s="34">
        <v>5008.82</v>
      </c>
      <c r="AQ222" s="33" t="s">
        <v>71</v>
      </c>
      <c r="AR222" s="34" t="s">
        <v>1022</v>
      </c>
      <c r="AS222" s="35">
        <v>44812</v>
      </c>
      <c r="AT222" s="36"/>
      <c r="AU222" s="134" t="s">
        <v>1023</v>
      </c>
      <c r="AV222" s="19"/>
      <c r="AW222" s="19"/>
      <c r="AX222" s="19"/>
      <c r="AY222" s="19"/>
      <c r="AZ222" s="19"/>
      <c r="BA222" s="19"/>
      <c r="BB222" s="19"/>
      <c r="BC222" s="19"/>
      <c r="BD222" s="19"/>
      <c r="BE222" s="19"/>
      <c r="BF222" s="19"/>
      <c r="BG222" s="20"/>
      <c r="BH222" s="20"/>
      <c r="BI222" s="20"/>
      <c r="BJ222" s="20"/>
      <c r="BK222" s="20"/>
      <c r="BL222" s="20"/>
      <c r="BM222" s="20"/>
      <c r="BN222" s="20"/>
      <c r="BO222" s="20"/>
      <c r="BP222" s="20"/>
      <c r="BQ222" s="20"/>
      <c r="BR222" s="20"/>
      <c r="BS222" s="20"/>
      <c r="BT222" s="20"/>
      <c r="BU222" s="20"/>
      <c r="BV222" s="20"/>
      <c r="IP222" s="20"/>
      <c r="IQ222" s="20"/>
      <c r="IR222" s="20"/>
      <c r="IS222" s="20"/>
      <c r="IT222" s="20"/>
      <c r="IU222" s="20"/>
      <c r="IV222" s="20"/>
    </row>
    <row r="223" spans="1:256" s="21" customFormat="1" ht="63.75">
      <c r="A223" s="135"/>
      <c r="B223" s="24">
        <v>203</v>
      </c>
      <c r="C223" s="24" t="s">
        <v>1024</v>
      </c>
      <c r="D223" s="25">
        <v>44713</v>
      </c>
      <c r="E223" s="26">
        <v>40754</v>
      </c>
      <c r="F223" s="26">
        <v>139188</v>
      </c>
      <c r="G223" s="26">
        <v>31754</v>
      </c>
      <c r="H223" s="27">
        <v>365</v>
      </c>
      <c r="I223" s="27"/>
      <c r="J223" s="27">
        <v>12</v>
      </c>
      <c r="K223" s="27">
        <v>1</v>
      </c>
      <c r="L223" s="27" t="s">
        <v>621</v>
      </c>
      <c r="M223" s="27" t="s">
        <v>668</v>
      </c>
      <c r="N223" s="27" t="s">
        <v>1025</v>
      </c>
      <c r="O223" s="27"/>
      <c r="P223" s="27" t="s">
        <v>1026</v>
      </c>
      <c r="Q223" s="27" t="s">
        <v>1026</v>
      </c>
      <c r="R223" s="27" t="s">
        <v>1026</v>
      </c>
      <c r="S223" s="27" t="s">
        <v>1012</v>
      </c>
      <c r="T223" s="27"/>
      <c r="U223" s="28">
        <v>3</v>
      </c>
      <c r="V223" s="27"/>
      <c r="W223" s="27"/>
      <c r="X223" s="27" t="s">
        <v>77</v>
      </c>
      <c r="Y223" s="29"/>
      <c r="Z223" s="30">
        <f>2+1+1</f>
        <v>4</v>
      </c>
      <c r="AA223" s="31"/>
      <c r="AB223" s="30">
        <f>1+1+1+Z223</f>
        <v>7</v>
      </c>
      <c r="AC223" s="31"/>
      <c r="AD223" s="30">
        <f>+Z223*2</f>
        <v>8</v>
      </c>
      <c r="AE223" s="27"/>
      <c r="AF223" s="27"/>
      <c r="AG223" s="27"/>
      <c r="AH223" s="27"/>
      <c r="AI223" s="28">
        <f>157.35+24.27/2</f>
        <v>169.48499999999999</v>
      </c>
      <c r="AJ223" s="32"/>
      <c r="AK223" s="33">
        <v>520</v>
      </c>
      <c r="AL223" s="33">
        <f>+(157.35+24.27)/AK223</f>
        <v>0.34926923076923078</v>
      </c>
      <c r="AM223" s="33">
        <f>+AI223/AK223</f>
        <v>0.32593269230769228</v>
      </c>
      <c r="AN223" s="33"/>
      <c r="AO223" s="33">
        <f>+(6*26491+6*19871+7*13249)/19*AI223</f>
        <v>3308659.4092105259</v>
      </c>
      <c r="AP223" s="34">
        <v>13076.46</v>
      </c>
      <c r="AQ223" s="33" t="s">
        <v>51</v>
      </c>
      <c r="AR223" s="34" t="s">
        <v>1027</v>
      </c>
      <c r="AS223" s="35">
        <v>44812</v>
      </c>
      <c r="AT223" s="36"/>
      <c r="AU223" s="134" t="s">
        <v>1028</v>
      </c>
      <c r="AV223" s="19"/>
      <c r="AW223" s="19"/>
      <c r="AX223" s="19"/>
      <c r="AY223" s="19"/>
      <c r="AZ223" s="19"/>
      <c r="BA223" s="19"/>
      <c r="BB223" s="19"/>
      <c r="BC223" s="19"/>
      <c r="BD223" s="19"/>
      <c r="BE223" s="19"/>
      <c r="BF223" s="19"/>
      <c r="BG223" s="20"/>
      <c r="BH223" s="20"/>
      <c r="BI223" s="20"/>
      <c r="BJ223" s="20"/>
      <c r="BK223" s="20"/>
      <c r="BL223" s="20"/>
      <c r="BM223" s="20"/>
      <c r="BN223" s="20"/>
      <c r="BO223" s="20"/>
      <c r="BP223" s="20"/>
      <c r="BQ223" s="20"/>
      <c r="BR223" s="20"/>
      <c r="BS223" s="20"/>
      <c r="BT223" s="20"/>
      <c r="BU223" s="20"/>
      <c r="BV223" s="20"/>
      <c r="IP223" s="20"/>
      <c r="IQ223" s="20"/>
      <c r="IR223" s="20"/>
      <c r="IS223" s="20"/>
      <c r="IT223" s="20"/>
      <c r="IU223" s="20"/>
      <c r="IV223" s="20"/>
    </row>
    <row r="224" spans="1:256" s="21" customFormat="1" ht="89.25">
      <c r="A224" s="135"/>
      <c r="B224" s="24">
        <v>204</v>
      </c>
      <c r="C224" s="24">
        <v>544959</v>
      </c>
      <c r="D224" s="25">
        <v>44803</v>
      </c>
      <c r="E224" s="26">
        <v>11484</v>
      </c>
      <c r="F224" s="26">
        <v>1432</v>
      </c>
      <c r="G224" s="26">
        <v>771</v>
      </c>
      <c r="H224" s="27"/>
      <c r="I224" s="27"/>
      <c r="J224" s="27">
        <v>172</v>
      </c>
      <c r="K224" s="27">
        <v>5</v>
      </c>
      <c r="L224" s="27" t="s">
        <v>31</v>
      </c>
      <c r="M224" s="27" t="s">
        <v>1029</v>
      </c>
      <c r="N224" s="27" t="s">
        <v>1030</v>
      </c>
      <c r="O224" s="27"/>
      <c r="P224" s="27" t="s">
        <v>149</v>
      </c>
      <c r="Q224" s="27" t="s">
        <v>149</v>
      </c>
      <c r="R224" s="27" t="s">
        <v>149</v>
      </c>
      <c r="S224" s="27" t="s">
        <v>440</v>
      </c>
      <c r="T224" s="27"/>
      <c r="U224" s="28"/>
      <c r="V224" s="27">
        <v>3</v>
      </c>
      <c r="W224" s="27"/>
      <c r="X224" s="27" t="s">
        <v>186</v>
      </c>
      <c r="Y224" s="29"/>
      <c r="Z224" s="30"/>
      <c r="AA224" s="31"/>
      <c r="AB224" s="30"/>
      <c r="AC224" s="31"/>
      <c r="AD224" s="30"/>
      <c r="AE224" s="27"/>
      <c r="AF224" s="27">
        <v>333.88</v>
      </c>
      <c r="AG224" s="27"/>
      <c r="AH224" s="27"/>
      <c r="AI224" s="28"/>
      <c r="AJ224" s="32"/>
      <c r="AK224" s="33">
        <v>333.88</v>
      </c>
      <c r="AL224" s="33">
        <v>1</v>
      </c>
      <c r="AM224" s="33">
        <v>1</v>
      </c>
      <c r="AN224" s="33"/>
      <c r="AO224" s="33">
        <v>949500</v>
      </c>
      <c r="AP224" s="34">
        <v>15507.45</v>
      </c>
      <c r="AQ224" s="33" t="s">
        <v>1031</v>
      </c>
      <c r="AR224" s="34" t="s">
        <v>1032</v>
      </c>
      <c r="AS224" s="35">
        <v>44812</v>
      </c>
      <c r="AT224" s="36"/>
      <c r="AU224" s="134" t="s">
        <v>1033</v>
      </c>
      <c r="AV224" s="19"/>
      <c r="AW224" s="19"/>
      <c r="AX224" s="19"/>
      <c r="AY224" s="19"/>
      <c r="AZ224" s="19"/>
      <c r="BA224" s="19"/>
      <c r="BB224" s="19"/>
      <c r="BC224" s="19"/>
      <c r="BD224" s="19"/>
      <c r="BE224" s="19"/>
      <c r="BF224" s="19"/>
      <c r="BG224" s="20"/>
      <c r="BH224" s="20"/>
      <c r="BI224" s="20"/>
      <c r="BJ224" s="20"/>
      <c r="BK224" s="20"/>
      <c r="BL224" s="20"/>
      <c r="BM224" s="20"/>
      <c r="BN224" s="20"/>
      <c r="BO224" s="20"/>
      <c r="BP224" s="20"/>
      <c r="BQ224" s="20"/>
      <c r="BR224" s="20"/>
      <c r="BS224" s="20"/>
      <c r="BT224" s="20"/>
      <c r="BU224" s="20"/>
      <c r="BV224" s="20"/>
      <c r="IP224" s="20"/>
      <c r="IQ224" s="20"/>
      <c r="IR224" s="20"/>
      <c r="IS224" s="20"/>
      <c r="IT224" s="20"/>
      <c r="IU224" s="20"/>
      <c r="IV224" s="20"/>
    </row>
    <row r="225" spans="1:256" s="21" customFormat="1" ht="76.5">
      <c r="A225" s="135"/>
      <c r="B225" s="24">
        <v>207</v>
      </c>
      <c r="C225" s="24" t="s">
        <v>1034</v>
      </c>
      <c r="D225" s="25">
        <v>44791</v>
      </c>
      <c r="E225" s="26">
        <v>37270</v>
      </c>
      <c r="F225" s="26">
        <v>104595</v>
      </c>
      <c r="G225" s="26">
        <v>763</v>
      </c>
      <c r="H225" s="27"/>
      <c r="I225" s="27"/>
      <c r="J225" s="27">
        <v>186</v>
      </c>
      <c r="K225" s="27">
        <v>2</v>
      </c>
      <c r="L225" s="27" t="s">
        <v>31</v>
      </c>
      <c r="M225" s="27" t="s">
        <v>1035</v>
      </c>
      <c r="N225" s="27" t="s">
        <v>1036</v>
      </c>
      <c r="O225" s="27"/>
      <c r="P225" s="27" t="s">
        <v>317</v>
      </c>
      <c r="Q225" s="27" t="s">
        <v>317</v>
      </c>
      <c r="R225" s="27" t="s">
        <v>317</v>
      </c>
      <c r="S225" s="27" t="s">
        <v>855</v>
      </c>
      <c r="T225" s="27"/>
      <c r="U225" s="28"/>
      <c r="V225" s="27">
        <v>1</v>
      </c>
      <c r="W225" s="27"/>
      <c r="X225" s="27" t="s">
        <v>186</v>
      </c>
      <c r="Y225" s="29"/>
      <c r="Z225" s="30"/>
      <c r="AA225" s="31"/>
      <c r="AB225" s="30"/>
      <c r="AC225" s="31"/>
      <c r="AD225" s="30"/>
      <c r="AE225" s="27"/>
      <c r="AF225" s="27"/>
      <c r="AG225" s="27"/>
      <c r="AH225" s="27"/>
      <c r="AI225" s="28"/>
      <c r="AJ225" s="32"/>
      <c r="AK225" s="33">
        <v>204.66</v>
      </c>
      <c r="AL225" s="33"/>
      <c r="AM225" s="33"/>
      <c r="AN225" s="33"/>
      <c r="AO225" s="33">
        <v>3160973.01</v>
      </c>
      <c r="AP225" s="34">
        <v>17414.41</v>
      </c>
      <c r="AQ225" s="33" t="s">
        <v>71</v>
      </c>
      <c r="AR225" s="34" t="s">
        <v>1037</v>
      </c>
      <c r="AS225" s="35">
        <v>44817</v>
      </c>
      <c r="AT225" s="36"/>
      <c r="AU225" s="134" t="s">
        <v>1038</v>
      </c>
      <c r="AV225" s="19"/>
      <c r="AW225" s="19"/>
      <c r="AX225" s="19"/>
      <c r="AY225" s="19"/>
      <c r="AZ225" s="19"/>
      <c r="BA225" s="19"/>
      <c r="BB225" s="19"/>
      <c r="BC225" s="19"/>
      <c r="BD225" s="19"/>
      <c r="BE225" s="19"/>
      <c r="BF225" s="19"/>
      <c r="BG225" s="20"/>
      <c r="BH225" s="20"/>
      <c r="BI225" s="20"/>
      <c r="BJ225" s="20"/>
      <c r="BK225" s="20"/>
      <c r="BL225" s="20"/>
      <c r="BM225" s="20"/>
      <c r="BN225" s="20"/>
      <c r="BO225" s="20"/>
      <c r="BP225" s="20"/>
      <c r="BQ225" s="20"/>
      <c r="BR225" s="20"/>
      <c r="BS225" s="20"/>
      <c r="BT225" s="20"/>
      <c r="BU225" s="20"/>
      <c r="BV225" s="20"/>
      <c r="IP225" s="20"/>
      <c r="IQ225" s="20"/>
      <c r="IR225" s="20"/>
      <c r="IS225" s="20"/>
      <c r="IT225" s="20"/>
      <c r="IU225" s="20"/>
      <c r="IV225" s="20"/>
    </row>
    <row r="226" spans="1:256" s="21" customFormat="1" ht="51">
      <c r="A226" s="135"/>
      <c r="B226" s="24">
        <v>209</v>
      </c>
      <c r="C226" s="24">
        <v>544719</v>
      </c>
      <c r="D226" s="25">
        <v>44792</v>
      </c>
      <c r="E226" s="26"/>
      <c r="F226" s="26">
        <v>149363</v>
      </c>
      <c r="G226" s="26">
        <v>9160</v>
      </c>
      <c r="H226" s="27"/>
      <c r="I226" s="27"/>
      <c r="J226" s="27">
        <v>283</v>
      </c>
      <c r="K226" s="27">
        <v>9</v>
      </c>
      <c r="L226" s="27" t="s">
        <v>38</v>
      </c>
      <c r="M226" s="27" t="s">
        <v>1039</v>
      </c>
      <c r="N226" s="27" t="s">
        <v>1040</v>
      </c>
      <c r="O226" s="27"/>
      <c r="P226" s="27" t="s">
        <v>1041</v>
      </c>
      <c r="Q226" s="27" t="s">
        <v>1041</v>
      </c>
      <c r="R226" s="27" t="s">
        <v>1041</v>
      </c>
      <c r="S226" s="27" t="s">
        <v>100</v>
      </c>
      <c r="T226" s="27"/>
      <c r="U226" s="28">
        <v>1</v>
      </c>
      <c r="V226" s="27"/>
      <c r="W226" s="27"/>
      <c r="X226" s="27" t="s">
        <v>186</v>
      </c>
      <c r="Y226" s="29"/>
      <c r="Z226" s="30"/>
      <c r="AA226" s="31"/>
      <c r="AB226" s="30"/>
      <c r="AC226" s="31"/>
      <c r="AD226" s="30"/>
      <c r="AE226" s="27"/>
      <c r="AF226" s="27"/>
      <c r="AG226" s="27"/>
      <c r="AH226" s="27"/>
      <c r="AI226" s="28"/>
      <c r="AJ226" s="32">
        <f>183.4+52</f>
        <v>235.4</v>
      </c>
      <c r="AK226" s="33">
        <v>306.39999999999998</v>
      </c>
      <c r="AL226" s="33">
        <f>+(183.4/AK226)</f>
        <v>0.59856396866840733</v>
      </c>
      <c r="AM226" s="33">
        <f>+AJ226/AK226</f>
        <v>0.76827676240208886</v>
      </c>
      <c r="AN226" s="33"/>
      <c r="AO226" s="33">
        <f>+AJ226*19581</f>
        <v>4609367.4000000004</v>
      </c>
      <c r="AP226" s="34">
        <v>15450.14</v>
      </c>
      <c r="AQ226" s="33" t="s">
        <v>71</v>
      </c>
      <c r="AR226" s="34" t="s">
        <v>1042</v>
      </c>
      <c r="AS226" s="35">
        <v>44817</v>
      </c>
      <c r="AT226" s="36"/>
      <c r="AU226" s="134" t="s">
        <v>1043</v>
      </c>
      <c r="AV226" s="19"/>
      <c r="AW226" s="19"/>
      <c r="AX226" s="19"/>
      <c r="AY226" s="19"/>
      <c r="AZ226" s="19"/>
      <c r="BA226" s="19"/>
      <c r="BB226" s="19"/>
      <c r="BC226" s="19"/>
      <c r="BD226" s="19"/>
      <c r="BE226" s="19"/>
      <c r="BF226" s="19"/>
      <c r="BG226" s="20"/>
      <c r="BH226" s="20"/>
      <c r="BI226" s="20"/>
      <c r="BJ226" s="20"/>
      <c r="BK226" s="20"/>
      <c r="BL226" s="20"/>
      <c r="BM226" s="20"/>
      <c r="BN226" s="20"/>
      <c r="BO226" s="20"/>
      <c r="BP226" s="20"/>
      <c r="BQ226" s="20"/>
      <c r="BR226" s="20"/>
      <c r="BS226" s="20"/>
      <c r="BT226" s="20"/>
      <c r="BU226" s="20"/>
      <c r="BV226" s="20"/>
      <c r="IP226" s="20"/>
      <c r="IQ226" s="20"/>
      <c r="IR226" s="20"/>
      <c r="IS226" s="20"/>
      <c r="IT226" s="20"/>
      <c r="IU226" s="20"/>
      <c r="IV226" s="20"/>
    </row>
    <row r="227" spans="1:256" s="21" customFormat="1" ht="63.75">
      <c r="A227" s="22"/>
      <c r="B227" s="161">
        <v>208</v>
      </c>
      <c r="C227" s="24" t="s">
        <v>1044</v>
      </c>
      <c r="D227" s="25">
        <v>44783</v>
      </c>
      <c r="E227" s="26"/>
      <c r="F227" s="26">
        <v>149632</v>
      </c>
      <c r="G227" s="26">
        <v>20822</v>
      </c>
      <c r="H227" s="27">
        <v>62</v>
      </c>
      <c r="I227" s="27"/>
      <c r="J227" s="27">
        <v>435</v>
      </c>
      <c r="K227" s="27">
        <v>10</v>
      </c>
      <c r="L227" s="27" t="s">
        <v>74</v>
      </c>
      <c r="M227" s="27" t="s">
        <v>1045</v>
      </c>
      <c r="N227" s="27" t="s">
        <v>1046</v>
      </c>
      <c r="O227" s="27"/>
      <c r="P227" s="27" t="s">
        <v>1047</v>
      </c>
      <c r="Q227" s="27" t="s">
        <v>1047</v>
      </c>
      <c r="R227" s="27" t="s">
        <v>1047</v>
      </c>
      <c r="S227" s="27" t="s">
        <v>886</v>
      </c>
      <c r="T227" s="27"/>
      <c r="U227" s="28">
        <v>1</v>
      </c>
      <c r="V227" s="27"/>
      <c r="W227" s="27"/>
      <c r="X227" s="27" t="s">
        <v>1048</v>
      </c>
      <c r="Y227" s="29"/>
      <c r="Z227" s="30">
        <v>1</v>
      </c>
      <c r="AA227" s="31"/>
      <c r="AB227" s="30">
        <f>+Z227+1</f>
        <v>2</v>
      </c>
      <c r="AC227" s="31"/>
      <c r="AD227" s="30">
        <f>+Z227*2</f>
        <v>2</v>
      </c>
      <c r="AE227" s="27"/>
      <c r="AF227" s="27"/>
      <c r="AG227" s="27"/>
      <c r="AH227" s="27"/>
      <c r="AI227" s="28">
        <f>77.37+2.4/2</f>
        <v>78.570000000000007</v>
      </c>
      <c r="AJ227" s="32"/>
      <c r="AK227" s="33">
        <v>340.5</v>
      </c>
      <c r="AL227" s="33">
        <f>+(77.37+2.4)/AK227</f>
        <v>0.234273127753304</v>
      </c>
      <c r="AM227" s="33">
        <f>+AI227/AK227</f>
        <v>0.23074889867841411</v>
      </c>
      <c r="AN227" s="33"/>
      <c r="AO227" s="33">
        <f>+(7*33123+4*26491+19871*6+2*13249)/19*AI227</f>
        <v>1999602.3647368425</v>
      </c>
      <c r="AP227" s="34">
        <v>8786.7099999999991</v>
      </c>
      <c r="AQ227" s="33" t="s">
        <v>71</v>
      </c>
      <c r="AR227" s="34" t="s">
        <v>1049</v>
      </c>
      <c r="AS227" s="35">
        <v>44817</v>
      </c>
      <c r="AT227" s="35">
        <v>45684</v>
      </c>
      <c r="AU227" s="43" t="s">
        <v>1050</v>
      </c>
      <c r="AV227" s="19"/>
      <c r="AW227" s="19"/>
      <c r="AX227" s="19"/>
      <c r="AY227" s="19"/>
      <c r="AZ227" s="19"/>
      <c r="BA227" s="19"/>
      <c r="BB227" s="19"/>
      <c r="BC227" s="19"/>
      <c r="BD227" s="19"/>
      <c r="BE227" s="19"/>
      <c r="BF227" s="19"/>
      <c r="BG227" s="20"/>
      <c r="BH227" s="20"/>
      <c r="BI227" s="20"/>
      <c r="BJ227" s="20"/>
      <c r="BK227" s="20"/>
      <c r="BL227" s="20"/>
      <c r="BM227" s="20"/>
      <c r="BN227" s="20"/>
      <c r="BO227" s="20"/>
      <c r="BP227" s="20"/>
      <c r="BQ227" s="20"/>
      <c r="BR227" s="20"/>
      <c r="BS227" s="20"/>
      <c r="BT227" s="20"/>
      <c r="BU227" s="20"/>
      <c r="BV227" s="20"/>
      <c r="IP227" s="20"/>
      <c r="IQ227" s="20"/>
      <c r="IR227" s="20"/>
      <c r="IS227" s="20"/>
      <c r="IT227" s="20"/>
      <c r="IU227" s="20"/>
      <c r="IV227" s="20"/>
    </row>
    <row r="228" spans="1:256" s="21" customFormat="1" ht="63.75">
      <c r="A228" s="185"/>
      <c r="B228" s="161">
        <v>210</v>
      </c>
      <c r="C228" s="24">
        <v>545160</v>
      </c>
      <c r="D228" s="25">
        <v>44812</v>
      </c>
      <c r="E228" s="26">
        <v>42908</v>
      </c>
      <c r="F228" s="26">
        <v>141015</v>
      </c>
      <c r="G228" s="26">
        <v>31975</v>
      </c>
      <c r="H228" s="27">
        <v>1</v>
      </c>
      <c r="I228" s="27"/>
      <c r="J228" s="27"/>
      <c r="K228" s="27">
        <v>74</v>
      </c>
      <c r="L228" s="27" t="s">
        <v>337</v>
      </c>
      <c r="M228" s="27" t="s">
        <v>1051</v>
      </c>
      <c r="N228" s="27" t="s">
        <v>1052</v>
      </c>
      <c r="O228" s="27"/>
      <c r="P228" s="27" t="s">
        <v>1053</v>
      </c>
      <c r="Q228" s="27"/>
      <c r="R228" s="27"/>
      <c r="S228" s="27"/>
      <c r="T228" s="27">
        <v>1</v>
      </c>
      <c r="U228" s="28"/>
      <c r="V228" s="27"/>
      <c r="W228" s="27"/>
      <c r="X228" s="27" t="s">
        <v>65</v>
      </c>
      <c r="Y228" s="29">
        <v>2</v>
      </c>
      <c r="Z228" s="30"/>
      <c r="AA228" s="31">
        <f>+Y228+1</f>
        <v>3</v>
      </c>
      <c r="AB228" s="30"/>
      <c r="AC228" s="31">
        <f>+Y228*2</f>
        <v>4</v>
      </c>
      <c r="AD228" s="30"/>
      <c r="AE228" s="27"/>
      <c r="AF228" s="27"/>
      <c r="AG228" s="27">
        <f>98+76.8/2</f>
        <v>136.4</v>
      </c>
      <c r="AH228" s="27"/>
      <c r="AI228" s="28"/>
      <c r="AJ228" s="32"/>
      <c r="AK228" s="33">
        <v>3187.2</v>
      </c>
      <c r="AL228" s="33">
        <f>+(98+76.8)/AK228</f>
        <v>5.484437751004017E-2</v>
      </c>
      <c r="AM228" s="33">
        <f>+AG228/AK228</f>
        <v>4.2796184738955828E-2</v>
      </c>
      <c r="AN228" s="33">
        <f>+(3+28+5)/(1+7+1)</f>
        <v>4</v>
      </c>
      <c r="AO228" s="33">
        <f>+(5*33123+26491*2+6*19871+13249*6)/19*AG228</f>
        <v>2995896.7789473683</v>
      </c>
      <c r="AP228" s="34">
        <v>36914.57</v>
      </c>
      <c r="AQ228" s="33" t="s">
        <v>605</v>
      </c>
      <c r="AR228" s="34" t="s">
        <v>1054</v>
      </c>
      <c r="AS228" s="35">
        <v>44818</v>
      </c>
      <c r="AT228" s="36"/>
      <c r="AU228" s="165">
        <v>44813</v>
      </c>
      <c r="AV228" s="19"/>
      <c r="AW228" s="19"/>
      <c r="AX228" s="19"/>
      <c r="AY228" s="19"/>
      <c r="AZ228" s="19"/>
      <c r="BA228" s="19"/>
      <c r="BB228" s="19"/>
      <c r="BC228" s="19"/>
      <c r="BD228" s="19"/>
      <c r="BE228" s="19"/>
      <c r="BF228" s="19"/>
      <c r="BG228" s="20"/>
      <c r="BH228" s="20"/>
      <c r="BI228" s="20"/>
      <c r="BJ228" s="20"/>
      <c r="BK228" s="20"/>
      <c r="BL228" s="20"/>
      <c r="BM228" s="20"/>
      <c r="BN228" s="20"/>
      <c r="BO228" s="20"/>
      <c r="BP228" s="20"/>
      <c r="BQ228" s="20"/>
      <c r="BR228" s="20"/>
      <c r="BS228" s="20"/>
      <c r="BT228" s="20"/>
      <c r="BU228" s="20"/>
      <c r="BV228" s="20"/>
      <c r="IP228" s="20"/>
      <c r="IQ228" s="20"/>
      <c r="IR228" s="20"/>
      <c r="IS228" s="20"/>
      <c r="IT228" s="20"/>
      <c r="IU228" s="20"/>
      <c r="IV228" s="20"/>
    </row>
    <row r="229" spans="1:256" s="21" customFormat="1" ht="38.25">
      <c r="A229" s="186"/>
      <c r="B229" s="161">
        <v>211</v>
      </c>
      <c r="C229" s="24" t="s">
        <v>1055</v>
      </c>
      <c r="D229" s="25">
        <v>44798</v>
      </c>
      <c r="E229" s="26">
        <v>33122</v>
      </c>
      <c r="F229" s="26"/>
      <c r="G229" s="26">
        <v>1377</v>
      </c>
      <c r="H229" s="27"/>
      <c r="I229" s="27"/>
      <c r="J229" s="27">
        <v>100</v>
      </c>
      <c r="K229" s="27">
        <v>6</v>
      </c>
      <c r="L229" s="27" t="s">
        <v>31</v>
      </c>
      <c r="M229" s="27" t="s">
        <v>1056</v>
      </c>
      <c r="N229" s="27" t="s">
        <v>1057</v>
      </c>
      <c r="O229" s="27" t="s">
        <v>1058</v>
      </c>
      <c r="P229" s="27" t="s">
        <v>1059</v>
      </c>
      <c r="Q229" s="27" t="s">
        <v>1059</v>
      </c>
      <c r="R229" s="27" t="s">
        <v>1059</v>
      </c>
      <c r="S229" s="27" t="s">
        <v>820</v>
      </c>
      <c r="T229" s="27"/>
      <c r="U229" s="28"/>
      <c r="V229" s="27">
        <v>1</v>
      </c>
      <c r="W229" s="27"/>
      <c r="X229" s="27" t="s">
        <v>1060</v>
      </c>
      <c r="Y229" s="29"/>
      <c r="Z229" s="30"/>
      <c r="AA229" s="31"/>
      <c r="AB229" s="30"/>
      <c r="AC229" s="31"/>
      <c r="AD229" s="30"/>
      <c r="AE229" s="27"/>
      <c r="AF229" s="27"/>
      <c r="AG229" s="27"/>
      <c r="AH229" s="27"/>
      <c r="AI229" s="28">
        <f>95.61/2</f>
        <v>47.805</v>
      </c>
      <c r="AJ229" s="32"/>
      <c r="AK229" s="33">
        <v>359.33</v>
      </c>
      <c r="AL229" s="33">
        <f>+(AI229*2)/AK229</f>
        <v>0.26607853505134554</v>
      </c>
      <c r="AM229" s="33">
        <f>+AI229/AK229</f>
        <v>0.13303926752567277</v>
      </c>
      <c r="AN229" s="33"/>
      <c r="AO229" s="33">
        <v>1406830.14</v>
      </c>
      <c r="AP229" s="34">
        <v>23387.86</v>
      </c>
      <c r="AQ229" s="33" t="s">
        <v>71</v>
      </c>
      <c r="AR229" s="34" t="s">
        <v>1061</v>
      </c>
      <c r="AS229" s="35">
        <v>44818</v>
      </c>
      <c r="AT229" s="36"/>
      <c r="AU229" s="134">
        <v>44813</v>
      </c>
      <c r="AV229" s="19"/>
      <c r="AW229" s="19"/>
      <c r="AX229" s="19"/>
      <c r="AY229" s="19"/>
      <c r="AZ229" s="19"/>
      <c r="BA229" s="19"/>
      <c r="BB229" s="19"/>
      <c r="BC229" s="19"/>
      <c r="BD229" s="19"/>
      <c r="BE229" s="19"/>
      <c r="BF229" s="19"/>
      <c r="BG229" s="20"/>
      <c r="BH229" s="20"/>
      <c r="BI229" s="20"/>
      <c r="BJ229" s="20"/>
      <c r="BK229" s="20"/>
      <c r="BL229" s="20"/>
      <c r="BM229" s="20"/>
      <c r="BN229" s="20"/>
      <c r="BO229" s="20"/>
      <c r="BP229" s="20"/>
      <c r="BQ229" s="20"/>
      <c r="BR229" s="20"/>
      <c r="BS229" s="20"/>
      <c r="BT229" s="20"/>
      <c r="BU229" s="20"/>
      <c r="BV229" s="20"/>
      <c r="IP229" s="20"/>
      <c r="IQ229" s="20"/>
      <c r="IR229" s="20"/>
      <c r="IS229" s="20"/>
      <c r="IT229" s="20"/>
      <c r="IU229" s="20"/>
      <c r="IV229" s="20"/>
    </row>
    <row r="230" spans="1:256" s="21" customFormat="1" ht="38.25">
      <c r="A230" s="186"/>
      <c r="B230" s="161">
        <v>214</v>
      </c>
      <c r="C230" s="24">
        <v>545200</v>
      </c>
      <c r="D230" s="25">
        <v>44813</v>
      </c>
      <c r="E230" s="26"/>
      <c r="F230" s="26">
        <v>141347</v>
      </c>
      <c r="G230" s="26">
        <v>32026</v>
      </c>
      <c r="H230" s="27">
        <v>3</v>
      </c>
      <c r="I230" s="27"/>
      <c r="J230" s="27">
        <v>3</v>
      </c>
      <c r="K230" s="27">
        <v>1</v>
      </c>
      <c r="L230" s="27" t="s">
        <v>630</v>
      </c>
      <c r="M230" s="27" t="s">
        <v>270</v>
      </c>
      <c r="N230" s="27" t="s">
        <v>1062</v>
      </c>
      <c r="O230" s="27"/>
      <c r="P230" s="27" t="s">
        <v>537</v>
      </c>
      <c r="Q230" s="27" t="s">
        <v>537</v>
      </c>
      <c r="R230" s="27" t="s">
        <v>537</v>
      </c>
      <c r="S230" s="27" t="s">
        <v>538</v>
      </c>
      <c r="T230" s="27"/>
      <c r="U230" s="28"/>
      <c r="V230" s="27">
        <v>1</v>
      </c>
      <c r="W230" s="27"/>
      <c r="X230" s="27" t="s">
        <v>1063</v>
      </c>
      <c r="Y230" s="29"/>
      <c r="Z230" s="30"/>
      <c r="AA230" s="31"/>
      <c r="AB230" s="30"/>
      <c r="AC230" s="31"/>
      <c r="AD230" s="30"/>
      <c r="AE230" s="27">
        <f>155.32+61.35/2</f>
        <v>185.995</v>
      </c>
      <c r="AF230" s="27"/>
      <c r="AG230" s="27"/>
      <c r="AH230" s="27"/>
      <c r="AI230" s="28"/>
      <c r="AJ230" s="32"/>
      <c r="AK230" s="33">
        <v>806.63</v>
      </c>
      <c r="AL230" s="27">
        <f>+(155.32+61.35)/AK230</f>
        <v>0.26861138316204453</v>
      </c>
      <c r="AM230" s="33">
        <f>+AE230/AK230</f>
        <v>0.23058279508572704</v>
      </c>
      <c r="AN230" s="33"/>
      <c r="AO230" s="34">
        <v>977600.29</v>
      </c>
      <c r="AP230" s="34">
        <v>26177.58</v>
      </c>
      <c r="AQ230" s="33" t="s">
        <v>605</v>
      </c>
      <c r="AR230" s="34" t="s">
        <v>1064</v>
      </c>
      <c r="AS230" s="35">
        <v>44826</v>
      </c>
      <c r="AT230" s="36"/>
      <c r="AU230" s="37">
        <v>44823</v>
      </c>
      <c r="AV230" s="19"/>
      <c r="AW230" s="19"/>
      <c r="AX230" s="19"/>
      <c r="AY230" s="19"/>
      <c r="AZ230" s="19"/>
      <c r="BA230" s="19"/>
      <c r="BB230" s="19"/>
      <c r="BC230" s="19"/>
      <c r="BD230" s="19"/>
      <c r="BE230" s="19"/>
      <c r="BF230" s="19"/>
      <c r="BG230" s="20"/>
      <c r="BH230" s="20"/>
      <c r="BI230" s="20"/>
      <c r="BJ230" s="20"/>
      <c r="BK230" s="20"/>
      <c r="BL230" s="20"/>
      <c r="BM230" s="20"/>
      <c r="BN230" s="20"/>
      <c r="BO230" s="20"/>
      <c r="BP230" s="20"/>
      <c r="BQ230" s="20"/>
      <c r="BR230" s="20"/>
      <c r="BS230" s="20"/>
      <c r="BT230" s="20"/>
      <c r="BU230" s="20"/>
      <c r="BV230" s="20"/>
      <c r="IP230" s="20"/>
      <c r="IQ230" s="20"/>
      <c r="IR230" s="20"/>
      <c r="IS230" s="20"/>
      <c r="IT230" s="20"/>
      <c r="IU230" s="20"/>
      <c r="IV230" s="20"/>
    </row>
    <row r="231" spans="1:256" s="21" customFormat="1" ht="38.25">
      <c r="A231" s="186"/>
      <c r="B231" s="185">
        <v>213</v>
      </c>
      <c r="C231" s="24">
        <v>545201</v>
      </c>
      <c r="D231" s="25">
        <v>44813</v>
      </c>
      <c r="E231" s="26">
        <v>43481</v>
      </c>
      <c r="F231" s="26">
        <v>141347</v>
      </c>
      <c r="G231" s="26">
        <v>32026</v>
      </c>
      <c r="H231" s="27">
        <v>3</v>
      </c>
      <c r="I231" s="27"/>
      <c r="J231" s="27">
        <v>8</v>
      </c>
      <c r="K231" s="27">
        <v>6</v>
      </c>
      <c r="L231" s="27" t="s">
        <v>630</v>
      </c>
      <c r="M231" s="27" t="s">
        <v>270</v>
      </c>
      <c r="N231" s="27" t="s">
        <v>1065</v>
      </c>
      <c r="O231" s="27"/>
      <c r="P231" s="27" t="s">
        <v>537</v>
      </c>
      <c r="Q231" s="27" t="s">
        <v>537</v>
      </c>
      <c r="R231" s="27" t="s">
        <v>537</v>
      </c>
      <c r="S231" s="27" t="s">
        <v>538</v>
      </c>
      <c r="T231" s="27"/>
      <c r="U231" s="28"/>
      <c r="V231" s="27">
        <v>1</v>
      </c>
      <c r="W231" s="27"/>
      <c r="X231" s="27" t="s">
        <v>1063</v>
      </c>
      <c r="Y231" s="29"/>
      <c r="Z231" s="30"/>
      <c r="AA231" s="31"/>
      <c r="AB231" s="30"/>
      <c r="AC231" s="31"/>
      <c r="AD231" s="30"/>
      <c r="AE231" s="28">
        <f>150.9+64/2+115.44+50.66/2+47.32</f>
        <v>370.99</v>
      </c>
      <c r="AF231" s="27"/>
      <c r="AG231" s="27"/>
      <c r="AH231" s="27"/>
      <c r="AI231" s="28"/>
      <c r="AJ231" s="32"/>
      <c r="AK231" s="33">
        <v>906.28</v>
      </c>
      <c r="AL231" s="33">
        <f>+(150.9+64)/AK231</f>
        <v>0.2371231848876727</v>
      </c>
      <c r="AM231" s="33">
        <f>+AE231/AK231</f>
        <v>0.40935472480910978</v>
      </c>
      <c r="AN231" s="33"/>
      <c r="AO231" s="33">
        <v>1574600.95</v>
      </c>
      <c r="AP231" s="34">
        <v>80836.05</v>
      </c>
      <c r="AQ231" s="33" t="s">
        <v>605</v>
      </c>
      <c r="AR231" s="34" t="s">
        <v>1064</v>
      </c>
      <c r="AS231" s="35">
        <v>44819</v>
      </c>
      <c r="AT231" s="36"/>
      <c r="AU231" s="37">
        <v>44816</v>
      </c>
      <c r="AV231" s="19"/>
      <c r="AW231" s="19"/>
      <c r="AX231" s="19"/>
      <c r="AY231" s="19"/>
      <c r="AZ231" s="19"/>
      <c r="BA231" s="19"/>
      <c r="BB231" s="19"/>
      <c r="BC231" s="19"/>
      <c r="BD231" s="19"/>
      <c r="BE231" s="19"/>
      <c r="BF231" s="19"/>
      <c r="BG231" s="20"/>
      <c r="BH231" s="20"/>
      <c r="BI231" s="20"/>
      <c r="BJ231" s="20"/>
      <c r="BK231" s="20"/>
      <c r="BL231" s="20"/>
      <c r="BM231" s="20"/>
      <c r="BN231" s="20"/>
      <c r="BO231" s="20"/>
      <c r="BP231" s="20"/>
      <c r="BQ231" s="20"/>
      <c r="BR231" s="20"/>
      <c r="BS231" s="20"/>
      <c r="BT231" s="20"/>
      <c r="BU231" s="20"/>
      <c r="BV231" s="20"/>
      <c r="IP231" s="20"/>
      <c r="IQ231" s="20"/>
      <c r="IR231" s="20"/>
      <c r="IS231" s="20"/>
      <c r="IT231" s="20"/>
      <c r="IU231" s="20"/>
      <c r="IV231" s="20"/>
    </row>
    <row r="232" spans="1:256" s="21" customFormat="1" ht="51">
      <c r="A232" s="186"/>
      <c r="B232" s="23">
        <v>217</v>
      </c>
      <c r="C232" s="24" t="s">
        <v>1066</v>
      </c>
      <c r="D232" s="25">
        <v>44750</v>
      </c>
      <c r="E232" s="26">
        <v>42325</v>
      </c>
      <c r="F232" s="26">
        <v>50393</v>
      </c>
      <c r="G232" s="26">
        <v>3085</v>
      </c>
      <c r="H232" s="27"/>
      <c r="I232" s="27"/>
      <c r="J232" s="27">
        <v>799</v>
      </c>
      <c r="K232" s="27">
        <v>13</v>
      </c>
      <c r="L232" s="27" t="s">
        <v>211</v>
      </c>
      <c r="M232" s="27" t="s">
        <v>1067</v>
      </c>
      <c r="N232" s="27" t="s">
        <v>1068</v>
      </c>
      <c r="O232" s="27"/>
      <c r="P232" s="27" t="s">
        <v>120</v>
      </c>
      <c r="Q232" s="27"/>
      <c r="R232" s="27"/>
      <c r="S232" s="27"/>
      <c r="T232" s="27">
        <f>3+1</f>
        <v>4</v>
      </c>
      <c r="U232" s="28"/>
      <c r="V232" s="27"/>
      <c r="W232" s="27"/>
      <c r="X232" s="27" t="s">
        <v>404</v>
      </c>
      <c r="Y232" s="29">
        <f>1+1+2</f>
        <v>4</v>
      </c>
      <c r="Z232" s="30"/>
      <c r="AA232" s="31">
        <f>+Y232+1+1+1</f>
        <v>7</v>
      </c>
      <c r="AB232" s="30"/>
      <c r="AC232" s="31">
        <f>+Y232*2</f>
        <v>8</v>
      </c>
      <c r="AD232" s="30"/>
      <c r="AE232" s="27"/>
      <c r="AF232" s="27"/>
      <c r="AG232" s="27">
        <f>67.6+14.8/2+17.42/2+187.3+50.67/2+15.56/2+5.5/2-AH232</f>
        <v>206.49739999999991</v>
      </c>
      <c r="AH232" s="27">
        <f>+((5.18+0.4+0.15)*(0.15+9.4+0.15+3.12+0.3))+((0.15+4.3+0.15+1.34+0.15+5.01+0.15)*(2.24))</f>
        <v>100.37760000000002</v>
      </c>
      <c r="AI232" s="28"/>
      <c r="AJ232" s="32"/>
      <c r="AK232" s="33">
        <v>536.92999999999995</v>
      </c>
      <c r="AL232" s="33">
        <f>+(67.6+14.8+14.42+50.67+187.3+15.59+5.5)/AK232</f>
        <v>0.66280520738271287</v>
      </c>
      <c r="AM232" s="33">
        <f>+(AG232+AH232)/AK232</f>
        <v>0.57153632689549838</v>
      </c>
      <c r="AN232" s="33"/>
      <c r="AO232" s="33">
        <f>+(AH232*26491)+((5*26491+19871*5+9*13249)/19*AG232)</f>
        <v>6474425.0419894718</v>
      </c>
      <c r="AP232" s="34">
        <v>95560.78</v>
      </c>
      <c r="AQ232" s="33" t="s">
        <v>71</v>
      </c>
      <c r="AR232" s="34" t="s">
        <v>1069</v>
      </c>
      <c r="AS232" s="35">
        <v>44826</v>
      </c>
      <c r="AT232" s="36"/>
      <c r="AU232" s="37">
        <v>44818</v>
      </c>
      <c r="AV232" s="19"/>
      <c r="AW232" s="19"/>
      <c r="AX232" s="19"/>
      <c r="AY232" s="19"/>
      <c r="AZ232" s="19"/>
      <c r="BA232" s="19"/>
      <c r="BB232" s="19"/>
      <c r="BC232" s="19"/>
      <c r="BD232" s="19"/>
      <c r="BE232" s="19"/>
      <c r="BF232" s="19"/>
      <c r="BG232" s="20"/>
      <c r="BH232" s="20"/>
      <c r="BI232" s="20"/>
      <c r="BJ232" s="20"/>
      <c r="BK232" s="20"/>
      <c r="BL232" s="20"/>
      <c r="BM232" s="20"/>
      <c r="BN232" s="20"/>
      <c r="BO232" s="20"/>
      <c r="BP232" s="20"/>
      <c r="BQ232" s="20"/>
      <c r="BR232" s="20"/>
      <c r="BS232" s="20"/>
      <c r="BT232" s="20"/>
      <c r="BU232" s="20"/>
      <c r="BV232" s="20"/>
      <c r="IP232" s="20"/>
      <c r="IQ232" s="20"/>
      <c r="IR232" s="20"/>
      <c r="IS232" s="20"/>
      <c r="IT232" s="20"/>
      <c r="IU232" s="20"/>
      <c r="IV232" s="20"/>
    </row>
    <row r="233" spans="1:256" s="21" customFormat="1" ht="51">
      <c r="A233" s="186"/>
      <c r="B233" s="23">
        <v>220</v>
      </c>
      <c r="C233" s="24" t="s">
        <v>1070</v>
      </c>
      <c r="D233" s="25">
        <v>44812</v>
      </c>
      <c r="E233" s="26">
        <v>17344</v>
      </c>
      <c r="F233" s="26">
        <v>483</v>
      </c>
      <c r="G233" s="26">
        <v>578</v>
      </c>
      <c r="H233" s="27"/>
      <c r="I233" s="27"/>
      <c r="J233" s="27">
        <v>173</v>
      </c>
      <c r="K233" s="27">
        <v>8</v>
      </c>
      <c r="L233" s="27" t="s">
        <v>31</v>
      </c>
      <c r="M233" s="27" t="s">
        <v>1071</v>
      </c>
      <c r="N233" s="27"/>
      <c r="O233" s="27" t="s">
        <v>1072</v>
      </c>
      <c r="P233" s="27" t="s">
        <v>498</v>
      </c>
      <c r="Q233" s="27"/>
      <c r="R233" s="27"/>
      <c r="S233" s="27"/>
      <c r="T233" s="27">
        <v>20</v>
      </c>
      <c r="U233" s="28"/>
      <c r="V233" s="27"/>
      <c r="W233" s="27"/>
      <c r="X233" s="27" t="s">
        <v>404</v>
      </c>
      <c r="Y233" s="29">
        <f>4+4*2+3*2+3</f>
        <v>21</v>
      </c>
      <c r="Z233" s="30"/>
      <c r="AA233" s="31">
        <f>+Y233+3+5*2+2</f>
        <v>36</v>
      </c>
      <c r="AB233" s="30"/>
      <c r="AC233" s="31">
        <f>+Y233*2</f>
        <v>42</v>
      </c>
      <c r="AD233" s="30"/>
      <c r="AE233" s="27">
        <f>+(1049.9+389.2/2)</f>
        <v>1244.5</v>
      </c>
      <c r="AF233" s="27"/>
      <c r="AG233" s="27">
        <f>+(1091.9+395.7/2)-AE233</f>
        <v>45.25</v>
      </c>
      <c r="AH233" s="27"/>
      <c r="AI233" s="28"/>
      <c r="AJ233" s="32"/>
      <c r="AK233" s="33">
        <v>624.85</v>
      </c>
      <c r="AL233" s="33">
        <f>+(186.16+18.32+4.2+139.4+65.9)/AK233</f>
        <v>0.6625270064815556</v>
      </c>
      <c r="AM233" s="33">
        <v>2.38</v>
      </c>
      <c r="AN233" s="33">
        <f>+(6+24)/(3+8)</f>
        <v>2.7272727272727271</v>
      </c>
      <c r="AO233" s="33">
        <f>+(8*33123+26491*5+10*13249)/23*AG233</f>
        <v>1042577.7065217393</v>
      </c>
      <c r="AP233" s="34">
        <v>18793.88</v>
      </c>
      <c r="AQ233" s="33" t="s">
        <v>71</v>
      </c>
      <c r="AR233" s="34" t="s">
        <v>1073</v>
      </c>
      <c r="AS233" s="35">
        <v>44826</v>
      </c>
      <c r="AT233" s="36"/>
      <c r="AU233" s="37">
        <v>44819</v>
      </c>
      <c r="AV233" s="19"/>
      <c r="AW233" s="19"/>
      <c r="AX233" s="19"/>
      <c r="AY233" s="19"/>
      <c r="AZ233" s="19"/>
      <c r="BA233" s="19"/>
      <c r="BB233" s="19"/>
      <c r="BC233" s="19"/>
      <c r="BD233" s="19"/>
      <c r="BE233" s="19"/>
      <c r="BF233" s="19"/>
      <c r="BG233" s="20"/>
      <c r="BH233" s="20"/>
      <c r="BI233" s="20"/>
      <c r="BJ233" s="20"/>
      <c r="BK233" s="20"/>
      <c r="BL233" s="20"/>
      <c r="BM233" s="20"/>
      <c r="BN233" s="20"/>
      <c r="BO233" s="20"/>
      <c r="BP233" s="20"/>
      <c r="BQ233" s="20"/>
      <c r="BR233" s="20"/>
      <c r="BS233" s="20"/>
      <c r="BT233" s="20"/>
      <c r="BU233" s="20"/>
      <c r="BV233" s="20"/>
      <c r="IP233" s="20"/>
      <c r="IQ233" s="20"/>
      <c r="IR233" s="20"/>
      <c r="IS233" s="20"/>
      <c r="IT233" s="20"/>
      <c r="IU233" s="20"/>
      <c r="IV233" s="20"/>
    </row>
    <row r="234" spans="1:256" s="21" customFormat="1" ht="38.25">
      <c r="A234" s="186"/>
      <c r="B234" s="23">
        <v>224</v>
      </c>
      <c r="C234" s="23" t="s">
        <v>1074</v>
      </c>
      <c r="D234" s="187">
        <v>44805</v>
      </c>
      <c r="E234" s="26">
        <v>29232</v>
      </c>
      <c r="F234" s="26">
        <v>60197</v>
      </c>
      <c r="G234" s="26">
        <v>30366</v>
      </c>
      <c r="H234" s="27">
        <v>1</v>
      </c>
      <c r="I234" s="27"/>
      <c r="J234" s="27"/>
      <c r="K234" s="27">
        <v>31</v>
      </c>
      <c r="L234" s="27" t="s">
        <v>1075</v>
      </c>
      <c r="M234" s="27" t="s">
        <v>1076</v>
      </c>
      <c r="N234" s="27"/>
      <c r="O234" s="27" t="s">
        <v>1077</v>
      </c>
      <c r="P234" s="27" t="s">
        <v>120</v>
      </c>
      <c r="Q234" s="27"/>
      <c r="R234" s="27"/>
      <c r="S234" s="27"/>
      <c r="T234" s="27">
        <v>1</v>
      </c>
      <c r="U234" s="28"/>
      <c r="V234" s="27"/>
      <c r="W234" s="27"/>
      <c r="X234" s="27" t="s">
        <v>1078</v>
      </c>
      <c r="Y234" s="29"/>
      <c r="Z234" s="30"/>
      <c r="AA234" s="31"/>
      <c r="AB234" s="30"/>
      <c r="AC234" s="31"/>
      <c r="AD234" s="30"/>
      <c r="AE234" s="27"/>
      <c r="AF234" s="27"/>
      <c r="AG234" s="27"/>
      <c r="AH234" s="27">
        <f>823.23+85.87/2</f>
        <v>866.16499999999996</v>
      </c>
      <c r="AI234" s="28"/>
      <c r="AJ234" s="32"/>
      <c r="AK234" s="33">
        <v>163539</v>
      </c>
      <c r="AL234" s="33">
        <f>+(823.23+86.87)/AK234</f>
        <v>5.5650334171054002E-3</v>
      </c>
      <c r="AM234" s="33">
        <f>+AH234/AK234</f>
        <v>5.2963819027877137E-3</v>
      </c>
      <c r="AN234" s="33"/>
      <c r="AO234" s="33">
        <f>+AH234*19871</f>
        <v>17211564.715</v>
      </c>
      <c r="AP234" s="34">
        <v>272678.64</v>
      </c>
      <c r="AQ234" s="33" t="s">
        <v>71</v>
      </c>
      <c r="AR234" s="34" t="s">
        <v>1079</v>
      </c>
      <c r="AS234" s="35">
        <v>44827</v>
      </c>
      <c r="AT234" s="36"/>
      <c r="AU234" s="104">
        <v>44823</v>
      </c>
      <c r="AV234" s="19"/>
      <c r="AW234" s="19"/>
      <c r="AX234" s="19"/>
      <c r="AY234" s="19"/>
      <c r="AZ234" s="19"/>
      <c r="BA234" s="19"/>
      <c r="BB234" s="19"/>
      <c r="BC234" s="19"/>
      <c r="BD234" s="19"/>
      <c r="BE234" s="19"/>
      <c r="BF234" s="19"/>
      <c r="BG234" s="20"/>
      <c r="BH234" s="20"/>
      <c r="BI234" s="20"/>
      <c r="BJ234" s="20"/>
      <c r="BK234" s="20"/>
      <c r="BL234" s="20"/>
      <c r="BM234" s="20"/>
      <c r="BN234" s="20"/>
      <c r="BO234" s="20"/>
      <c r="BP234" s="20"/>
      <c r="BQ234" s="20"/>
      <c r="BR234" s="20"/>
      <c r="BS234" s="20"/>
      <c r="BT234" s="20"/>
      <c r="BU234" s="20"/>
      <c r="BV234" s="20"/>
      <c r="IP234" s="20"/>
      <c r="IQ234" s="20"/>
      <c r="IR234" s="20"/>
      <c r="IS234" s="20"/>
      <c r="IT234" s="20"/>
      <c r="IU234" s="20"/>
      <c r="IV234" s="20"/>
    </row>
    <row r="235" spans="1:256" s="21" customFormat="1" ht="63.75">
      <c r="A235" s="186"/>
      <c r="B235" s="24">
        <v>223</v>
      </c>
      <c r="C235" s="24">
        <v>544518</v>
      </c>
      <c r="D235" s="25">
        <v>44784</v>
      </c>
      <c r="E235" s="26">
        <v>49001</v>
      </c>
      <c r="F235" s="26">
        <v>1882</v>
      </c>
      <c r="G235" s="26">
        <v>153</v>
      </c>
      <c r="H235" s="27"/>
      <c r="I235" s="27"/>
      <c r="J235" s="27">
        <v>130</v>
      </c>
      <c r="K235" s="27">
        <v>5</v>
      </c>
      <c r="L235" s="27" t="s">
        <v>31</v>
      </c>
      <c r="M235" s="27" t="s">
        <v>1080</v>
      </c>
      <c r="N235" s="27" t="s">
        <v>1081</v>
      </c>
      <c r="O235" s="27"/>
      <c r="P235" s="27" t="s">
        <v>347</v>
      </c>
      <c r="Q235" s="27"/>
      <c r="R235" s="27"/>
      <c r="S235" s="27"/>
      <c r="T235" s="27">
        <f>1+2</f>
        <v>3</v>
      </c>
      <c r="U235" s="28"/>
      <c r="V235" s="27"/>
      <c r="W235" s="27"/>
      <c r="X235" s="27" t="s">
        <v>404</v>
      </c>
      <c r="Y235" s="29">
        <f>1+1</f>
        <v>2</v>
      </c>
      <c r="Z235" s="30"/>
      <c r="AA235" s="31">
        <f>+Y235+1+1</f>
        <v>4</v>
      </c>
      <c r="AB235" s="30"/>
      <c r="AC235" s="31">
        <f>+Y235*2</f>
        <v>4</v>
      </c>
      <c r="AD235" s="30"/>
      <c r="AE235" s="27"/>
      <c r="AF235" s="27"/>
      <c r="AG235" s="27">
        <f>+(143.34+18.77/2)-AH235</f>
        <v>152.72499999999999</v>
      </c>
      <c r="AH235" s="27"/>
      <c r="AI235" s="28"/>
      <c r="AJ235" s="32"/>
      <c r="AK235" s="33">
        <v>164.7</v>
      </c>
      <c r="AL235" s="33">
        <f>+(143.34+18.77)/AK235</f>
        <v>0.98427443837279915</v>
      </c>
      <c r="AM235" s="33">
        <f>+(AG235+AH235)/AK235</f>
        <v>0.92729204614450522</v>
      </c>
      <c r="AN235" s="33">
        <f>+(1+4+24)/(1+2+6)</f>
        <v>3.2222222222222223</v>
      </c>
      <c r="AO235" s="33">
        <f>+(2*33123+4*26491+19871*7+10*13249)/23*AG235</f>
        <v>2946908.5576086957</v>
      </c>
      <c r="AP235" s="34">
        <v>51195.33</v>
      </c>
      <c r="AQ235" s="33" t="s">
        <v>71</v>
      </c>
      <c r="AR235" s="34" t="s">
        <v>1082</v>
      </c>
      <c r="AS235" s="35">
        <v>44827</v>
      </c>
      <c r="AT235" s="36"/>
      <c r="AU235" s="134">
        <v>44785</v>
      </c>
      <c r="AV235" s="19"/>
      <c r="AW235" s="19"/>
      <c r="AX235" s="19"/>
      <c r="AY235" s="19"/>
      <c r="AZ235" s="19"/>
      <c r="BA235" s="19"/>
      <c r="BB235" s="19"/>
      <c r="BC235" s="19"/>
      <c r="BD235" s="19"/>
      <c r="BE235" s="19"/>
      <c r="BF235" s="19"/>
      <c r="BG235" s="20"/>
      <c r="BH235" s="20"/>
      <c r="BI235" s="20"/>
      <c r="BJ235" s="20"/>
      <c r="BK235" s="20"/>
      <c r="BL235" s="20"/>
      <c r="BM235" s="20"/>
      <c r="BN235" s="20"/>
      <c r="BO235" s="20"/>
      <c r="BP235" s="20"/>
      <c r="BQ235" s="20"/>
      <c r="BR235" s="20"/>
      <c r="BS235" s="20"/>
      <c r="BT235" s="20"/>
      <c r="BU235" s="20"/>
      <c r="BV235" s="20"/>
      <c r="IP235" s="20"/>
      <c r="IQ235" s="20"/>
      <c r="IR235" s="20"/>
      <c r="IS235" s="20"/>
      <c r="IT235" s="20"/>
      <c r="IU235" s="20"/>
      <c r="IV235" s="20"/>
    </row>
    <row r="236" spans="1:256" s="21" customFormat="1" ht="76.5">
      <c r="A236" s="22"/>
      <c r="B236" s="23">
        <v>215</v>
      </c>
      <c r="C236" s="23">
        <v>544948</v>
      </c>
      <c r="D236" s="25">
        <v>44803</v>
      </c>
      <c r="E236" s="26">
        <v>55683</v>
      </c>
      <c r="F236" s="26">
        <v>138498</v>
      </c>
      <c r="G236" s="26">
        <v>31607</v>
      </c>
      <c r="H236" s="27">
        <v>3</v>
      </c>
      <c r="I236" s="27"/>
      <c r="J236" s="27">
        <v>4</v>
      </c>
      <c r="K236" s="27">
        <v>5</v>
      </c>
      <c r="L236" s="27" t="s">
        <v>1083</v>
      </c>
      <c r="M236" s="27" t="s">
        <v>270</v>
      </c>
      <c r="N236" s="27" t="s">
        <v>1084</v>
      </c>
      <c r="O236" s="27"/>
      <c r="P236" s="27" t="s">
        <v>1085</v>
      </c>
      <c r="Q236" s="27" t="s">
        <v>1085</v>
      </c>
      <c r="R236" s="27" t="s">
        <v>1085</v>
      </c>
      <c r="S236" s="27" t="s">
        <v>100</v>
      </c>
      <c r="T236" s="27"/>
      <c r="U236" s="28">
        <v>1</v>
      </c>
      <c r="V236" s="27"/>
      <c r="W236" s="27"/>
      <c r="X236" s="27" t="s">
        <v>1086</v>
      </c>
      <c r="Y236" s="29"/>
      <c r="Z236" s="30">
        <v>3</v>
      </c>
      <c r="AA236" s="31"/>
      <c r="AB236" s="30">
        <f>+Z236+1+1</f>
        <v>5</v>
      </c>
      <c r="AC236" s="31"/>
      <c r="AD236" s="30">
        <f>+Z236*2</f>
        <v>6</v>
      </c>
      <c r="AE236" s="27"/>
      <c r="AF236" s="27"/>
      <c r="AG236" s="27"/>
      <c r="AH236" s="27"/>
      <c r="AI236" s="28">
        <f>128.76+71.2/2+115+8.3/2</f>
        <v>283.51</v>
      </c>
      <c r="AJ236" s="32"/>
      <c r="AK236" s="33">
        <v>800</v>
      </c>
      <c r="AL236" s="33">
        <f>+(128.76+71.2)/AK236</f>
        <v>0.24994999999999998</v>
      </c>
      <c r="AM236" s="33">
        <f>+AI236/AK236</f>
        <v>0.35438749999999997</v>
      </c>
      <c r="AN236" s="33"/>
      <c r="AO236" s="33">
        <f>+(13*33123+7*26491+3*19871)/23*AI236</f>
        <v>8328402.0865217382</v>
      </c>
      <c r="AP236" s="34">
        <v>30032.73</v>
      </c>
      <c r="AQ236" s="33" t="s">
        <v>71</v>
      </c>
      <c r="AR236" s="34" t="s">
        <v>1087</v>
      </c>
      <c r="AS236" s="35">
        <v>44826</v>
      </c>
      <c r="AT236" s="36"/>
      <c r="AU236" s="37">
        <v>44811</v>
      </c>
      <c r="AV236" s="19"/>
      <c r="AW236" s="19"/>
      <c r="AX236" s="19"/>
      <c r="AY236" s="19"/>
      <c r="AZ236" s="19"/>
      <c r="BA236" s="19"/>
      <c r="BB236" s="19"/>
      <c r="BC236" s="19"/>
      <c r="BD236" s="19"/>
      <c r="BE236" s="19"/>
      <c r="BF236" s="19"/>
      <c r="BG236" s="20"/>
      <c r="BH236" s="20"/>
      <c r="BI236" s="20"/>
      <c r="BJ236" s="20"/>
      <c r="BK236" s="20"/>
      <c r="BL236" s="20"/>
      <c r="BM236" s="20"/>
      <c r="BN236" s="20"/>
      <c r="BO236" s="20"/>
      <c r="BP236" s="20"/>
      <c r="BQ236" s="20"/>
      <c r="BR236" s="20"/>
      <c r="BS236" s="20"/>
      <c r="BT236" s="20"/>
      <c r="BU236" s="20"/>
      <c r="BV236" s="20"/>
      <c r="IP236" s="20"/>
      <c r="IQ236" s="20"/>
      <c r="IR236" s="20"/>
      <c r="IS236" s="20"/>
      <c r="IT236" s="20"/>
      <c r="IU236" s="20"/>
      <c r="IV236" s="20"/>
    </row>
    <row r="237" spans="1:256" s="21" customFormat="1" ht="25.5">
      <c r="A237" s="135"/>
      <c r="B237" s="188">
        <v>225</v>
      </c>
      <c r="C237" s="188" t="s">
        <v>1088</v>
      </c>
      <c r="D237" s="142">
        <v>44028</v>
      </c>
      <c r="E237" s="27">
        <v>10390</v>
      </c>
      <c r="F237" s="27">
        <v>34578</v>
      </c>
      <c r="G237" s="27">
        <v>3260</v>
      </c>
      <c r="H237" s="27"/>
      <c r="I237" s="27"/>
      <c r="J237" s="27">
        <v>732</v>
      </c>
      <c r="K237" s="27">
        <v>17</v>
      </c>
      <c r="L237" s="27" t="s">
        <v>60</v>
      </c>
      <c r="M237" s="27" t="s">
        <v>1089</v>
      </c>
      <c r="N237" s="27" t="s">
        <v>1090</v>
      </c>
      <c r="O237" s="27"/>
      <c r="P237" s="27" t="s">
        <v>498</v>
      </c>
      <c r="Q237" s="27"/>
      <c r="R237" s="27"/>
      <c r="S237" s="27"/>
      <c r="T237" s="27">
        <v>1</v>
      </c>
      <c r="U237" s="28"/>
      <c r="V237" s="27"/>
      <c r="W237" s="27"/>
      <c r="X237" s="27" t="s">
        <v>65</v>
      </c>
      <c r="Y237" s="27">
        <v>1</v>
      </c>
      <c r="Z237" s="28"/>
      <c r="AA237" s="98">
        <f>+Y237</f>
        <v>1</v>
      </c>
      <c r="AB237" s="28"/>
      <c r="AC237" s="98">
        <f>+Y237*2</f>
        <v>2</v>
      </c>
      <c r="AD237" s="28"/>
      <c r="AE237" s="27"/>
      <c r="AF237" s="27"/>
      <c r="AG237" s="27">
        <f>29.8+11.7</f>
        <v>41.5</v>
      </c>
      <c r="AH237" s="143"/>
      <c r="AI237" s="144"/>
      <c r="AJ237" s="144"/>
      <c r="AK237" s="143">
        <v>163.6</v>
      </c>
      <c r="AL237" s="143">
        <f>+AG237/AK237</f>
        <v>0.25366748166259168</v>
      </c>
      <c r="AM237" s="143">
        <f>+AG237/AK237</f>
        <v>0.25366748166259168</v>
      </c>
      <c r="AN237" s="143">
        <f>+(20+10)/(5+2)</f>
        <v>4.2857142857142856</v>
      </c>
      <c r="AO237" s="145">
        <f>+(26491+19871*2+17*13249)/20*AG237</f>
        <v>604791.94999999995</v>
      </c>
      <c r="AP237" s="108">
        <v>10915.53</v>
      </c>
      <c r="AQ237" s="36" t="s">
        <v>71</v>
      </c>
      <c r="AR237" s="36" t="s">
        <v>1091</v>
      </c>
      <c r="AS237" s="146">
        <v>44830</v>
      </c>
      <c r="AT237" s="143"/>
      <c r="AU237" s="189">
        <v>44823</v>
      </c>
      <c r="AV237" s="148"/>
      <c r="AW237" s="148"/>
      <c r="AX237" s="148"/>
      <c r="AY237" s="148"/>
      <c r="AZ237" s="148"/>
      <c r="BA237" s="148"/>
      <c r="BB237" s="148"/>
      <c r="BC237" s="148"/>
      <c r="BD237" s="148"/>
      <c r="BE237" s="20"/>
      <c r="BF237" s="20"/>
      <c r="BG237" s="20"/>
      <c r="BH237" s="20"/>
      <c r="BI237" s="20"/>
      <c r="BJ237" s="20"/>
      <c r="BK237" s="20"/>
      <c r="BL237" s="20"/>
      <c r="BM237" s="20"/>
      <c r="BN237" s="20"/>
      <c r="BO237" s="20"/>
      <c r="BP237" s="20"/>
      <c r="BQ237" s="20"/>
      <c r="BR237" s="20"/>
      <c r="BS237" s="20"/>
      <c r="BT237" s="20"/>
      <c r="IN237" s="20"/>
      <c r="IO237" s="20"/>
      <c r="IP237" s="20"/>
      <c r="IQ237" s="20"/>
      <c r="IR237" s="20"/>
      <c r="IS237" s="20"/>
      <c r="IT237" s="20"/>
      <c r="IU237" s="20"/>
      <c r="IV237" s="20"/>
    </row>
    <row r="238" spans="1:256" s="21" customFormat="1" ht="51">
      <c r="A238" s="135"/>
      <c r="B238" s="24">
        <v>227</v>
      </c>
      <c r="C238" s="24" t="s">
        <v>1092</v>
      </c>
      <c r="D238" s="25">
        <v>44783</v>
      </c>
      <c r="E238" s="26">
        <v>45705</v>
      </c>
      <c r="F238" s="26">
        <v>141531</v>
      </c>
      <c r="G238" s="26">
        <v>32010</v>
      </c>
      <c r="H238" s="27">
        <v>3</v>
      </c>
      <c r="I238" s="27"/>
      <c r="J238" s="27">
        <v>3</v>
      </c>
      <c r="K238" s="27">
        <v>14</v>
      </c>
      <c r="L238" s="27" t="s">
        <v>1083</v>
      </c>
      <c r="M238" s="27" t="s">
        <v>270</v>
      </c>
      <c r="N238" s="27" t="s">
        <v>1093</v>
      </c>
      <c r="O238" s="27"/>
      <c r="P238" s="27" t="s">
        <v>1094</v>
      </c>
      <c r="Q238" s="27"/>
      <c r="R238" s="27"/>
      <c r="S238" s="27"/>
      <c r="T238" s="27">
        <v>1</v>
      </c>
      <c r="U238" s="28"/>
      <c r="V238" s="27"/>
      <c r="W238" s="27"/>
      <c r="X238" s="27" t="s">
        <v>65</v>
      </c>
      <c r="Y238" s="29">
        <v>3</v>
      </c>
      <c r="Z238" s="30"/>
      <c r="AA238" s="31">
        <f>+Y238+1</f>
        <v>4</v>
      </c>
      <c r="AB238" s="30"/>
      <c r="AC238" s="31">
        <f>+Y238*2</f>
        <v>6</v>
      </c>
      <c r="AD238" s="30"/>
      <c r="AE238" s="27"/>
      <c r="AF238" s="27"/>
      <c r="AG238" s="27">
        <f>190.02+52.57/2</f>
        <v>216.30500000000001</v>
      </c>
      <c r="AH238" s="27"/>
      <c r="AI238" s="28"/>
      <c r="AJ238" s="32"/>
      <c r="AK238" s="33">
        <v>810.43</v>
      </c>
      <c r="AL238" s="33">
        <f>+(190.02+52.57)/AK238</f>
        <v>0.29933492096788128</v>
      </c>
      <c r="AM238" s="33">
        <f>+AG238/AK238</f>
        <v>0.26690152141455775</v>
      </c>
      <c r="AN238" s="33">
        <f>+(24+8+5)/(8+2+1)</f>
        <v>3.3636363636363638</v>
      </c>
      <c r="AO238" s="33">
        <f>+(5*33123+9*26491+4*19871+6*13249)/24*AG238</f>
        <v>5074262.9441666668</v>
      </c>
      <c r="AP238" s="34">
        <v>72361.86</v>
      </c>
      <c r="AQ238" s="33" t="s">
        <v>71</v>
      </c>
      <c r="AR238" s="34" t="s">
        <v>1095</v>
      </c>
      <c r="AS238" s="35">
        <v>44830</v>
      </c>
      <c r="AT238" s="36"/>
      <c r="AU238" s="134">
        <v>44823</v>
      </c>
      <c r="AV238" s="19"/>
      <c r="AW238" s="19"/>
      <c r="AX238" s="19"/>
      <c r="AY238" s="19"/>
      <c r="AZ238" s="19"/>
      <c r="BA238" s="19"/>
      <c r="BB238" s="19"/>
      <c r="BC238" s="19"/>
      <c r="BD238" s="19"/>
      <c r="BE238" s="19"/>
      <c r="BF238" s="19"/>
      <c r="BG238" s="20"/>
      <c r="BH238" s="20"/>
      <c r="BI238" s="20"/>
      <c r="BJ238" s="20"/>
      <c r="BK238" s="20"/>
      <c r="BL238" s="20"/>
      <c r="BM238" s="20"/>
      <c r="BN238" s="20"/>
      <c r="BO238" s="20"/>
      <c r="BP238" s="20"/>
      <c r="BQ238" s="20"/>
      <c r="BR238" s="20"/>
      <c r="BS238" s="20"/>
      <c r="BT238" s="20"/>
      <c r="BU238" s="20"/>
      <c r="BV238" s="20"/>
      <c r="IP238" s="20"/>
      <c r="IQ238" s="20"/>
      <c r="IR238" s="20"/>
      <c r="IS238" s="20"/>
      <c r="IT238" s="20"/>
      <c r="IU238" s="20"/>
      <c r="IV238" s="20"/>
    </row>
    <row r="239" spans="1:256" s="21" customFormat="1" ht="38.25">
      <c r="A239" s="135"/>
      <c r="B239" s="24">
        <v>216</v>
      </c>
      <c r="C239" s="24" t="s">
        <v>1096</v>
      </c>
      <c r="D239" s="25">
        <v>44768</v>
      </c>
      <c r="E239" s="26">
        <v>1563</v>
      </c>
      <c r="F239" s="26">
        <v>403</v>
      </c>
      <c r="G239" s="26">
        <v>5567</v>
      </c>
      <c r="H239" s="27"/>
      <c r="I239" s="27"/>
      <c r="J239" s="27">
        <v>182</v>
      </c>
      <c r="K239" s="27">
        <v>19</v>
      </c>
      <c r="L239" s="27" t="s">
        <v>60</v>
      </c>
      <c r="M239" s="27" t="s">
        <v>1097</v>
      </c>
      <c r="N239" s="27" t="s">
        <v>1098</v>
      </c>
      <c r="O239" s="27" t="s">
        <v>262</v>
      </c>
      <c r="P239" s="27" t="s">
        <v>149</v>
      </c>
      <c r="Q239" s="27" t="s">
        <v>149</v>
      </c>
      <c r="R239" s="27" t="s">
        <v>149</v>
      </c>
      <c r="S239" s="27" t="s">
        <v>262</v>
      </c>
      <c r="T239" s="27"/>
      <c r="U239" s="28">
        <f>8+1</f>
        <v>9</v>
      </c>
      <c r="V239" s="27"/>
      <c r="W239" s="27"/>
      <c r="X239" s="27" t="s">
        <v>77</v>
      </c>
      <c r="Y239" s="29"/>
      <c r="Z239" s="30">
        <v>8</v>
      </c>
      <c r="AA239" s="31"/>
      <c r="AB239" s="30">
        <f>+Z239+8</f>
        <v>16</v>
      </c>
      <c r="AC239" s="31"/>
      <c r="AD239" s="30">
        <f>+Z239*2</f>
        <v>16</v>
      </c>
      <c r="AE239" s="27"/>
      <c r="AF239" s="27"/>
      <c r="AG239" s="27"/>
      <c r="AH239" s="27"/>
      <c r="AI239" s="28">
        <f>+(105.35/2+56.98+28.8/2+8.25/2+36.43/2+7.7/2+96.98+100.1+8.25/2+7.7/2+96.98+100.1+8.25/2)-AJ239</f>
        <v>527.66420000000016</v>
      </c>
      <c r="AJ239" s="32">
        <f>7.88*3.66</f>
        <v>28.840800000000002</v>
      </c>
      <c r="AK239" s="33">
        <v>399.3</v>
      </c>
      <c r="AL239" s="33">
        <f>+(105.35+56.98+28.8+36.45+8.25)/AK239</f>
        <v>0.59060856498873027</v>
      </c>
      <c r="AM239" s="33">
        <f>+(AI239+AJ239-105.35-28.8-35.45+8.25/2)/AK239</f>
        <v>0.97928875532181336</v>
      </c>
      <c r="AN239" s="33"/>
      <c r="AO239" s="33">
        <f>+((2*33123+26491*4+12*19871+3*13249)/21*AI239)+(AJ239*26491)</f>
        <v>12081388.521266669</v>
      </c>
      <c r="AP239" s="34">
        <v>43598.080000000002</v>
      </c>
      <c r="AQ239" s="33" t="s">
        <v>1099</v>
      </c>
      <c r="AR239" s="34" t="s">
        <v>1100</v>
      </c>
      <c r="AS239" s="35">
        <v>44826</v>
      </c>
      <c r="AT239" s="36"/>
      <c r="AU239" s="134"/>
      <c r="AV239" s="19"/>
      <c r="AW239" s="19"/>
      <c r="AX239" s="19"/>
      <c r="AY239" s="19"/>
      <c r="AZ239" s="19"/>
      <c r="BA239" s="19"/>
      <c r="BB239" s="19"/>
      <c r="BC239" s="19"/>
      <c r="BD239" s="19"/>
      <c r="BE239" s="19"/>
      <c r="BF239" s="19"/>
      <c r="BG239" s="20"/>
      <c r="BH239" s="20"/>
      <c r="BI239" s="20"/>
      <c r="BJ239" s="20"/>
      <c r="BK239" s="20"/>
      <c r="BL239" s="20"/>
      <c r="BM239" s="20"/>
      <c r="BN239" s="20"/>
      <c r="BO239" s="20"/>
      <c r="BP239" s="20"/>
      <c r="BQ239" s="20"/>
      <c r="BR239" s="20"/>
      <c r="BS239" s="20"/>
      <c r="BT239" s="20"/>
      <c r="BU239" s="20"/>
      <c r="BV239" s="20"/>
      <c r="IP239" s="20"/>
      <c r="IQ239" s="20"/>
      <c r="IR239" s="20"/>
      <c r="IS239" s="20"/>
      <c r="IT239" s="20"/>
      <c r="IU239" s="20"/>
      <c r="IV239" s="20"/>
    </row>
    <row r="240" spans="1:256" s="21" customFormat="1" ht="38.25">
      <c r="A240" s="22"/>
      <c r="B240" s="23">
        <v>226</v>
      </c>
      <c r="C240" s="23">
        <v>545414</v>
      </c>
      <c r="D240" s="66">
        <v>44818</v>
      </c>
      <c r="E240" s="26"/>
      <c r="F240" s="26"/>
      <c r="G240" s="26">
        <v>2194</v>
      </c>
      <c r="H240" s="27"/>
      <c r="I240" s="27"/>
      <c r="J240" s="27">
        <v>428</v>
      </c>
      <c r="K240" s="27">
        <v>6</v>
      </c>
      <c r="L240" s="27"/>
      <c r="M240" s="27"/>
      <c r="N240" s="27" t="s">
        <v>1101</v>
      </c>
      <c r="O240" s="27"/>
      <c r="P240" s="27" t="s">
        <v>99</v>
      </c>
      <c r="Q240" s="27"/>
      <c r="R240" s="27"/>
      <c r="S240" s="27"/>
      <c r="T240" s="27">
        <v>5</v>
      </c>
      <c r="U240" s="28"/>
      <c r="V240" s="27"/>
      <c r="W240" s="27"/>
      <c r="X240" s="27" t="s">
        <v>77</v>
      </c>
      <c r="Y240" s="29">
        <f>1+1+2+1+3</f>
        <v>8</v>
      </c>
      <c r="Z240" s="30"/>
      <c r="AA240" s="31">
        <f>+Y240+T240</f>
        <v>13</v>
      </c>
      <c r="AB240" s="30"/>
      <c r="AC240" s="31">
        <f>+Y240*2</f>
        <v>16</v>
      </c>
      <c r="AD240" s="30"/>
      <c r="AE240" s="27">
        <f>113.6+12.6/2+39.9</f>
        <v>159.79999999999998</v>
      </c>
      <c r="AF240" s="27"/>
      <c r="AG240" s="27">
        <f>37+18.9/2+44.8</f>
        <v>91.25</v>
      </c>
      <c r="AH240" s="27"/>
      <c r="AI240" s="28"/>
      <c r="AJ240" s="32"/>
      <c r="AK240" s="33">
        <v>271.26</v>
      </c>
      <c r="AL240" s="33">
        <f>+(113.6+12.6+37+18.9)/AK240</f>
        <v>0.67131165671311654</v>
      </c>
      <c r="AM240" s="33">
        <f>+(AE240+AG240)/AK240</f>
        <v>0.92549583425495829</v>
      </c>
      <c r="AN240" s="33"/>
      <c r="AO240" s="33">
        <f>+(5*33123+26491*4+19871*6+7*13249)/22*AG240</f>
        <v>2005625.2272727271</v>
      </c>
      <c r="AP240" s="34">
        <v>30412.04</v>
      </c>
      <c r="AQ240" s="33" t="s">
        <v>71</v>
      </c>
      <c r="AR240" s="34" t="s">
        <v>1102</v>
      </c>
      <c r="AS240" s="35">
        <v>44830</v>
      </c>
      <c r="AT240" s="36"/>
      <c r="AU240" s="37">
        <v>44820</v>
      </c>
      <c r="AV240" s="19"/>
      <c r="AW240" s="19"/>
      <c r="AX240" s="19"/>
      <c r="AY240" s="19"/>
      <c r="AZ240" s="19"/>
      <c r="BA240" s="19"/>
      <c r="BB240" s="19"/>
      <c r="BC240" s="19"/>
      <c r="BD240" s="19"/>
      <c r="BE240" s="19"/>
      <c r="BF240" s="19"/>
      <c r="BG240" s="20"/>
      <c r="BH240" s="20"/>
      <c r="BI240" s="20"/>
      <c r="BJ240" s="20"/>
      <c r="BK240" s="20"/>
      <c r="BL240" s="20"/>
      <c r="BM240" s="20"/>
      <c r="BN240" s="20"/>
      <c r="BO240" s="20"/>
      <c r="BP240" s="20"/>
      <c r="BQ240" s="20"/>
      <c r="BR240" s="20"/>
      <c r="BS240" s="20"/>
      <c r="BT240" s="20"/>
      <c r="BU240" s="20"/>
      <c r="BV240" s="20"/>
      <c r="IP240" s="20"/>
      <c r="IQ240" s="20"/>
      <c r="IR240" s="20"/>
      <c r="IS240" s="20"/>
      <c r="IT240" s="20"/>
      <c r="IU240" s="20"/>
      <c r="IV240" s="20"/>
    </row>
    <row r="241" spans="1:256" s="21" customFormat="1" ht="63.75">
      <c r="A241" s="135"/>
      <c r="B241" s="24">
        <v>222</v>
      </c>
      <c r="C241" s="24">
        <v>544163</v>
      </c>
      <c r="D241" s="25">
        <v>44770</v>
      </c>
      <c r="E241" s="26">
        <v>59991</v>
      </c>
      <c r="F241" s="26">
        <v>168175</v>
      </c>
      <c r="G241" s="26">
        <v>3887</v>
      </c>
      <c r="H241" s="27"/>
      <c r="I241" s="27"/>
      <c r="J241" s="27">
        <v>18</v>
      </c>
      <c r="K241" s="27">
        <v>4</v>
      </c>
      <c r="L241" s="27"/>
      <c r="M241" s="27" t="s">
        <v>1103</v>
      </c>
      <c r="N241" s="27" t="s">
        <v>1104</v>
      </c>
      <c r="O241" s="27"/>
      <c r="P241" s="27" t="s">
        <v>34</v>
      </c>
      <c r="Q241" s="27"/>
      <c r="R241" s="27"/>
      <c r="S241" s="27"/>
      <c r="T241" s="27">
        <v>1</v>
      </c>
      <c r="U241" s="28"/>
      <c r="V241" s="27"/>
      <c r="W241" s="27"/>
      <c r="X241" s="27" t="s">
        <v>65</v>
      </c>
      <c r="Y241" s="29">
        <v>2</v>
      </c>
      <c r="Z241" s="30"/>
      <c r="AA241" s="31">
        <f>+Y241+1</f>
        <v>3</v>
      </c>
      <c r="AB241" s="30"/>
      <c r="AC241" s="31">
        <f>+Y241*2</f>
        <v>4</v>
      </c>
      <c r="AD241" s="30"/>
      <c r="AE241" s="27"/>
      <c r="AF241" s="27"/>
      <c r="AG241" s="27">
        <f>127.96+80.87/2</f>
        <v>168.39499999999998</v>
      </c>
      <c r="AH241" s="27"/>
      <c r="AI241" s="28"/>
      <c r="AJ241" s="32"/>
      <c r="AK241" s="33">
        <v>2516.13</v>
      </c>
      <c r="AL241" s="33">
        <f>+(127.96+80.87)/AK241</f>
        <v>8.299650653980517E-2</v>
      </c>
      <c r="AM241" s="33">
        <f>+AG241/AK241</f>
        <v>6.6926192207874782E-2</v>
      </c>
      <c r="AN241" s="33"/>
      <c r="AO241" s="33">
        <f>+(7*33123+26491*3+19871+8*19871+13249*2)/20*AG241+(17500)</f>
        <v>4367740.6522499993</v>
      </c>
      <c r="AP241" s="34">
        <v>61292.7</v>
      </c>
      <c r="AQ241" s="33" t="s">
        <v>36</v>
      </c>
      <c r="AR241" s="34" t="s">
        <v>1105</v>
      </c>
      <c r="AS241" s="35">
        <v>44827</v>
      </c>
      <c r="AT241" s="36"/>
      <c r="AU241" s="134">
        <v>44771</v>
      </c>
      <c r="AV241" s="19"/>
      <c r="AW241" s="19"/>
      <c r="AX241" s="19"/>
      <c r="AY241" s="19"/>
      <c r="AZ241" s="19"/>
      <c r="BA241" s="19"/>
      <c r="BB241" s="19"/>
      <c r="BC241" s="19"/>
      <c r="BD241" s="19"/>
      <c r="BE241" s="19"/>
      <c r="BF241" s="19"/>
      <c r="BG241" s="20"/>
      <c r="BH241" s="20"/>
      <c r="BI241" s="20"/>
      <c r="BJ241" s="20"/>
      <c r="BK241" s="20"/>
      <c r="BL241" s="20"/>
      <c r="BM241" s="20"/>
      <c r="BN241" s="20"/>
      <c r="BO241" s="20"/>
      <c r="BP241" s="20"/>
      <c r="BQ241" s="20"/>
      <c r="BR241" s="20"/>
      <c r="BS241" s="20"/>
      <c r="BT241" s="20"/>
      <c r="BU241" s="20"/>
      <c r="BV241" s="20"/>
      <c r="IP241" s="20"/>
      <c r="IQ241" s="20"/>
      <c r="IR241" s="20"/>
      <c r="IS241" s="20"/>
      <c r="IT241" s="20"/>
      <c r="IU241" s="20"/>
      <c r="IV241" s="20"/>
    </row>
    <row r="242" spans="1:256" s="21" customFormat="1" ht="25.5" customHeight="1">
      <c r="A242" s="135"/>
      <c r="B242" s="234">
        <v>221</v>
      </c>
      <c r="C242" s="234">
        <v>544262</v>
      </c>
      <c r="D242" s="261">
        <v>44774</v>
      </c>
      <c r="E242" s="26">
        <v>32669</v>
      </c>
      <c r="F242" s="26">
        <v>131438</v>
      </c>
      <c r="G242" s="26">
        <v>6908</v>
      </c>
      <c r="H242" s="27"/>
      <c r="I242" s="27"/>
      <c r="J242" s="72">
        <v>279</v>
      </c>
      <c r="K242" s="27">
        <v>18</v>
      </c>
      <c r="L242" s="72" t="s">
        <v>46</v>
      </c>
      <c r="M242" s="72" t="s">
        <v>1106</v>
      </c>
      <c r="N242" s="72" t="s">
        <v>1107</v>
      </c>
      <c r="O242" s="27"/>
      <c r="P242" s="72" t="s">
        <v>34</v>
      </c>
      <c r="Q242" s="27"/>
      <c r="R242" s="27"/>
      <c r="S242" s="27"/>
      <c r="T242" s="27">
        <v>1</v>
      </c>
      <c r="U242" s="28"/>
      <c r="V242" s="27"/>
      <c r="W242" s="27"/>
      <c r="X242" s="27" t="s">
        <v>1108</v>
      </c>
      <c r="Y242" s="29"/>
      <c r="Z242" s="30"/>
      <c r="AA242" s="31"/>
      <c r="AB242" s="30"/>
      <c r="AC242" s="31"/>
      <c r="AD242" s="30"/>
      <c r="AE242" s="27"/>
      <c r="AF242" s="27"/>
      <c r="AG242" s="27"/>
      <c r="AH242" s="27">
        <v>266.8</v>
      </c>
      <c r="AI242" s="28"/>
      <c r="AJ242" s="32"/>
      <c r="AK242" s="33">
        <v>363.6</v>
      </c>
      <c r="AL242" s="33">
        <f>+AH242/AK242</f>
        <v>0.73377337733773373</v>
      </c>
      <c r="AM242" s="33">
        <f>+AL242</f>
        <v>0.73377337733773373</v>
      </c>
      <c r="AN242" s="33">
        <f>+(8+18+6)/(4+6+1)</f>
        <v>2.9090909090909092</v>
      </c>
      <c r="AO242" s="33">
        <f>+AH242*26491</f>
        <v>7067798.8000000007</v>
      </c>
      <c r="AP242" s="72">
        <v>39575.160000000003</v>
      </c>
      <c r="AQ242" s="78" t="s">
        <v>36</v>
      </c>
      <c r="AR242" s="72" t="s">
        <v>1109</v>
      </c>
      <c r="AS242" s="80">
        <v>44827</v>
      </c>
      <c r="AT242" s="36"/>
      <c r="AU242" s="134">
        <v>44777</v>
      </c>
      <c r="AV242" s="19"/>
      <c r="AW242" s="19"/>
      <c r="AX242" s="19"/>
      <c r="AY242" s="19"/>
      <c r="AZ242" s="19"/>
      <c r="BA242" s="19"/>
      <c r="BB242" s="19"/>
      <c r="BC242" s="19"/>
      <c r="BD242" s="19"/>
      <c r="BE242" s="19"/>
      <c r="BF242" s="19"/>
      <c r="BG242" s="20"/>
      <c r="BH242" s="20"/>
      <c r="BI242" s="20"/>
      <c r="BJ242" s="20"/>
      <c r="BK242" s="20"/>
      <c r="BL242" s="20"/>
      <c r="BM242" s="20"/>
      <c r="BN242" s="20"/>
      <c r="BO242" s="20"/>
      <c r="BP242" s="20"/>
      <c r="BQ242" s="20"/>
      <c r="BR242" s="20"/>
      <c r="BS242" s="20"/>
      <c r="BT242" s="20"/>
      <c r="BU242" s="20"/>
      <c r="BV242" s="20"/>
      <c r="IP242" s="20"/>
      <c r="IQ242" s="20"/>
      <c r="IR242" s="20"/>
      <c r="IS242" s="20"/>
      <c r="IT242" s="20"/>
      <c r="IU242" s="20"/>
      <c r="IV242" s="20"/>
    </row>
    <row r="243" spans="1:256" s="21" customFormat="1" ht="12.75">
      <c r="A243" s="135"/>
      <c r="B243" s="205"/>
      <c r="C243" s="205"/>
      <c r="D243" s="264"/>
      <c r="E243" s="26">
        <v>46212</v>
      </c>
      <c r="F243" s="26">
        <v>149204</v>
      </c>
      <c r="G243" s="26">
        <v>9117</v>
      </c>
      <c r="H243" s="27"/>
      <c r="I243" s="27"/>
      <c r="J243" s="102"/>
      <c r="K243" s="27">
        <v>21</v>
      </c>
      <c r="L243" s="102"/>
      <c r="M243" s="102"/>
      <c r="N243" s="102"/>
      <c r="O243" s="27"/>
      <c r="P243" s="102"/>
      <c r="Q243" s="27"/>
      <c r="R243" s="27"/>
      <c r="S243" s="27"/>
      <c r="T243" s="27"/>
      <c r="U243" s="28"/>
      <c r="V243" s="27"/>
      <c r="W243" s="27"/>
      <c r="X243" s="27"/>
      <c r="Y243" s="29"/>
      <c r="Z243" s="30"/>
      <c r="AA243" s="31"/>
      <c r="AB243" s="30"/>
      <c r="AC243" s="31"/>
      <c r="AD243" s="30"/>
      <c r="AE243" s="27"/>
      <c r="AF243" s="27"/>
      <c r="AG243" s="27"/>
      <c r="AH243" s="27"/>
      <c r="AI243" s="28"/>
      <c r="AJ243" s="32"/>
      <c r="AK243" s="33">
        <v>113.6</v>
      </c>
      <c r="AL243" s="33"/>
      <c r="AM243" s="33"/>
      <c r="AN243" s="33"/>
      <c r="AO243" s="33"/>
      <c r="AP243" s="102"/>
      <c r="AQ243" s="236"/>
      <c r="AR243" s="102"/>
      <c r="AS243" s="237"/>
      <c r="AT243" s="36"/>
      <c r="AU243" s="134"/>
      <c r="AV243" s="19"/>
      <c r="AW243" s="19"/>
      <c r="AX243" s="19"/>
      <c r="AY243" s="19"/>
      <c r="AZ243" s="19"/>
      <c r="BA243" s="19"/>
      <c r="BB243" s="19"/>
      <c r="BC243" s="19"/>
      <c r="BD243" s="19"/>
      <c r="BE243" s="19"/>
      <c r="BF243" s="19"/>
      <c r="BG243" s="20"/>
      <c r="BH243" s="20"/>
      <c r="BI243" s="20"/>
      <c r="BJ243" s="20"/>
      <c r="BK243" s="20"/>
      <c r="BL243" s="20"/>
      <c r="BM243" s="20"/>
      <c r="BN243" s="20"/>
      <c r="BO243" s="20"/>
      <c r="BP243" s="20"/>
      <c r="BQ243" s="20"/>
      <c r="BR243" s="20"/>
      <c r="BS243" s="20"/>
      <c r="BT243" s="20"/>
      <c r="BU243" s="20"/>
      <c r="BV243" s="20"/>
      <c r="IP243" s="20"/>
      <c r="IQ243" s="20"/>
      <c r="IR243" s="20"/>
      <c r="IS243" s="20"/>
      <c r="IT243" s="20"/>
      <c r="IU243" s="20"/>
      <c r="IV243" s="20"/>
    </row>
    <row r="244" spans="1:256" s="21" customFormat="1" ht="63.75">
      <c r="A244" s="135"/>
      <c r="B244" s="24">
        <v>218</v>
      </c>
      <c r="C244" s="24">
        <v>544742</v>
      </c>
      <c r="D244" s="25">
        <v>44792</v>
      </c>
      <c r="E244" s="26">
        <v>60856</v>
      </c>
      <c r="F244" s="26">
        <v>168827</v>
      </c>
      <c r="G244" s="26">
        <v>33990</v>
      </c>
      <c r="H244" s="27">
        <v>327</v>
      </c>
      <c r="I244" s="27"/>
      <c r="J244" s="27">
        <v>6</v>
      </c>
      <c r="K244" s="27">
        <v>11</v>
      </c>
      <c r="L244" s="27" t="s">
        <v>74</v>
      </c>
      <c r="M244" s="27" t="s">
        <v>1110</v>
      </c>
      <c r="N244" s="27" t="s">
        <v>1111</v>
      </c>
      <c r="O244" s="27"/>
      <c r="P244" s="27" t="s">
        <v>347</v>
      </c>
      <c r="Q244" s="27" t="s">
        <v>347</v>
      </c>
      <c r="R244" s="27" t="s">
        <v>347</v>
      </c>
      <c r="S244" s="27" t="s">
        <v>100</v>
      </c>
      <c r="T244" s="27">
        <v>1</v>
      </c>
      <c r="U244" s="28"/>
      <c r="V244" s="27"/>
      <c r="W244" s="27"/>
      <c r="X244" s="27" t="s">
        <v>65</v>
      </c>
      <c r="Y244" s="29"/>
      <c r="Z244" s="30">
        <v>2</v>
      </c>
      <c r="AA244" s="31"/>
      <c r="AB244" s="30">
        <f>+Z244+1</f>
        <v>3</v>
      </c>
      <c r="AC244" s="31"/>
      <c r="AD244" s="30">
        <f>+Z244*2</f>
        <v>4</v>
      </c>
      <c r="AE244" s="27"/>
      <c r="AF244" s="27"/>
      <c r="AG244" s="27"/>
      <c r="AH244" s="27"/>
      <c r="AI244" s="28">
        <f>65.64+22.12/2</f>
        <v>76.7</v>
      </c>
      <c r="AJ244" s="32"/>
      <c r="AK244" s="33">
        <v>310.3</v>
      </c>
      <c r="AL244" s="33">
        <f>+(65.64+22.12)/AK244</f>
        <v>0.28282307444408639</v>
      </c>
      <c r="AM244" s="33">
        <f>+AI244/AK244</f>
        <v>0.24718014824363518</v>
      </c>
      <c r="AN244" s="33"/>
      <c r="AO244" s="33">
        <f>+(33123+4*26491+5*19871+9*13249)/19*AI244</f>
        <v>1443909.7947368422</v>
      </c>
      <c r="AP244" s="34">
        <v>22939.279999999999</v>
      </c>
      <c r="AQ244" s="33" t="s">
        <v>71</v>
      </c>
      <c r="AR244" s="34" t="s">
        <v>1112</v>
      </c>
      <c r="AS244" s="35">
        <v>44826</v>
      </c>
      <c r="AT244" s="36"/>
      <c r="AU244" s="134" t="s">
        <v>1113</v>
      </c>
      <c r="AV244" s="19"/>
      <c r="AW244" s="19"/>
      <c r="AX244" s="19"/>
      <c r="AY244" s="19"/>
      <c r="AZ244" s="19"/>
      <c r="BA244" s="19"/>
      <c r="BB244" s="19"/>
      <c r="BC244" s="19"/>
      <c r="BD244" s="19"/>
      <c r="BE244" s="19"/>
      <c r="BF244" s="19"/>
      <c r="BG244" s="20"/>
      <c r="BH244" s="20"/>
      <c r="BI244" s="20"/>
      <c r="BJ244" s="20"/>
      <c r="BK244" s="20"/>
      <c r="BL244" s="20"/>
      <c r="BM244" s="20"/>
      <c r="BN244" s="20"/>
      <c r="BO244" s="20"/>
      <c r="BP244" s="20"/>
      <c r="BQ244" s="20"/>
      <c r="BR244" s="20"/>
      <c r="BS244" s="20"/>
      <c r="BT244" s="20"/>
      <c r="BU244" s="20"/>
      <c r="BV244" s="20"/>
      <c r="IP244" s="20"/>
      <c r="IQ244" s="20"/>
      <c r="IR244" s="20"/>
      <c r="IS244" s="20"/>
      <c r="IT244" s="20"/>
      <c r="IU244" s="20"/>
      <c r="IV244" s="20"/>
    </row>
    <row r="245" spans="1:256" s="21" customFormat="1" ht="63.75">
      <c r="A245" s="135"/>
      <c r="B245" s="24">
        <v>219</v>
      </c>
      <c r="C245" s="24">
        <v>545379</v>
      </c>
      <c r="D245" s="25">
        <v>44817</v>
      </c>
      <c r="E245" s="26">
        <v>-1</v>
      </c>
      <c r="F245" s="26">
        <v>161895</v>
      </c>
      <c r="G245" s="26">
        <v>33069</v>
      </c>
      <c r="H245" s="27">
        <v>341</v>
      </c>
      <c r="I245" s="27"/>
      <c r="J245" s="27">
        <v>2</v>
      </c>
      <c r="K245" s="27">
        <v>1</v>
      </c>
      <c r="L245" s="27" t="s">
        <v>1114</v>
      </c>
      <c r="M245" s="27" t="s">
        <v>1115</v>
      </c>
      <c r="N245" s="27" t="s">
        <v>1116</v>
      </c>
      <c r="O245" s="27"/>
      <c r="P245" s="27" t="s">
        <v>70</v>
      </c>
      <c r="Q245" s="27" t="s">
        <v>70</v>
      </c>
      <c r="R245" s="27" t="s">
        <v>70</v>
      </c>
      <c r="S245" s="27" t="s">
        <v>100</v>
      </c>
      <c r="T245" s="27"/>
      <c r="U245" s="28">
        <v>1</v>
      </c>
      <c r="V245" s="27"/>
      <c r="W245" s="27"/>
      <c r="X245" s="27" t="s">
        <v>65</v>
      </c>
      <c r="Y245" s="29"/>
      <c r="Z245" s="30">
        <v>3</v>
      </c>
      <c r="AA245" s="31"/>
      <c r="AB245" s="30">
        <f>+Z245+1</f>
        <v>4</v>
      </c>
      <c r="AC245" s="31"/>
      <c r="AD245" s="30">
        <f>+Z245*2</f>
        <v>6</v>
      </c>
      <c r="AE245" s="27"/>
      <c r="AF245" s="27"/>
      <c r="AG245" s="27"/>
      <c r="AH245" s="27"/>
      <c r="AI245" s="28">
        <f>119.6+37.3/2</f>
        <v>138.25</v>
      </c>
      <c r="AJ245" s="32"/>
      <c r="AK245" s="33">
        <v>1172.22</v>
      </c>
      <c r="AL245" s="33">
        <f>+(196+37.3)/AK245</f>
        <v>0.19902407397928717</v>
      </c>
      <c r="AM245" s="33">
        <f>+AI245/AK245</f>
        <v>0.11793861220589992</v>
      </c>
      <c r="AN245" s="33"/>
      <c r="AO245" s="33">
        <f>+(10*33123+26491*7+19871*4+13249)/22*AI245</f>
        <v>3829525</v>
      </c>
      <c r="AP245" s="34">
        <v>13471.43</v>
      </c>
      <c r="AQ245" s="33" t="s">
        <v>71</v>
      </c>
      <c r="AR245" s="34" t="s">
        <v>1117</v>
      </c>
      <c r="AS245" s="35">
        <v>44826</v>
      </c>
      <c r="AT245" s="36"/>
      <c r="AU245" s="134" t="s">
        <v>1118</v>
      </c>
      <c r="AV245" s="19"/>
      <c r="AW245" s="19"/>
      <c r="AX245" s="19"/>
      <c r="AY245" s="19"/>
      <c r="AZ245" s="19"/>
      <c r="BA245" s="19"/>
      <c r="BB245" s="19"/>
      <c r="BC245" s="19"/>
      <c r="BD245" s="19"/>
      <c r="BE245" s="19"/>
      <c r="BF245" s="19"/>
      <c r="BG245" s="20"/>
      <c r="BH245" s="20"/>
      <c r="BI245" s="20"/>
      <c r="BJ245" s="20"/>
      <c r="BK245" s="20"/>
      <c r="BL245" s="20"/>
      <c r="BM245" s="20"/>
      <c r="BN245" s="20"/>
      <c r="BO245" s="20"/>
      <c r="BP245" s="20"/>
      <c r="BQ245" s="20"/>
      <c r="BR245" s="20"/>
      <c r="BS245" s="20"/>
      <c r="BT245" s="20"/>
      <c r="BU245" s="20"/>
      <c r="BV245" s="20"/>
      <c r="IP245" s="20"/>
      <c r="IQ245" s="20"/>
      <c r="IR245" s="20"/>
      <c r="IS245" s="20"/>
      <c r="IT245" s="20"/>
      <c r="IU245" s="20"/>
      <c r="IV245" s="20"/>
    </row>
    <row r="246" spans="1:256" s="21" customFormat="1" ht="51">
      <c r="A246" s="135"/>
      <c r="B246" s="24">
        <v>220</v>
      </c>
      <c r="C246" s="24" t="s">
        <v>1070</v>
      </c>
      <c r="D246" s="25">
        <v>44442</v>
      </c>
      <c r="E246" s="26"/>
      <c r="F246" s="26">
        <v>483</v>
      </c>
      <c r="G246" s="26">
        <v>578</v>
      </c>
      <c r="H246" s="27"/>
      <c r="I246" s="27"/>
      <c r="J246" s="27">
        <v>173</v>
      </c>
      <c r="K246" s="27">
        <v>8</v>
      </c>
      <c r="L246" s="27" t="s">
        <v>31</v>
      </c>
      <c r="M246" s="27" t="s">
        <v>1071</v>
      </c>
      <c r="N246" s="27" t="s">
        <v>1119</v>
      </c>
      <c r="O246" s="27"/>
      <c r="P246" s="27" t="s">
        <v>498</v>
      </c>
      <c r="Q246" s="27"/>
      <c r="R246" s="27"/>
      <c r="S246" s="27"/>
      <c r="T246" s="27"/>
      <c r="U246" s="28"/>
      <c r="V246" s="27"/>
      <c r="W246" s="27"/>
      <c r="X246" s="27" t="s">
        <v>1120</v>
      </c>
      <c r="Y246" s="29"/>
      <c r="Z246" s="30"/>
      <c r="AA246" s="31"/>
      <c r="AB246" s="30"/>
      <c r="AC246" s="31"/>
      <c r="AD246" s="30"/>
      <c r="AE246" s="27"/>
      <c r="AF246" s="27"/>
      <c r="AG246" s="27">
        <f>1075.86+391.7/2</f>
        <v>1271.7099999999998</v>
      </c>
      <c r="AH246" s="27"/>
      <c r="AI246" s="28"/>
      <c r="AJ246" s="32"/>
      <c r="AK246" s="33">
        <v>624.85</v>
      </c>
      <c r="AL246" s="33"/>
      <c r="AM246" s="33">
        <f>+AG246/AK246</f>
        <v>2.0352244538689281</v>
      </c>
      <c r="AN246" s="33"/>
      <c r="AO246" s="33"/>
      <c r="AP246" s="34">
        <v>18793.88</v>
      </c>
      <c r="AQ246" s="33" t="s">
        <v>71</v>
      </c>
      <c r="AR246" s="34" t="s">
        <v>1121</v>
      </c>
      <c r="AS246" s="35">
        <v>44826</v>
      </c>
      <c r="AT246" s="36"/>
      <c r="AU246" s="34"/>
      <c r="AV246" s="19"/>
      <c r="AW246" s="19"/>
      <c r="AX246" s="19"/>
      <c r="AY246" s="19"/>
      <c r="AZ246" s="19"/>
      <c r="BA246" s="19"/>
      <c r="BB246" s="19"/>
      <c r="BC246" s="19"/>
      <c r="BD246" s="19"/>
      <c r="BE246" s="19"/>
      <c r="BF246" s="19"/>
      <c r="BG246" s="20"/>
      <c r="BH246" s="20"/>
      <c r="BI246" s="20"/>
      <c r="BJ246" s="20"/>
      <c r="BK246" s="20"/>
      <c r="BL246" s="20"/>
      <c r="BM246" s="20"/>
      <c r="BN246" s="20"/>
      <c r="BO246" s="20"/>
      <c r="BP246" s="20"/>
      <c r="BQ246" s="20"/>
      <c r="BR246" s="20"/>
      <c r="BS246" s="20"/>
      <c r="BT246" s="20"/>
      <c r="BU246" s="20"/>
      <c r="BV246" s="20"/>
      <c r="IP246" s="20"/>
      <c r="IQ246" s="20"/>
      <c r="IR246" s="20"/>
      <c r="IS246" s="20"/>
      <c r="IT246" s="20"/>
      <c r="IU246" s="20"/>
      <c r="IV246" s="20"/>
    </row>
    <row r="247" spans="1:256" s="21" customFormat="1" ht="38.25">
      <c r="A247" s="135"/>
      <c r="B247" s="24">
        <v>228</v>
      </c>
      <c r="C247" s="24" t="s">
        <v>1122</v>
      </c>
      <c r="D247" s="25">
        <v>44804</v>
      </c>
      <c r="E247" s="26">
        <v>43889</v>
      </c>
      <c r="F247" s="26">
        <v>141557</v>
      </c>
      <c r="G247" s="26">
        <v>8558</v>
      </c>
      <c r="H247" s="27"/>
      <c r="I247" s="27"/>
      <c r="J247" s="27">
        <v>327</v>
      </c>
      <c r="K247" s="27">
        <v>3</v>
      </c>
      <c r="L247" s="27" t="s">
        <v>74</v>
      </c>
      <c r="M247" s="27" t="s">
        <v>1123</v>
      </c>
      <c r="N247" s="27" t="s">
        <v>1124</v>
      </c>
      <c r="O247" s="27"/>
      <c r="P247" s="27" t="s">
        <v>132</v>
      </c>
      <c r="Q247" s="27"/>
      <c r="R247" s="27"/>
      <c r="S247" s="27"/>
      <c r="T247" s="27">
        <v>1</v>
      </c>
      <c r="U247" s="28"/>
      <c r="V247" s="27"/>
      <c r="W247" s="27"/>
      <c r="X247" s="27" t="s">
        <v>1125</v>
      </c>
      <c r="Y247" s="29"/>
      <c r="Z247" s="30"/>
      <c r="AA247" s="31"/>
      <c r="AB247" s="30"/>
      <c r="AC247" s="31"/>
      <c r="AD247" s="30"/>
      <c r="AE247" s="27"/>
      <c r="AF247" s="27"/>
      <c r="AG247" s="27"/>
      <c r="AH247" s="27">
        <v>216</v>
      </c>
      <c r="AI247" s="28"/>
      <c r="AJ247" s="32"/>
      <c r="AK247" s="33">
        <v>302.39999999999998</v>
      </c>
      <c r="AL247" s="33">
        <f>+AH247/AK247</f>
        <v>0.7142857142857143</v>
      </c>
      <c r="AM247" s="33">
        <f>+AH247/AK247</f>
        <v>0.7142857142857143</v>
      </c>
      <c r="AN247" s="33"/>
      <c r="AO247" s="33">
        <f>+AH247*19871</f>
        <v>4292136</v>
      </c>
      <c r="AP247" s="34">
        <v>65660.740000000005</v>
      </c>
      <c r="AQ247" s="33" t="s">
        <v>71</v>
      </c>
      <c r="AR247" s="34" t="s">
        <v>1126</v>
      </c>
      <c r="AS247" s="35">
        <v>44832</v>
      </c>
      <c r="AT247" s="36"/>
      <c r="AU247" s="134">
        <v>44824</v>
      </c>
      <c r="AV247" s="19"/>
      <c r="AW247" s="19"/>
      <c r="AX247" s="19"/>
      <c r="AY247" s="19"/>
      <c r="AZ247" s="19"/>
      <c r="BA247" s="19"/>
      <c r="BB247" s="19"/>
      <c r="BC247" s="19"/>
      <c r="BD247" s="19"/>
      <c r="BE247" s="19"/>
      <c r="BF247" s="19"/>
      <c r="BG247" s="20"/>
      <c r="BH247" s="20"/>
      <c r="BI247" s="20"/>
      <c r="BJ247" s="20"/>
      <c r="BK247" s="20"/>
      <c r="BL247" s="20"/>
      <c r="BM247" s="20"/>
      <c r="BN247" s="20"/>
      <c r="BO247" s="20"/>
      <c r="BP247" s="20"/>
      <c r="BQ247" s="20"/>
      <c r="BR247" s="20"/>
      <c r="BS247" s="20"/>
      <c r="BT247" s="20"/>
      <c r="BU247" s="20"/>
      <c r="BV247" s="20"/>
      <c r="IP247" s="20"/>
      <c r="IQ247" s="20"/>
      <c r="IR247" s="20"/>
      <c r="IS247" s="20"/>
      <c r="IT247" s="20"/>
      <c r="IU247" s="20"/>
      <c r="IV247" s="20"/>
    </row>
    <row r="248" spans="1:256" s="21" customFormat="1" ht="76.5">
      <c r="A248" s="135"/>
      <c r="B248" s="24">
        <v>229</v>
      </c>
      <c r="C248" s="24" t="s">
        <v>1127</v>
      </c>
      <c r="D248" s="25">
        <v>44783</v>
      </c>
      <c r="E248" s="26">
        <v>60605</v>
      </c>
      <c r="F248" s="26">
        <v>168634</v>
      </c>
      <c r="G248" s="26">
        <v>10512</v>
      </c>
      <c r="H248" s="27"/>
      <c r="I248" s="27"/>
      <c r="J248" s="27">
        <v>341</v>
      </c>
      <c r="K248" s="27">
        <v>11</v>
      </c>
      <c r="L248" s="27" t="s">
        <v>1128</v>
      </c>
      <c r="M248" s="27" t="s">
        <v>1129</v>
      </c>
      <c r="N248" s="27" t="s">
        <v>1130</v>
      </c>
      <c r="O248" s="27"/>
      <c r="P248" s="27" t="s">
        <v>1131</v>
      </c>
      <c r="Q248" s="27" t="s">
        <v>1131</v>
      </c>
      <c r="R248" s="27" t="s">
        <v>1131</v>
      </c>
      <c r="S248" s="27" t="s">
        <v>954</v>
      </c>
      <c r="T248" s="27"/>
      <c r="U248" s="28">
        <v>1</v>
      </c>
      <c r="V248" s="27"/>
      <c r="W248" s="27"/>
      <c r="X248" s="27" t="s">
        <v>65</v>
      </c>
      <c r="Y248" s="29"/>
      <c r="Z248" s="30">
        <v>1</v>
      </c>
      <c r="AA248" s="31"/>
      <c r="AB248" s="30">
        <f>1+Z248</f>
        <v>2</v>
      </c>
      <c r="AC248" s="31"/>
      <c r="AD248" s="30">
        <f>+Z248*2</f>
        <v>2</v>
      </c>
      <c r="AE248" s="27"/>
      <c r="AF248" s="27" t="s">
        <v>1132</v>
      </c>
      <c r="AG248" s="27"/>
      <c r="AH248" s="27"/>
      <c r="AI248" s="28">
        <f>64.85+4.88/2</f>
        <v>67.289999999999992</v>
      </c>
      <c r="AJ248" s="32"/>
      <c r="AK248" s="33">
        <v>403.2</v>
      </c>
      <c r="AL248" s="33">
        <f>+(64.85+4.88)/AK248</f>
        <v>0.17294146825396822</v>
      </c>
      <c r="AM248" s="33">
        <f>+AI248/AK248</f>
        <v>0.16688988095238094</v>
      </c>
      <c r="AN248" s="33">
        <f>+(4+24)/(2+8)</f>
        <v>2.8</v>
      </c>
      <c r="AO248" s="33">
        <f>+(9*33123+26491*8+19871*2+1*13249)/20*AI248</f>
        <v>1894300.9769999997</v>
      </c>
      <c r="AP248" s="34">
        <v>12467.44</v>
      </c>
      <c r="AQ248" s="33" t="s">
        <v>71</v>
      </c>
      <c r="AR248" s="34" t="s">
        <v>1133</v>
      </c>
      <c r="AS248" s="35">
        <v>44832</v>
      </c>
      <c r="AT248" s="36"/>
      <c r="AU248" s="134">
        <v>44824</v>
      </c>
      <c r="AV248" s="19"/>
      <c r="AW248" s="19"/>
      <c r="AX248" s="19"/>
      <c r="AY248" s="19"/>
      <c r="AZ248" s="19"/>
      <c r="BA248" s="19"/>
      <c r="BB248" s="19"/>
      <c r="BC248" s="19"/>
      <c r="BD248" s="19"/>
      <c r="BE248" s="19"/>
      <c r="BF248" s="19"/>
      <c r="BG248" s="20"/>
      <c r="BH248" s="20"/>
      <c r="BI248" s="20"/>
      <c r="BJ248" s="20"/>
      <c r="BK248" s="20"/>
      <c r="BL248" s="20"/>
      <c r="BM248" s="20"/>
      <c r="BN248" s="20"/>
      <c r="BO248" s="20"/>
      <c r="BP248" s="20"/>
      <c r="BQ248" s="20"/>
      <c r="BR248" s="20"/>
      <c r="BS248" s="20"/>
      <c r="BT248" s="20"/>
      <c r="BU248" s="20"/>
      <c r="BV248" s="20"/>
      <c r="IP248" s="20"/>
      <c r="IQ248" s="20"/>
      <c r="IR248" s="20"/>
      <c r="IS248" s="20"/>
      <c r="IT248" s="20"/>
      <c r="IU248" s="20"/>
      <c r="IV248" s="20"/>
    </row>
    <row r="249" spans="1:256" s="21" customFormat="1" ht="38.25">
      <c r="A249" s="135"/>
      <c r="B249" s="24">
        <v>233</v>
      </c>
      <c r="C249" s="24">
        <v>542287</v>
      </c>
      <c r="D249" s="25">
        <v>44692</v>
      </c>
      <c r="E249" s="26">
        <v>57150</v>
      </c>
      <c r="F249" s="26">
        <v>91268</v>
      </c>
      <c r="G249" s="26">
        <v>31133</v>
      </c>
      <c r="H249" s="27">
        <v>50</v>
      </c>
      <c r="I249" s="27"/>
      <c r="J249" s="27"/>
      <c r="K249" s="27">
        <v>2</v>
      </c>
      <c r="L249" s="27" t="s">
        <v>1134</v>
      </c>
      <c r="M249" s="27" t="s">
        <v>1135</v>
      </c>
      <c r="N249" s="27" t="s">
        <v>1136</v>
      </c>
      <c r="O249" s="27"/>
      <c r="P249" s="27" t="s">
        <v>166</v>
      </c>
      <c r="Q249" s="27"/>
      <c r="R249" s="27"/>
      <c r="S249" s="27"/>
      <c r="T249" s="27">
        <v>1</v>
      </c>
      <c r="U249" s="28"/>
      <c r="V249" s="27"/>
      <c r="W249" s="27"/>
      <c r="X249" s="27" t="s">
        <v>1137</v>
      </c>
      <c r="Y249" s="29"/>
      <c r="Z249" s="30"/>
      <c r="AA249" s="31"/>
      <c r="AB249" s="30"/>
      <c r="AC249" s="31"/>
      <c r="AD249" s="30"/>
      <c r="AE249" s="27"/>
      <c r="AF249" s="27"/>
      <c r="AG249" s="27"/>
      <c r="AH249" s="27">
        <f>57.35+1004.56</f>
        <v>1061.9099999999999</v>
      </c>
      <c r="AI249" s="28"/>
      <c r="AJ249" s="32"/>
      <c r="AK249" s="33">
        <v>25672</v>
      </c>
      <c r="AL249" s="33"/>
      <c r="AM249" s="33">
        <f>+AH249/AK249</f>
        <v>4.1364521657837328E-2</v>
      </c>
      <c r="AN249" s="33"/>
      <c r="AO249" s="33">
        <v>13987800</v>
      </c>
      <c r="AP249" s="34">
        <v>232670.12</v>
      </c>
      <c r="AQ249" s="33" t="s">
        <v>71</v>
      </c>
      <c r="AR249" s="34" t="s">
        <v>1138</v>
      </c>
      <c r="AS249" s="35">
        <v>44839</v>
      </c>
      <c r="AT249" s="36"/>
      <c r="AU249" s="134">
        <v>44698</v>
      </c>
      <c r="AV249" s="19"/>
      <c r="AW249" s="19"/>
      <c r="AX249" s="19"/>
      <c r="AY249" s="19"/>
      <c r="AZ249" s="19"/>
      <c r="BA249" s="19"/>
      <c r="BB249" s="19"/>
      <c r="BC249" s="19"/>
      <c r="BD249" s="19"/>
      <c r="BE249" s="19"/>
      <c r="BF249" s="19"/>
      <c r="BG249" s="20"/>
      <c r="BH249" s="20"/>
      <c r="BI249" s="20"/>
      <c r="BJ249" s="20"/>
      <c r="BK249" s="20"/>
      <c r="BL249" s="20"/>
      <c r="BM249" s="20"/>
      <c r="BN249" s="20"/>
      <c r="BO249" s="20"/>
      <c r="BP249" s="20"/>
      <c r="BQ249" s="20"/>
      <c r="BR249" s="20"/>
      <c r="BS249" s="20"/>
      <c r="BT249" s="20"/>
      <c r="BU249" s="20"/>
      <c r="BV249" s="20"/>
      <c r="IP249" s="20"/>
      <c r="IQ249" s="20"/>
      <c r="IR249" s="20"/>
      <c r="IS249" s="20"/>
      <c r="IT249" s="20"/>
      <c r="IU249" s="20"/>
      <c r="IV249" s="20"/>
    </row>
    <row r="250" spans="1:256" s="21" customFormat="1" ht="76.5">
      <c r="A250" s="135"/>
      <c r="B250" s="39">
        <v>230</v>
      </c>
      <c r="C250" s="39">
        <v>537998</v>
      </c>
      <c r="D250" s="25">
        <v>44533</v>
      </c>
      <c r="E250" s="26">
        <v>43143</v>
      </c>
      <c r="F250" s="26">
        <v>140973</v>
      </c>
      <c r="G250" s="26">
        <v>8724</v>
      </c>
      <c r="H250" s="27"/>
      <c r="I250" s="27"/>
      <c r="J250" s="27">
        <v>195</v>
      </c>
      <c r="K250" s="27">
        <v>17</v>
      </c>
      <c r="L250" s="27" t="s">
        <v>88</v>
      </c>
      <c r="M250" s="27" t="s">
        <v>1139</v>
      </c>
      <c r="N250" s="27" t="s">
        <v>1140</v>
      </c>
      <c r="O250" s="27"/>
      <c r="P250" s="27" t="s">
        <v>317</v>
      </c>
      <c r="Q250" s="27" t="s">
        <v>317</v>
      </c>
      <c r="R250" s="27" t="s">
        <v>317</v>
      </c>
      <c r="S250" s="27" t="s">
        <v>1141</v>
      </c>
      <c r="T250" s="27"/>
      <c r="U250" s="28">
        <v>3</v>
      </c>
      <c r="V250" s="27"/>
      <c r="W250" s="27"/>
      <c r="X250" s="27" t="s">
        <v>77</v>
      </c>
      <c r="Y250" s="29"/>
      <c r="Z250" s="30">
        <f>2*3</f>
        <v>6</v>
      </c>
      <c r="AA250" s="31"/>
      <c r="AB250" s="30">
        <f>+Z250+1*3</f>
        <v>9</v>
      </c>
      <c r="AC250" s="31"/>
      <c r="AD250" s="30">
        <f>+Z250*2</f>
        <v>12</v>
      </c>
      <c r="AE250" s="27"/>
      <c r="AF250" s="27"/>
      <c r="AG250" s="27"/>
      <c r="AH250" s="27"/>
      <c r="AI250" s="28">
        <f>136.8+136.8+3.25/2+1.65/2</f>
        <v>276.05</v>
      </c>
      <c r="AJ250" s="32"/>
      <c r="AK250" s="33">
        <v>300</v>
      </c>
      <c r="AL250" s="33">
        <f>+(136.6+3.25+1.65)/AK250</f>
        <v>0.47166666666666668</v>
      </c>
      <c r="AM250" s="33">
        <f>+AI250/AK250</f>
        <v>0.92016666666666669</v>
      </c>
      <c r="AN250" s="33"/>
      <c r="AO250" s="33">
        <f>+(11*21938+6*17546+13161*4+3*8775)/21*AI250</f>
        <v>5594126.9595238101</v>
      </c>
      <c r="AP250" s="34">
        <v>32574.9</v>
      </c>
      <c r="AQ250" s="33" t="s">
        <v>71</v>
      </c>
      <c r="AR250" s="34" t="s">
        <v>1142</v>
      </c>
      <c r="AS250" s="35">
        <v>44837</v>
      </c>
      <c r="AT250" s="36"/>
      <c r="AU250" s="34" t="s">
        <v>1143</v>
      </c>
      <c r="AV250" s="19"/>
      <c r="AW250" s="19"/>
      <c r="AX250" s="19"/>
      <c r="AY250" s="19"/>
      <c r="AZ250" s="19"/>
      <c r="BA250" s="19"/>
      <c r="BB250" s="19"/>
      <c r="BC250" s="19"/>
      <c r="BD250" s="19"/>
      <c r="BE250" s="19"/>
      <c r="BF250" s="19"/>
      <c r="BG250" s="20"/>
      <c r="BH250" s="20"/>
      <c r="BI250" s="20"/>
      <c r="BJ250" s="20"/>
      <c r="BK250" s="20"/>
      <c r="BL250" s="20"/>
      <c r="BM250" s="20"/>
      <c r="BN250" s="20"/>
      <c r="BO250" s="20"/>
      <c r="BP250" s="20"/>
      <c r="BQ250" s="20"/>
      <c r="BR250" s="20"/>
      <c r="BS250" s="20"/>
      <c r="BT250" s="20"/>
      <c r="BU250" s="20"/>
      <c r="BV250" s="20"/>
      <c r="IP250" s="20"/>
      <c r="IQ250" s="20"/>
      <c r="IR250" s="20"/>
      <c r="IS250" s="20"/>
      <c r="IT250" s="20"/>
      <c r="IU250" s="20"/>
      <c r="IV250" s="20"/>
    </row>
    <row r="251" spans="1:256" s="21" customFormat="1" ht="63.75">
      <c r="A251" s="135"/>
      <c r="B251" s="23">
        <v>231</v>
      </c>
      <c r="C251" s="23" t="s">
        <v>1144</v>
      </c>
      <c r="D251" s="66">
        <v>44816</v>
      </c>
      <c r="E251" s="26">
        <v>49238</v>
      </c>
      <c r="F251" s="26">
        <v>159516</v>
      </c>
      <c r="G251" s="26">
        <v>32798</v>
      </c>
      <c r="H251" s="27">
        <v>289</v>
      </c>
      <c r="I251" s="27"/>
      <c r="J251" s="27"/>
      <c r="K251" s="27">
        <v>14</v>
      </c>
      <c r="L251" s="27" t="s">
        <v>240</v>
      </c>
      <c r="M251" s="27" t="s">
        <v>1145</v>
      </c>
      <c r="N251" s="27" t="s">
        <v>1146</v>
      </c>
      <c r="O251" s="27"/>
      <c r="P251" s="27" t="s">
        <v>243</v>
      </c>
      <c r="Q251" s="27"/>
      <c r="R251" s="27"/>
      <c r="S251" s="27"/>
      <c r="T251" s="27">
        <v>1</v>
      </c>
      <c r="U251" s="28"/>
      <c r="V251" s="27"/>
      <c r="W251" s="27"/>
      <c r="X251" s="27" t="s">
        <v>65</v>
      </c>
      <c r="Y251" s="29">
        <v>2</v>
      </c>
      <c r="Z251" s="30"/>
      <c r="AA251" s="31">
        <f>+Y251+1</f>
        <v>3</v>
      </c>
      <c r="AB251" s="30"/>
      <c r="AC251" s="31">
        <f>+Y251*2</f>
        <v>4</v>
      </c>
      <c r="AD251" s="30"/>
      <c r="AE251" s="27"/>
      <c r="AF251" s="27"/>
      <c r="AG251" s="27">
        <f>198.19+17.3</f>
        <v>215.49</v>
      </c>
      <c r="AH251" s="27"/>
      <c r="AI251" s="28"/>
      <c r="AJ251" s="32"/>
      <c r="AK251" s="33">
        <v>1720</v>
      </c>
      <c r="AL251" s="33">
        <f>+(198.19+17.3+17.3)/AK251</f>
        <v>0.13534302325581396</v>
      </c>
      <c r="AM251" s="33">
        <f>+AG251/AK251</f>
        <v>0.12528488372093025</v>
      </c>
      <c r="AN251" s="33">
        <f>+(4+18+8+5+12)/(2+6+2+1+2)</f>
        <v>3.6153846153846154</v>
      </c>
      <c r="AO251" s="33">
        <f>+(3*26491+7*19871+13249*10)/20*AG251</f>
        <v>3782495.97</v>
      </c>
      <c r="AP251" s="34">
        <v>50940.36</v>
      </c>
      <c r="AQ251" s="33" t="s">
        <v>71</v>
      </c>
      <c r="AR251" s="34" t="s">
        <v>1147</v>
      </c>
      <c r="AS251" s="35">
        <v>44838</v>
      </c>
      <c r="AT251" s="36"/>
      <c r="AU251" s="37">
        <v>44832</v>
      </c>
      <c r="AV251" s="19"/>
      <c r="AW251" s="19"/>
      <c r="AX251" s="19"/>
      <c r="AY251" s="19"/>
      <c r="AZ251" s="19"/>
      <c r="BA251" s="19"/>
      <c r="BB251" s="19"/>
      <c r="BC251" s="19"/>
      <c r="BD251" s="19"/>
      <c r="BE251" s="19"/>
      <c r="BF251" s="19"/>
      <c r="BG251" s="20"/>
      <c r="BH251" s="20"/>
      <c r="BI251" s="20"/>
      <c r="BJ251" s="20"/>
      <c r="BK251" s="20"/>
      <c r="BL251" s="20"/>
      <c r="BM251" s="20"/>
      <c r="BN251" s="20"/>
      <c r="BO251" s="20"/>
      <c r="BP251" s="20"/>
      <c r="BQ251" s="20"/>
      <c r="BR251" s="20"/>
      <c r="BS251" s="20"/>
      <c r="BT251" s="20"/>
      <c r="BU251" s="20"/>
      <c r="BV251" s="20"/>
      <c r="IP251" s="20"/>
      <c r="IQ251" s="20"/>
      <c r="IR251" s="20"/>
      <c r="IS251" s="20"/>
      <c r="IT251" s="20"/>
      <c r="IU251" s="20"/>
      <c r="IV251" s="20"/>
    </row>
    <row r="252" spans="1:256" s="21" customFormat="1" ht="89.25">
      <c r="A252" s="135"/>
      <c r="B252" s="38">
        <v>27</v>
      </c>
      <c r="C252" s="39">
        <v>525330</v>
      </c>
      <c r="D252" s="25">
        <v>44151</v>
      </c>
      <c r="E252" s="26">
        <v>35999</v>
      </c>
      <c r="F252" s="26">
        <v>135582</v>
      </c>
      <c r="G252" s="26">
        <v>7549</v>
      </c>
      <c r="H252" s="27"/>
      <c r="I252" s="27"/>
      <c r="J252" s="27">
        <v>56</v>
      </c>
      <c r="K252" s="27">
        <v>19</v>
      </c>
      <c r="L252" s="27" t="s">
        <v>88</v>
      </c>
      <c r="M252" s="27" t="s">
        <v>1148</v>
      </c>
      <c r="N252" s="27" t="s">
        <v>1149</v>
      </c>
      <c r="O252" s="27"/>
      <c r="P252" s="27" t="s">
        <v>1150</v>
      </c>
      <c r="Q252" s="27"/>
      <c r="R252" s="27"/>
      <c r="S252" s="27"/>
      <c r="T252" s="27">
        <f>1+1+1</f>
        <v>3</v>
      </c>
      <c r="U252" s="28"/>
      <c r="V252" s="27"/>
      <c r="W252" s="27"/>
      <c r="X252" s="27" t="s">
        <v>404</v>
      </c>
      <c r="Y252" s="29">
        <f>1+1</f>
        <v>2</v>
      </c>
      <c r="Z252" s="30"/>
      <c r="AA252" s="31">
        <f>+Y252+1+1+1</f>
        <v>5</v>
      </c>
      <c r="AB252" s="30"/>
      <c r="AC252" s="31">
        <f>+Y252*2</f>
        <v>4</v>
      </c>
      <c r="AD252" s="30"/>
      <c r="AE252" s="27"/>
      <c r="AF252" s="27"/>
      <c r="AG252" s="27">
        <f>42.45+79.1</f>
        <v>121.55</v>
      </c>
      <c r="AH252" s="27">
        <f>204.9+115.34+182.41</f>
        <v>502.65</v>
      </c>
      <c r="AI252" s="28"/>
      <c r="AJ252" s="32"/>
      <c r="AK252" s="33">
        <v>389.11</v>
      </c>
      <c r="AL252" s="33">
        <f>+(11.34+204.9+42.45)/AK252</f>
        <v>0.66482485672431957</v>
      </c>
      <c r="AM252" s="33">
        <f>+(AG252+AH252)/AK252</f>
        <v>1.6041736269949369</v>
      </c>
      <c r="AN252" s="33"/>
      <c r="AO252" s="33">
        <f>+((5*24491+19871*6+13249*10)/21*AG252)+1141203.6</f>
        <v>3306940.9833333334</v>
      </c>
      <c r="AP252" s="34">
        <v>106687.83</v>
      </c>
      <c r="AQ252" s="33" t="s">
        <v>71</v>
      </c>
      <c r="AR252" s="34" t="s">
        <v>1151</v>
      </c>
      <c r="AS252" s="35">
        <v>44603</v>
      </c>
      <c r="AT252" s="36"/>
      <c r="AU252" s="37">
        <v>44153</v>
      </c>
      <c r="AV252" s="19"/>
      <c r="AW252" s="19"/>
      <c r="AX252" s="19"/>
      <c r="AY252" s="19"/>
      <c r="AZ252" s="19"/>
      <c r="BA252" s="19"/>
      <c r="BB252" s="19"/>
      <c r="BC252" s="19"/>
      <c r="BD252" s="19"/>
      <c r="BE252" s="19"/>
      <c r="BF252" s="19"/>
      <c r="BG252" s="20"/>
      <c r="BH252" s="20"/>
      <c r="BI252" s="20"/>
      <c r="BJ252" s="20"/>
      <c r="BK252" s="20"/>
      <c r="BL252" s="20"/>
      <c r="BM252" s="20"/>
      <c r="BN252" s="20"/>
      <c r="BO252" s="20"/>
      <c r="BP252" s="20"/>
      <c r="BQ252" s="20"/>
      <c r="BR252" s="20"/>
      <c r="BS252" s="20"/>
      <c r="BT252" s="20"/>
      <c r="BU252" s="20"/>
      <c r="BV252" s="20"/>
      <c r="IP252" s="20"/>
      <c r="IQ252" s="20"/>
      <c r="IR252" s="20"/>
      <c r="IS252" s="20"/>
      <c r="IT252" s="20"/>
      <c r="IU252" s="20"/>
      <c r="IV252" s="20"/>
    </row>
    <row r="253" spans="1:256" s="21" customFormat="1" ht="63.75">
      <c r="A253" s="135"/>
      <c r="B253" s="24">
        <v>232</v>
      </c>
      <c r="C253" s="24">
        <v>545676</v>
      </c>
      <c r="D253" s="25">
        <v>44827</v>
      </c>
      <c r="E253" s="26">
        <v>55579</v>
      </c>
      <c r="F253" s="26">
        <v>141841</v>
      </c>
      <c r="G253" s="26">
        <v>32101</v>
      </c>
      <c r="H253" s="27">
        <v>223</v>
      </c>
      <c r="I253" s="27"/>
      <c r="J253" s="27">
        <v>5</v>
      </c>
      <c r="K253" s="27">
        <v>3</v>
      </c>
      <c r="L253" s="27" t="s">
        <v>129</v>
      </c>
      <c r="M253" s="27" t="s">
        <v>241</v>
      </c>
      <c r="N253" s="27" t="s">
        <v>1152</v>
      </c>
      <c r="O253" s="27"/>
      <c r="P253" s="27" t="s">
        <v>166</v>
      </c>
      <c r="Q253" s="27"/>
      <c r="R253" s="27"/>
      <c r="S253" s="27"/>
      <c r="T253" s="27">
        <v>1</v>
      </c>
      <c r="U253" s="28"/>
      <c r="V253" s="27"/>
      <c r="W253" s="27"/>
      <c r="X253" s="27" t="s">
        <v>441</v>
      </c>
      <c r="Y253" s="29"/>
      <c r="Z253" s="30"/>
      <c r="AA253" s="31"/>
      <c r="AB253" s="30"/>
      <c r="AC253" s="31"/>
      <c r="AD253" s="30"/>
      <c r="AE253" s="27"/>
      <c r="AF253" s="27"/>
      <c r="AG253" s="27"/>
      <c r="AH253" s="27">
        <v>9.98</v>
      </c>
      <c r="AI253" s="28"/>
      <c r="AJ253" s="32"/>
      <c r="AK253" s="33">
        <v>560.15</v>
      </c>
      <c r="AL253" s="33">
        <f>+AH253/AK253</f>
        <v>1.7816656252789432E-2</v>
      </c>
      <c r="AM253" s="33">
        <f>+AH253/AK253</f>
        <v>1.7816656252789432E-2</v>
      </c>
      <c r="AN253" s="33"/>
      <c r="AO253" s="33">
        <f>+AH253*19871</f>
        <v>198312.58000000002</v>
      </c>
      <c r="AP253" s="34">
        <v>3212.98</v>
      </c>
      <c r="AQ253" s="33" t="s">
        <v>71</v>
      </c>
      <c r="AR253" s="34" t="s">
        <v>1153</v>
      </c>
      <c r="AS253" s="35">
        <v>44840</v>
      </c>
      <c r="AT253" s="36"/>
      <c r="AU253" s="134">
        <v>44832</v>
      </c>
      <c r="AV253" s="19"/>
      <c r="AW253" s="19"/>
      <c r="AX253" s="19"/>
      <c r="AY253" s="19"/>
      <c r="AZ253" s="19"/>
      <c r="BA253" s="19"/>
      <c r="BB253" s="19"/>
      <c r="BC253" s="19"/>
      <c r="BD253" s="19"/>
      <c r="BE253" s="19"/>
      <c r="BF253" s="19"/>
      <c r="BG253" s="20"/>
      <c r="BH253" s="20"/>
      <c r="BI253" s="20"/>
      <c r="BJ253" s="20"/>
      <c r="BK253" s="20"/>
      <c r="BL253" s="20"/>
      <c r="BM253" s="20"/>
      <c r="BN253" s="20"/>
      <c r="BO253" s="20"/>
      <c r="BP253" s="20"/>
      <c r="BQ253" s="20"/>
      <c r="BR253" s="20"/>
      <c r="BS253" s="20"/>
      <c r="BT253" s="20"/>
      <c r="BU253" s="20"/>
      <c r="BV253" s="20"/>
      <c r="IP253" s="20"/>
      <c r="IQ253" s="20"/>
      <c r="IR253" s="20"/>
      <c r="IS253" s="20"/>
      <c r="IT253" s="20"/>
      <c r="IU253" s="20"/>
      <c r="IV253" s="20"/>
    </row>
    <row r="254" spans="1:256" s="21" customFormat="1" ht="51">
      <c r="A254" s="135"/>
      <c r="B254" s="24">
        <v>234</v>
      </c>
      <c r="C254" s="24" t="s">
        <v>1154</v>
      </c>
      <c r="D254" s="25">
        <v>44809</v>
      </c>
      <c r="E254" s="26">
        <v>54460</v>
      </c>
      <c r="F254" s="26">
        <v>149431</v>
      </c>
      <c r="G254" s="26">
        <v>32577</v>
      </c>
      <c r="H254" s="27">
        <v>331</v>
      </c>
      <c r="I254" s="27"/>
      <c r="J254" s="27">
        <v>2</v>
      </c>
      <c r="K254" s="27">
        <v>11</v>
      </c>
      <c r="L254" s="27" t="s">
        <v>793</v>
      </c>
      <c r="M254" s="27" t="s">
        <v>1155</v>
      </c>
      <c r="N254" s="27" t="s">
        <v>1156</v>
      </c>
      <c r="O254" s="27"/>
      <c r="P254" s="27" t="s">
        <v>160</v>
      </c>
      <c r="Q254" s="27" t="s">
        <v>160</v>
      </c>
      <c r="R254" s="27" t="s">
        <v>160</v>
      </c>
      <c r="S254" s="27" t="s">
        <v>1157</v>
      </c>
      <c r="T254" s="27"/>
      <c r="U254" s="28">
        <v>1</v>
      </c>
      <c r="V254" s="27"/>
      <c r="W254" s="27"/>
      <c r="X254" s="27" t="s">
        <v>65</v>
      </c>
      <c r="Y254" s="29"/>
      <c r="Z254" s="30">
        <v>1</v>
      </c>
      <c r="AA254" s="31"/>
      <c r="AB254" s="30">
        <f>+Z254+1</f>
        <v>2</v>
      </c>
      <c r="AC254" s="31"/>
      <c r="AD254" s="30">
        <f>+Z254*2</f>
        <v>2</v>
      </c>
      <c r="AE254" s="27"/>
      <c r="AF254" s="27"/>
      <c r="AG254" s="27"/>
      <c r="AH254" s="27"/>
      <c r="AI254" s="28">
        <v>67.12</v>
      </c>
      <c r="AJ254" s="32"/>
      <c r="AK254" s="33">
        <v>430.86</v>
      </c>
      <c r="AL254" s="33">
        <f>+AI254/AK254</f>
        <v>0.15578146033514367</v>
      </c>
      <c r="AM254" s="33">
        <f>+AL254</f>
        <v>0.15578146033514367</v>
      </c>
      <c r="AN254" s="33">
        <f>+(4+9+16)/(2+3+4)</f>
        <v>3.2222222222222223</v>
      </c>
      <c r="AO254" s="33">
        <f>+(7*33123+26491*4+19871*7+2*13249)/20*AI254</f>
        <v>1689477.52</v>
      </c>
      <c r="AP254" s="34">
        <v>8847.93</v>
      </c>
      <c r="AQ254" s="33" t="s">
        <v>71</v>
      </c>
      <c r="AR254" s="34" t="s">
        <v>1158</v>
      </c>
      <c r="AS254" s="35">
        <v>44847</v>
      </c>
      <c r="AT254" s="36"/>
      <c r="AU254" s="134" t="s">
        <v>1159</v>
      </c>
      <c r="AV254" s="19"/>
      <c r="AW254" s="19"/>
      <c r="AX254" s="19"/>
      <c r="AY254" s="19"/>
      <c r="AZ254" s="19"/>
      <c r="BA254" s="19"/>
      <c r="BB254" s="19"/>
      <c r="BC254" s="19"/>
      <c r="BD254" s="19"/>
      <c r="BE254" s="19"/>
      <c r="BF254" s="19"/>
      <c r="BG254" s="20"/>
      <c r="BH254" s="20"/>
      <c r="BI254" s="20"/>
      <c r="BJ254" s="20"/>
      <c r="BK254" s="20"/>
      <c r="BL254" s="20"/>
      <c r="BM254" s="20"/>
      <c r="BN254" s="20"/>
      <c r="BO254" s="20"/>
      <c r="BP254" s="20"/>
      <c r="BQ254" s="20"/>
      <c r="BR254" s="20"/>
      <c r="BS254" s="20"/>
      <c r="BT254" s="20"/>
      <c r="BU254" s="20"/>
      <c r="BV254" s="20"/>
      <c r="IP254" s="20"/>
      <c r="IQ254" s="20"/>
      <c r="IR254" s="20"/>
      <c r="IS254" s="20"/>
      <c r="IT254" s="20"/>
      <c r="IU254" s="20"/>
      <c r="IV254" s="20"/>
    </row>
    <row r="255" spans="1:256" s="21" customFormat="1" ht="51">
      <c r="A255" s="135"/>
      <c r="B255" s="24">
        <v>236</v>
      </c>
      <c r="C255" s="24">
        <v>543577</v>
      </c>
      <c r="D255" s="25">
        <v>44743</v>
      </c>
      <c r="E255" s="26">
        <v>60235</v>
      </c>
      <c r="F255" s="26">
        <v>168360</v>
      </c>
      <c r="G255" s="26">
        <v>33912</v>
      </c>
      <c r="H255" s="27">
        <v>247</v>
      </c>
      <c r="I255" s="27"/>
      <c r="J255" s="27">
        <v>6</v>
      </c>
      <c r="K255" s="27">
        <v>3</v>
      </c>
      <c r="L255" s="27" t="s">
        <v>901</v>
      </c>
      <c r="M255" s="27" t="s">
        <v>1160</v>
      </c>
      <c r="N255" s="27" t="s">
        <v>1161</v>
      </c>
      <c r="O255" s="27"/>
      <c r="P255" s="27" t="s">
        <v>56</v>
      </c>
      <c r="Q255" s="27"/>
      <c r="R255" s="27"/>
      <c r="S255" s="27"/>
      <c r="T255" s="27">
        <v>1</v>
      </c>
      <c r="U255" s="28"/>
      <c r="V255" s="27"/>
      <c r="W255" s="27"/>
      <c r="X255" s="27" t="s">
        <v>65</v>
      </c>
      <c r="Y255" s="29">
        <v>2</v>
      </c>
      <c r="Z255" s="30"/>
      <c r="AA255" s="31">
        <f>+Y255+1</f>
        <v>3</v>
      </c>
      <c r="AB255" s="30"/>
      <c r="AC255" s="31">
        <f>+Y255*2</f>
        <v>4</v>
      </c>
      <c r="AD255" s="30"/>
      <c r="AE255" s="27"/>
      <c r="AF255" s="27"/>
      <c r="AG255" s="27">
        <f>93.7+40.18/2</f>
        <v>113.79</v>
      </c>
      <c r="AH255" s="27"/>
      <c r="AI255" s="28"/>
      <c r="AJ255" s="32"/>
      <c r="AK255" s="33">
        <v>465</v>
      </c>
      <c r="AL255" s="27">
        <f>(93.7+40.18)/AK255</f>
        <v>0.28791397849462363</v>
      </c>
      <c r="AM255" s="33">
        <f>+AG255/AK255</f>
        <v>0.24470967741935484</v>
      </c>
      <c r="AN255" s="33"/>
      <c r="AO255" s="33">
        <f>+(1*33123+15*26491+2*19871+13249*2)/20*AG255</f>
        <v>2826133.9560000002</v>
      </c>
      <c r="AP255" s="34">
        <v>42218.71</v>
      </c>
      <c r="AQ255" s="33" t="s">
        <v>51</v>
      </c>
      <c r="AR255" s="34" t="s">
        <v>1162</v>
      </c>
      <c r="AS255" s="35">
        <v>44847</v>
      </c>
      <c r="AT255" s="36"/>
      <c r="AU255" s="134">
        <v>44746</v>
      </c>
      <c r="AV255" s="19"/>
      <c r="AW255" s="19"/>
      <c r="AX255" s="19"/>
      <c r="AY255" s="19"/>
      <c r="AZ255" s="19"/>
      <c r="BA255" s="19"/>
      <c r="BB255" s="19"/>
      <c r="BC255" s="19"/>
      <c r="BD255" s="19"/>
      <c r="BE255" s="19"/>
      <c r="BF255" s="19"/>
      <c r="BG255" s="20"/>
      <c r="BH255" s="20"/>
      <c r="BI255" s="20"/>
      <c r="BJ255" s="20"/>
      <c r="BK255" s="20"/>
      <c r="BL255" s="20"/>
      <c r="BM255" s="20"/>
      <c r="BN255" s="20"/>
      <c r="BO255" s="20"/>
      <c r="BP255" s="20"/>
      <c r="BQ255" s="20"/>
      <c r="BR255" s="20"/>
      <c r="BS255" s="20"/>
      <c r="BT255" s="20"/>
      <c r="BU255" s="20"/>
      <c r="BV255" s="20"/>
      <c r="IP255" s="20"/>
      <c r="IQ255" s="20"/>
      <c r="IR255" s="20"/>
      <c r="IS255" s="20"/>
      <c r="IT255" s="20"/>
      <c r="IU255" s="20"/>
      <c r="IV255" s="20"/>
    </row>
    <row r="256" spans="1:256" s="21" customFormat="1" ht="76.5">
      <c r="A256" s="22"/>
      <c r="B256" s="23">
        <v>235</v>
      </c>
      <c r="C256" s="23" t="s">
        <v>1163</v>
      </c>
      <c r="D256" s="25">
        <v>44819</v>
      </c>
      <c r="E256" s="26">
        <v>60913</v>
      </c>
      <c r="F256" s="26">
        <v>168869</v>
      </c>
      <c r="G256" s="26">
        <v>33955</v>
      </c>
      <c r="H256" s="27">
        <v>3</v>
      </c>
      <c r="I256" s="27"/>
      <c r="J256" s="27">
        <v>3</v>
      </c>
      <c r="K256" s="27">
        <v>23</v>
      </c>
      <c r="L256" s="27" t="s">
        <v>793</v>
      </c>
      <c r="M256" s="27" t="s">
        <v>270</v>
      </c>
      <c r="N256" s="27" t="s">
        <v>1164</v>
      </c>
      <c r="O256" s="27"/>
      <c r="P256" s="27" t="s">
        <v>115</v>
      </c>
      <c r="Q256" s="27" t="s">
        <v>115</v>
      </c>
      <c r="R256" s="27" t="s">
        <v>115</v>
      </c>
      <c r="S256" s="27" t="s">
        <v>100</v>
      </c>
      <c r="T256" s="27"/>
      <c r="U256" s="28">
        <v>1</v>
      </c>
      <c r="V256" s="27"/>
      <c r="W256" s="27"/>
      <c r="X256" s="27" t="s">
        <v>1063</v>
      </c>
      <c r="Y256" s="29"/>
      <c r="Z256" s="30"/>
      <c r="AA256" s="31"/>
      <c r="AB256" s="30"/>
      <c r="AC256" s="31"/>
      <c r="AD256" s="30"/>
      <c r="AE256" s="27">
        <f>112.5+42.96/2</f>
        <v>133.97999999999999</v>
      </c>
      <c r="AF256" s="27"/>
      <c r="AG256" s="27"/>
      <c r="AH256" s="27"/>
      <c r="AI256" s="28"/>
      <c r="AJ256" s="32"/>
      <c r="AK256" s="33">
        <v>801.7</v>
      </c>
      <c r="AL256" s="33">
        <f>+(112.6+42.98)/AK256</f>
        <v>0.19406261693900459</v>
      </c>
      <c r="AM256" s="33">
        <f>+AE256/AK256</f>
        <v>0.16711987027566419</v>
      </c>
      <c r="AN256" s="33"/>
      <c r="AO256" s="33">
        <v>232669.12</v>
      </c>
      <c r="AP256" s="34">
        <v>13301.46</v>
      </c>
      <c r="AQ256" s="33" t="s">
        <v>71</v>
      </c>
      <c r="AR256" s="34" t="s">
        <v>1165</v>
      </c>
      <c r="AS256" s="35">
        <v>44847</v>
      </c>
      <c r="AT256" s="36"/>
      <c r="AU256" s="37">
        <v>44840</v>
      </c>
      <c r="AV256" s="19"/>
      <c r="AW256" s="19"/>
      <c r="AX256" s="19"/>
      <c r="AY256" s="19"/>
      <c r="AZ256" s="19"/>
      <c r="BA256" s="19"/>
      <c r="BB256" s="19"/>
      <c r="BC256" s="19"/>
      <c r="BD256" s="19"/>
      <c r="BE256" s="19"/>
      <c r="BF256" s="19"/>
      <c r="BG256" s="20"/>
      <c r="BH256" s="20"/>
      <c r="BI256" s="20"/>
      <c r="BJ256" s="20"/>
      <c r="BK256" s="20"/>
      <c r="BL256" s="20"/>
      <c r="BM256" s="20"/>
      <c r="BN256" s="20"/>
      <c r="BO256" s="20"/>
      <c r="BP256" s="20"/>
      <c r="BQ256" s="20"/>
      <c r="BR256" s="20"/>
      <c r="BS256" s="20"/>
      <c r="BT256" s="20"/>
      <c r="BU256" s="20"/>
      <c r="BV256" s="20"/>
      <c r="IP256" s="20"/>
      <c r="IQ256" s="20"/>
      <c r="IR256" s="20"/>
      <c r="IS256" s="20"/>
      <c r="IT256" s="20"/>
      <c r="IU256" s="20"/>
      <c r="IV256" s="20"/>
    </row>
    <row r="257" spans="1:256" s="21" customFormat="1" ht="38.25">
      <c r="A257" s="135"/>
      <c r="B257" s="24">
        <v>237</v>
      </c>
      <c r="C257" s="24" t="s">
        <v>1166</v>
      </c>
      <c r="D257" s="25">
        <v>44795</v>
      </c>
      <c r="E257" s="26">
        <v>42104</v>
      </c>
      <c r="F257" s="26"/>
      <c r="G257" s="26">
        <v>31876</v>
      </c>
      <c r="H257" s="27">
        <v>160</v>
      </c>
      <c r="I257" s="27"/>
      <c r="J257" s="27"/>
      <c r="K257" s="27"/>
      <c r="L257" s="27" t="s">
        <v>1167</v>
      </c>
      <c r="M257" s="27" t="s">
        <v>1168</v>
      </c>
      <c r="N257" s="27" t="s">
        <v>1169</v>
      </c>
      <c r="O257" s="27"/>
      <c r="P257" s="27" t="s">
        <v>1041</v>
      </c>
      <c r="Q257" s="27" t="s">
        <v>1041</v>
      </c>
      <c r="R257" s="27" t="s">
        <v>1041</v>
      </c>
      <c r="S257" s="27" t="s">
        <v>1170</v>
      </c>
      <c r="T257" s="27"/>
      <c r="U257" s="28"/>
      <c r="V257" s="27">
        <v>1</v>
      </c>
      <c r="W257" s="27"/>
      <c r="X257" s="27" t="s">
        <v>1171</v>
      </c>
      <c r="Y257" s="29"/>
      <c r="Z257" s="30"/>
      <c r="AA257" s="31"/>
      <c r="AB257" s="30"/>
      <c r="AC257" s="31"/>
      <c r="AD257" s="30"/>
      <c r="AE257" s="27"/>
      <c r="AF257" s="27"/>
      <c r="AG257" s="27"/>
      <c r="AH257" s="27"/>
      <c r="AI257" s="28"/>
      <c r="AJ257" s="32"/>
      <c r="AK257" s="33"/>
      <c r="AL257" s="33"/>
      <c r="AM257" s="33"/>
      <c r="AN257" s="33"/>
      <c r="AO257" s="33"/>
      <c r="AP257" s="34">
        <v>28003.59</v>
      </c>
      <c r="AQ257" s="33" t="s">
        <v>71</v>
      </c>
      <c r="AR257" s="34"/>
      <c r="AS257" s="35"/>
      <c r="AT257" s="36"/>
      <c r="AU257" s="134"/>
      <c r="AV257" s="19"/>
      <c r="AW257" s="19"/>
      <c r="AX257" s="19"/>
      <c r="AY257" s="19"/>
      <c r="AZ257" s="19"/>
      <c r="BA257" s="19"/>
      <c r="BB257" s="19"/>
      <c r="BC257" s="19"/>
      <c r="BD257" s="19"/>
      <c r="BE257" s="19"/>
      <c r="BF257" s="19"/>
      <c r="BG257" s="20"/>
      <c r="BH257" s="20"/>
      <c r="BI257" s="20"/>
      <c r="BJ257" s="20"/>
      <c r="BK257" s="20"/>
      <c r="BL257" s="20"/>
      <c r="BM257" s="20"/>
      <c r="BN257" s="20"/>
      <c r="BO257" s="20"/>
      <c r="BP257" s="20"/>
      <c r="BQ257" s="20"/>
      <c r="BR257" s="20"/>
      <c r="BS257" s="20"/>
      <c r="BT257" s="20"/>
      <c r="BU257" s="20"/>
      <c r="BV257" s="20"/>
      <c r="IP257" s="20"/>
      <c r="IQ257" s="20"/>
      <c r="IR257" s="20"/>
      <c r="IS257" s="20"/>
      <c r="IT257" s="20"/>
      <c r="IU257" s="20"/>
      <c r="IV257" s="20"/>
    </row>
    <row r="258" spans="1:256" s="21" customFormat="1" ht="38.25">
      <c r="A258" s="135"/>
      <c r="B258" s="24">
        <v>238</v>
      </c>
      <c r="C258" s="24" t="s">
        <v>1172</v>
      </c>
      <c r="D258" s="25">
        <v>44816</v>
      </c>
      <c r="E258" s="26">
        <v>34695</v>
      </c>
      <c r="F258" s="26">
        <v>134762</v>
      </c>
      <c r="G258" s="26">
        <v>7366</v>
      </c>
      <c r="H258" s="27"/>
      <c r="I258" s="27"/>
      <c r="J258" s="27">
        <v>98</v>
      </c>
      <c r="K258" s="27">
        <v>25</v>
      </c>
      <c r="L258" s="27" t="s">
        <v>31</v>
      </c>
      <c r="M258" s="27" t="s">
        <v>1173</v>
      </c>
      <c r="N258" s="27" t="s">
        <v>672</v>
      </c>
      <c r="O258" s="27"/>
      <c r="P258" s="27" t="s">
        <v>285</v>
      </c>
      <c r="Q258" s="27" t="s">
        <v>285</v>
      </c>
      <c r="R258" s="27" t="s">
        <v>285</v>
      </c>
      <c r="S258" s="27" t="s">
        <v>1174</v>
      </c>
      <c r="T258" s="27"/>
      <c r="U258" s="28">
        <f>1+1+1+1</f>
        <v>4</v>
      </c>
      <c r="V258" s="27"/>
      <c r="W258" s="27"/>
      <c r="X258" s="27" t="s">
        <v>1175</v>
      </c>
      <c r="Y258" s="29"/>
      <c r="Z258" s="30"/>
      <c r="AA258" s="31"/>
      <c r="AB258" s="30">
        <v>2</v>
      </c>
      <c r="AC258" s="31"/>
      <c r="AD258" s="30"/>
      <c r="AE258" s="27"/>
      <c r="AF258" s="27"/>
      <c r="AG258" s="27"/>
      <c r="AH258" s="27"/>
      <c r="AI258" s="28">
        <v>79.400000000000006</v>
      </c>
      <c r="AJ258" s="32">
        <v>81.2</v>
      </c>
      <c r="AK258" s="33">
        <v>116.02</v>
      </c>
      <c r="AL258" s="33">
        <f>+AJ258/AK258</f>
        <v>0.69987933114980183</v>
      </c>
      <c r="AM258" s="33">
        <f>+(AI258+AJ258)/AK258</f>
        <v>1.3842440958455442</v>
      </c>
      <c r="AN258" s="33">
        <f>+(15+12+6)/(5+3+1)</f>
        <v>3.6666666666666665</v>
      </c>
      <c r="AO258" s="33">
        <f>21500+(AI258+AJ258)*26491</f>
        <v>4275954.6000000006</v>
      </c>
      <c r="AP258" s="34">
        <v>16998.900000000001</v>
      </c>
      <c r="AQ258" s="33" t="s">
        <v>71</v>
      </c>
      <c r="AR258" s="34" t="s">
        <v>1176</v>
      </c>
      <c r="AS258" s="35">
        <v>44852</v>
      </c>
      <c r="AT258" s="36"/>
      <c r="AU258" s="134" t="s">
        <v>1177</v>
      </c>
      <c r="AV258" s="19"/>
      <c r="AW258" s="19"/>
      <c r="AX258" s="19"/>
      <c r="AY258" s="19"/>
      <c r="AZ258" s="19"/>
      <c r="BA258" s="19"/>
      <c r="BB258" s="19"/>
      <c r="BC258" s="19"/>
      <c r="BD258" s="19"/>
      <c r="BE258" s="19"/>
      <c r="BF258" s="19"/>
      <c r="BG258" s="20"/>
      <c r="BH258" s="20"/>
      <c r="BI258" s="20"/>
      <c r="BJ258" s="20"/>
      <c r="BK258" s="20"/>
      <c r="BL258" s="20"/>
      <c r="BM258" s="20"/>
      <c r="BN258" s="20"/>
      <c r="BO258" s="20"/>
      <c r="BP258" s="20"/>
      <c r="BQ258" s="20"/>
      <c r="BR258" s="20"/>
      <c r="BS258" s="20"/>
      <c r="BT258" s="20"/>
      <c r="BU258" s="20"/>
      <c r="BV258" s="20"/>
      <c r="IP258" s="20"/>
      <c r="IQ258" s="20"/>
      <c r="IR258" s="20"/>
      <c r="IS258" s="20"/>
      <c r="IT258" s="20"/>
      <c r="IU258" s="20"/>
      <c r="IV258" s="20"/>
    </row>
    <row r="259" spans="1:256" s="21" customFormat="1" ht="63.75">
      <c r="A259" s="135"/>
      <c r="B259" s="24">
        <v>242</v>
      </c>
      <c r="C259" s="24">
        <v>546052</v>
      </c>
      <c r="D259" s="25">
        <v>44840</v>
      </c>
      <c r="E259" s="26">
        <v>21423</v>
      </c>
      <c r="F259" s="26">
        <v>110856</v>
      </c>
      <c r="G259" s="26">
        <v>1769</v>
      </c>
      <c r="H259" s="27"/>
      <c r="I259" s="27"/>
      <c r="J259" s="27">
        <v>93</v>
      </c>
      <c r="K259" s="27">
        <v>18</v>
      </c>
      <c r="L259" s="27" t="s">
        <v>31</v>
      </c>
      <c r="M259" s="27" t="s">
        <v>1178</v>
      </c>
      <c r="N259" s="27" t="s">
        <v>1179</v>
      </c>
      <c r="O259" s="27"/>
      <c r="P259" s="27" t="s">
        <v>137</v>
      </c>
      <c r="Q259" s="27" t="s">
        <v>137</v>
      </c>
      <c r="R259" s="27" t="s">
        <v>137</v>
      </c>
      <c r="S259" s="27" t="s">
        <v>100</v>
      </c>
      <c r="T259" s="27">
        <v>1</v>
      </c>
      <c r="U259" s="28">
        <v>2</v>
      </c>
      <c r="V259" s="27"/>
      <c r="W259" s="27"/>
      <c r="X259" s="27" t="s">
        <v>77</v>
      </c>
      <c r="Y259" s="29">
        <v>2</v>
      </c>
      <c r="Z259" s="30">
        <f>1+1</f>
        <v>2</v>
      </c>
      <c r="AA259" s="31">
        <f>+Y259+1</f>
        <v>3</v>
      </c>
      <c r="AB259" s="30">
        <f>+Z259+1+1</f>
        <v>4</v>
      </c>
      <c r="AC259" s="31">
        <f>+Y259*2</f>
        <v>4</v>
      </c>
      <c r="AD259" s="30">
        <f>+Z259*2</f>
        <v>4</v>
      </c>
      <c r="AE259" s="27">
        <f>29.73+15.09/2+40.55</f>
        <v>77.824999999999989</v>
      </c>
      <c r="AF259" s="27"/>
      <c r="AG259" s="27"/>
      <c r="AH259" s="27"/>
      <c r="AI259" s="28">
        <f>96.78/2+71.56</f>
        <v>119.95</v>
      </c>
      <c r="AJ259" s="32"/>
      <c r="AK259" s="33">
        <v>374.4</v>
      </c>
      <c r="AL259" s="33">
        <f>+(29.73+15.09+96.78)/AK259</f>
        <v>0.37820512820512819</v>
      </c>
      <c r="AM259" s="33">
        <f>+(AE259+AI259)/AK259</f>
        <v>0.52824519230769229</v>
      </c>
      <c r="AN259" s="33">
        <f>+(21+12)/(7+3)</f>
        <v>3.3</v>
      </c>
      <c r="AO259" s="33">
        <f>+(23123+26491*3+8*19871+7*13249)/19*AI259</f>
        <v>2236796.0342105264</v>
      </c>
      <c r="AP259" s="34">
        <v>13723.43</v>
      </c>
      <c r="AQ259" s="33" t="s">
        <v>71</v>
      </c>
      <c r="AR259" s="34" t="s">
        <v>1180</v>
      </c>
      <c r="AS259" s="35">
        <v>44858</v>
      </c>
      <c r="AT259" s="36"/>
      <c r="AU259" s="134" t="s">
        <v>1177</v>
      </c>
      <c r="AV259" s="19"/>
      <c r="AW259" s="19"/>
      <c r="AX259" s="19"/>
      <c r="AY259" s="19"/>
      <c r="AZ259" s="19"/>
      <c r="BA259" s="19"/>
      <c r="BB259" s="19"/>
      <c r="BC259" s="19"/>
      <c r="BD259" s="19"/>
      <c r="BE259" s="19"/>
      <c r="BF259" s="19"/>
      <c r="BG259" s="20"/>
      <c r="BH259" s="20"/>
      <c r="BI259" s="20"/>
      <c r="BJ259" s="20"/>
      <c r="BK259" s="20"/>
      <c r="BL259" s="20"/>
      <c r="BM259" s="20"/>
      <c r="BN259" s="20"/>
      <c r="BO259" s="20"/>
      <c r="BP259" s="20"/>
      <c r="BQ259" s="20"/>
      <c r="BR259" s="20"/>
      <c r="BS259" s="20"/>
      <c r="BT259" s="20"/>
      <c r="BU259" s="20"/>
      <c r="BV259" s="20"/>
      <c r="IP259" s="20"/>
      <c r="IQ259" s="20"/>
      <c r="IR259" s="20"/>
      <c r="IS259" s="20"/>
      <c r="IT259" s="20"/>
      <c r="IU259" s="20"/>
      <c r="IV259" s="20"/>
    </row>
    <row r="260" spans="1:256" s="21" customFormat="1" ht="38.25">
      <c r="A260" s="135"/>
      <c r="B260" s="24">
        <v>240</v>
      </c>
      <c r="C260" s="24">
        <v>546138</v>
      </c>
      <c r="D260" s="25">
        <v>44845</v>
      </c>
      <c r="E260" s="26">
        <v>60695</v>
      </c>
      <c r="F260" s="26">
        <v>168714</v>
      </c>
      <c r="G260" s="26">
        <v>33918</v>
      </c>
      <c r="H260" s="27">
        <v>327</v>
      </c>
      <c r="I260" s="27"/>
      <c r="J260" s="27">
        <v>8</v>
      </c>
      <c r="K260" s="27">
        <v>9</v>
      </c>
      <c r="L260" s="27" t="s">
        <v>74</v>
      </c>
      <c r="M260" s="27" t="s">
        <v>1181</v>
      </c>
      <c r="N260" s="27" t="s">
        <v>672</v>
      </c>
      <c r="O260" s="27"/>
      <c r="P260" s="27" t="s">
        <v>285</v>
      </c>
      <c r="Q260" s="27" t="s">
        <v>285</v>
      </c>
      <c r="R260" s="27" t="s">
        <v>285</v>
      </c>
      <c r="S260" s="27"/>
      <c r="T260" s="27">
        <v>2</v>
      </c>
      <c r="U260" s="28"/>
      <c r="V260" s="27"/>
      <c r="W260" s="27"/>
      <c r="X260" s="27" t="s">
        <v>77</v>
      </c>
      <c r="Y260" s="29">
        <f>2+2</f>
        <v>4</v>
      </c>
      <c r="Z260" s="30"/>
      <c r="AA260" s="31">
        <f>+Y260+1+1</f>
        <v>6</v>
      </c>
      <c r="AB260" s="30"/>
      <c r="AC260" s="31">
        <f>+Y260*2</f>
        <v>8</v>
      </c>
      <c r="AD260" s="30"/>
      <c r="AE260" s="27">
        <f>115.7+5.3/2</f>
        <v>118.35000000000001</v>
      </c>
      <c r="AF260" s="27"/>
      <c r="AG260" s="27"/>
      <c r="AH260" s="27"/>
      <c r="AI260" s="28"/>
      <c r="AJ260" s="32"/>
      <c r="AK260" s="33">
        <v>321</v>
      </c>
      <c r="AL260" s="33"/>
      <c r="AM260" s="33">
        <f>+AE260/AK260</f>
        <v>0.36869158878504676</v>
      </c>
      <c r="AN260" s="33">
        <f>+(12+20+12)/(4+5+2)</f>
        <v>4</v>
      </c>
      <c r="AO260" s="33">
        <f>+(2*33123+3*23491+6*19871+10)/21*AG260</f>
        <v>0</v>
      </c>
      <c r="AP260" s="34">
        <v>3648.19</v>
      </c>
      <c r="AQ260" s="33" t="s">
        <v>71</v>
      </c>
      <c r="AR260" s="34" t="s">
        <v>1182</v>
      </c>
      <c r="AS260" s="35">
        <v>44860</v>
      </c>
      <c r="AT260" s="36"/>
      <c r="AU260" s="134" t="s">
        <v>1183</v>
      </c>
      <c r="AV260" s="19"/>
      <c r="AW260" s="19"/>
      <c r="AX260" s="19"/>
      <c r="AY260" s="19"/>
      <c r="AZ260" s="19"/>
      <c r="BA260" s="19"/>
      <c r="BB260" s="19"/>
      <c r="BC260" s="19"/>
      <c r="BD260" s="19"/>
      <c r="BE260" s="19"/>
      <c r="BF260" s="19"/>
      <c r="BG260" s="20"/>
      <c r="BH260" s="20"/>
      <c r="BI260" s="20"/>
      <c r="BJ260" s="20"/>
      <c r="BK260" s="20"/>
      <c r="BL260" s="20"/>
      <c r="BM260" s="20"/>
      <c r="BN260" s="20"/>
      <c r="BO260" s="20"/>
      <c r="BP260" s="20"/>
      <c r="BQ260" s="20"/>
      <c r="BR260" s="20"/>
      <c r="BS260" s="20"/>
      <c r="BT260" s="20"/>
      <c r="BU260" s="20"/>
      <c r="BV260" s="20"/>
      <c r="IP260" s="20"/>
      <c r="IQ260" s="20"/>
      <c r="IR260" s="20"/>
      <c r="IS260" s="20"/>
      <c r="IT260" s="20"/>
      <c r="IU260" s="20"/>
      <c r="IV260" s="20"/>
    </row>
    <row r="261" spans="1:256" s="21" customFormat="1" ht="63.75">
      <c r="A261" s="135"/>
      <c r="B261" s="38">
        <v>247</v>
      </c>
      <c r="C261" s="38" t="s">
        <v>1184</v>
      </c>
      <c r="D261" s="190">
        <v>44811</v>
      </c>
      <c r="E261" s="26">
        <v>53312</v>
      </c>
      <c r="F261" s="26">
        <v>162849</v>
      </c>
      <c r="G261" s="26">
        <v>33257</v>
      </c>
      <c r="H261" s="27">
        <v>111</v>
      </c>
      <c r="I261" s="27"/>
      <c r="J261" s="27">
        <v>16</v>
      </c>
      <c r="K261" s="27">
        <v>3</v>
      </c>
      <c r="L261" s="27" t="s">
        <v>337</v>
      </c>
      <c r="M261" s="27" t="s">
        <v>1185</v>
      </c>
      <c r="N261" s="27" t="s">
        <v>1186</v>
      </c>
      <c r="O261" s="27"/>
      <c r="P261" s="27" t="s">
        <v>115</v>
      </c>
      <c r="Q261" s="27"/>
      <c r="R261" s="27"/>
      <c r="S261" s="27"/>
      <c r="T261" s="27"/>
      <c r="U261" s="28">
        <v>1</v>
      </c>
      <c r="V261" s="27"/>
      <c r="W261" s="27"/>
      <c r="X261" s="27" t="s">
        <v>65</v>
      </c>
      <c r="Y261" s="29"/>
      <c r="Z261" s="30"/>
      <c r="AA261" s="31"/>
      <c r="AB261" s="30"/>
      <c r="AC261" s="31"/>
      <c r="AD261" s="30"/>
      <c r="AE261" s="27">
        <f>116.16+45.05/2</f>
        <v>138.685</v>
      </c>
      <c r="AF261" s="27"/>
      <c r="AG261" s="27"/>
      <c r="AH261" s="27"/>
      <c r="AI261" s="28">
        <f>72+48/2+26.52</f>
        <v>122.52</v>
      </c>
      <c r="AJ261" s="32"/>
      <c r="AK261" s="33">
        <v>2360</v>
      </c>
      <c r="AL261" s="33">
        <f>+(116.16+45.05+72+48)/AK261</f>
        <v>0.11915677966101694</v>
      </c>
      <c r="AM261" s="33">
        <f>+(AE261+AI261)/AK261</f>
        <v>0.1106800847457627</v>
      </c>
      <c r="AN261" s="33"/>
      <c r="AO261" s="33">
        <f>421658+((6*33123+26491*5+6*19871+13249*4)/21*AI261)</f>
        <v>3358724.942857143</v>
      </c>
      <c r="AP261" s="34">
        <v>23217.9</v>
      </c>
      <c r="AQ261" s="33" t="s">
        <v>71</v>
      </c>
      <c r="AR261" s="34" t="s">
        <v>1187</v>
      </c>
      <c r="AS261" s="35">
        <v>44865</v>
      </c>
      <c r="AT261" s="36"/>
      <c r="AU261" s="37">
        <v>44847</v>
      </c>
      <c r="AV261" s="19"/>
      <c r="AW261" s="19"/>
      <c r="AX261" s="19"/>
      <c r="AY261" s="19"/>
      <c r="AZ261" s="19"/>
      <c r="BA261" s="19"/>
      <c r="BB261" s="19"/>
      <c r="BC261" s="19"/>
      <c r="BD261" s="19"/>
      <c r="BE261" s="19"/>
      <c r="BF261" s="19"/>
      <c r="BG261" s="20"/>
      <c r="BH261" s="20"/>
      <c r="BI261" s="20"/>
      <c r="BJ261" s="20"/>
      <c r="BK261" s="20"/>
      <c r="BL261" s="20"/>
      <c r="BM261" s="20"/>
      <c r="BN261" s="20"/>
      <c r="BO261" s="20"/>
      <c r="BP261" s="20"/>
      <c r="BQ261" s="20"/>
      <c r="BR261" s="20"/>
      <c r="BS261" s="20"/>
      <c r="BT261" s="20"/>
      <c r="BU261" s="20"/>
      <c r="BV261" s="20"/>
      <c r="IP261" s="20"/>
      <c r="IQ261" s="20"/>
      <c r="IR261" s="20"/>
      <c r="IS261" s="20"/>
      <c r="IT261" s="20"/>
      <c r="IU261" s="20"/>
      <c r="IV261" s="20"/>
    </row>
    <row r="262" spans="1:256" s="21" customFormat="1" ht="76.5">
      <c r="A262" s="135"/>
      <c r="B262" s="191">
        <v>239</v>
      </c>
      <c r="C262" s="24">
        <v>546025</v>
      </c>
      <c r="D262" s="25">
        <v>44840</v>
      </c>
      <c r="E262" s="26">
        <v>39816</v>
      </c>
      <c r="F262" s="26">
        <v>691</v>
      </c>
      <c r="G262" s="26">
        <v>4528</v>
      </c>
      <c r="H262" s="27"/>
      <c r="I262" s="27"/>
      <c r="J262" s="27">
        <v>99</v>
      </c>
      <c r="K262" s="27">
        <v>2</v>
      </c>
      <c r="L262" s="27" t="s">
        <v>60</v>
      </c>
      <c r="M262" s="27" t="s">
        <v>1188</v>
      </c>
      <c r="N262" s="27" t="s">
        <v>1189</v>
      </c>
      <c r="O262" s="27" t="s">
        <v>1190</v>
      </c>
      <c r="P262" s="27" t="s">
        <v>1191</v>
      </c>
      <c r="Q262" s="27"/>
      <c r="R262" s="27"/>
      <c r="S262" s="27"/>
      <c r="T262" s="27">
        <v>4</v>
      </c>
      <c r="U262" s="28"/>
      <c r="V262" s="27"/>
      <c r="W262" s="27"/>
      <c r="X262" s="27" t="s">
        <v>77</v>
      </c>
      <c r="Y262" s="29"/>
      <c r="Z262" s="30">
        <f>2*4</f>
        <v>8</v>
      </c>
      <c r="AA262" s="31"/>
      <c r="AB262" s="30">
        <f>+Z262+4</f>
        <v>12</v>
      </c>
      <c r="AC262" s="31"/>
      <c r="AD262" s="30">
        <f>+Z262*2</f>
        <v>16</v>
      </c>
      <c r="AE262" s="98">
        <f>188.51+21.9/2+177.57</f>
        <v>377.03</v>
      </c>
      <c r="AF262" s="27"/>
      <c r="AG262" s="27">
        <f>(185.89+37.73/2+194.05)-AE262</f>
        <v>21.775000000000034</v>
      </c>
      <c r="AH262" s="27"/>
      <c r="AI262" s="28"/>
      <c r="AJ262" s="32"/>
      <c r="AK262" s="33">
        <v>463</v>
      </c>
      <c r="AL262" s="33">
        <f>(185.89+37.73)/AK262</f>
        <v>0.48298056155507552</v>
      </c>
      <c r="AM262" s="33">
        <f>+(AE262+AG262)/AK262</f>
        <v>0.86134989200863932</v>
      </c>
      <c r="AN262" s="33"/>
      <c r="AO262" s="33">
        <f>+((2*16158+9*12923+5*9693+4*6462)/20*112.205)+((7*16157+4*12923+5*9693+4*6462)/20*261.3)</f>
        <v>4374620.4539999999</v>
      </c>
      <c r="AP262" s="34">
        <v>10694.88</v>
      </c>
      <c r="AQ262" s="33" t="s">
        <v>36</v>
      </c>
      <c r="AR262" s="34" t="s">
        <v>1192</v>
      </c>
      <c r="AS262" s="35" t="s">
        <v>1193</v>
      </c>
      <c r="AT262" s="36"/>
      <c r="AU262" s="140" t="s">
        <v>1194</v>
      </c>
      <c r="AV262" s="19"/>
      <c r="AW262" s="19"/>
      <c r="AX262" s="19"/>
      <c r="AY262" s="19"/>
      <c r="AZ262" s="19"/>
      <c r="BA262" s="19"/>
      <c r="BB262" s="19"/>
      <c r="BC262" s="19"/>
      <c r="BD262" s="19"/>
      <c r="BE262" s="19"/>
      <c r="BF262" s="19"/>
      <c r="BG262" s="20"/>
      <c r="BH262" s="20"/>
      <c r="BI262" s="20"/>
      <c r="BJ262" s="20"/>
      <c r="BK262" s="20"/>
      <c r="BL262" s="20"/>
      <c r="BM262" s="20"/>
      <c r="BN262" s="20"/>
      <c r="BO262" s="20"/>
      <c r="BP262" s="20"/>
      <c r="BQ262" s="20"/>
      <c r="BR262" s="20"/>
      <c r="BS262" s="20"/>
      <c r="BT262" s="20"/>
      <c r="BU262" s="20"/>
      <c r="BV262" s="20"/>
      <c r="IP262" s="20"/>
      <c r="IQ262" s="20"/>
      <c r="IR262" s="20"/>
      <c r="IS262" s="20"/>
      <c r="IT262" s="20"/>
      <c r="IU262" s="20"/>
      <c r="IV262" s="20"/>
    </row>
    <row r="263" spans="1:256" s="21" customFormat="1" ht="63.75">
      <c r="A263" s="22"/>
      <c r="B263" s="64">
        <v>241</v>
      </c>
      <c r="C263" s="64" t="s">
        <v>1195</v>
      </c>
      <c r="D263" s="162">
        <v>44792</v>
      </c>
      <c r="E263" s="26">
        <v>18656</v>
      </c>
      <c r="F263" s="26">
        <v>108631</v>
      </c>
      <c r="G263" s="26">
        <v>1188</v>
      </c>
      <c r="H263" s="27"/>
      <c r="I263" s="27"/>
      <c r="J263" s="27">
        <v>212</v>
      </c>
      <c r="K263" s="27">
        <v>15</v>
      </c>
      <c r="L263" s="27" t="s">
        <v>31</v>
      </c>
      <c r="M263" s="27" t="s">
        <v>1196</v>
      </c>
      <c r="N263" s="27" t="s">
        <v>1197</v>
      </c>
      <c r="O263" s="27"/>
      <c r="P263" s="27" t="s">
        <v>1198</v>
      </c>
      <c r="Q263" s="27"/>
      <c r="R263" s="27"/>
      <c r="S263" s="27"/>
      <c r="T263" s="27">
        <v>1</v>
      </c>
      <c r="U263" s="28"/>
      <c r="V263" s="27"/>
      <c r="W263" s="27"/>
      <c r="X263" s="27" t="s">
        <v>65</v>
      </c>
      <c r="Y263" s="29">
        <v>4</v>
      </c>
      <c r="Z263" s="30"/>
      <c r="AA263" s="31">
        <f>+Y263+1</f>
        <v>5</v>
      </c>
      <c r="AB263" s="30"/>
      <c r="AC263" s="31">
        <f>+Y263*2</f>
        <v>8</v>
      </c>
      <c r="AD263" s="30"/>
      <c r="AE263" s="27"/>
      <c r="AF263" s="27"/>
      <c r="AG263" s="27">
        <f>140.5+31.2/2</f>
        <v>156.1</v>
      </c>
      <c r="AH263" s="27"/>
      <c r="AI263" s="28"/>
      <c r="AJ263" s="32"/>
      <c r="AK263" s="33">
        <v>249.96</v>
      </c>
      <c r="AL263" s="33">
        <f>+(140.5+31.21)/AK263</f>
        <v>0.6869499119859177</v>
      </c>
      <c r="AM263" s="33">
        <f>+AG263/AK263</f>
        <v>0.62449991998719789</v>
      </c>
      <c r="AN263" s="33"/>
      <c r="AO263" s="33">
        <f>614400+((7*26491+5*19871+13249*11)/23*AG263)</f>
        <v>3536395.1782608698</v>
      </c>
      <c r="AP263" s="34">
        <v>64770.53</v>
      </c>
      <c r="AQ263" s="33" t="s">
        <v>36</v>
      </c>
      <c r="AR263" s="34" t="s">
        <v>1199</v>
      </c>
      <c r="AS263" s="35">
        <v>44860</v>
      </c>
      <c r="AT263" s="36"/>
      <c r="AU263" s="37">
        <v>44851</v>
      </c>
      <c r="AV263" s="19"/>
      <c r="AW263" s="19"/>
      <c r="AX263" s="19"/>
      <c r="AY263" s="19"/>
      <c r="AZ263" s="19"/>
      <c r="BA263" s="19"/>
      <c r="BB263" s="19"/>
      <c r="BC263" s="19"/>
      <c r="BD263" s="19"/>
      <c r="BE263" s="19"/>
      <c r="BF263" s="19"/>
      <c r="BG263" s="20"/>
      <c r="BH263" s="20"/>
      <c r="BI263" s="20"/>
      <c r="BJ263" s="20"/>
      <c r="BK263" s="20"/>
      <c r="BL263" s="20"/>
      <c r="BM263" s="20"/>
      <c r="BN263" s="20"/>
      <c r="BO263" s="20"/>
      <c r="BP263" s="20"/>
      <c r="BQ263" s="20"/>
      <c r="BR263" s="20"/>
      <c r="BS263" s="20"/>
      <c r="BT263" s="20"/>
      <c r="BU263" s="20"/>
      <c r="BV263" s="20"/>
      <c r="IP263" s="20"/>
      <c r="IQ263" s="20"/>
      <c r="IR263" s="20"/>
      <c r="IS263" s="20"/>
      <c r="IT263" s="20"/>
      <c r="IU263" s="20"/>
      <c r="IV263" s="20"/>
    </row>
    <row r="264" spans="1:256" s="21" customFormat="1" ht="76.5">
      <c r="A264" s="135"/>
      <c r="B264" s="24">
        <v>243</v>
      </c>
      <c r="C264" s="24" t="s">
        <v>1200</v>
      </c>
      <c r="D264" s="25">
        <v>44816</v>
      </c>
      <c r="E264" s="26">
        <v>57729</v>
      </c>
      <c r="F264" s="26">
        <v>166747</v>
      </c>
      <c r="G264" s="26">
        <v>33747</v>
      </c>
      <c r="H264" s="27">
        <v>247</v>
      </c>
      <c r="I264" s="27"/>
      <c r="J264" s="27">
        <v>3</v>
      </c>
      <c r="K264" s="27">
        <v>7</v>
      </c>
      <c r="L264" s="27" t="s">
        <v>240</v>
      </c>
      <c r="M264" s="27" t="s">
        <v>1201</v>
      </c>
      <c r="N264" s="27" t="s">
        <v>1202</v>
      </c>
      <c r="O264" s="27"/>
      <c r="P264" s="27" t="s">
        <v>456</v>
      </c>
      <c r="Q264" s="27"/>
      <c r="R264" s="27"/>
      <c r="S264" s="27"/>
      <c r="T264" s="27">
        <v>1</v>
      </c>
      <c r="U264" s="28">
        <v>1</v>
      </c>
      <c r="V264" s="27"/>
      <c r="W264" s="27"/>
      <c r="X264" s="27" t="s">
        <v>77</v>
      </c>
      <c r="Y264" s="29">
        <v>3</v>
      </c>
      <c r="Z264" s="30">
        <v>3</v>
      </c>
      <c r="AA264" s="31">
        <f>+Y264+1</f>
        <v>4</v>
      </c>
      <c r="AB264" s="30">
        <f>+Z264+1</f>
        <v>4</v>
      </c>
      <c r="AC264" s="31">
        <f>+Y264*2</f>
        <v>6</v>
      </c>
      <c r="AD264" s="30">
        <f>+Z264*2</f>
        <v>6</v>
      </c>
      <c r="AE264" s="27">
        <f>126.46+41.85/2</f>
        <v>147.38499999999999</v>
      </c>
      <c r="AF264" s="27"/>
      <c r="AG264" s="27">
        <f>17.14/2</f>
        <v>8.57</v>
      </c>
      <c r="AH264" s="27"/>
      <c r="AI264" s="28">
        <f>126.64+60.65/2</f>
        <v>156.965</v>
      </c>
      <c r="AJ264" s="32"/>
      <c r="AK264" s="33">
        <v>1314</v>
      </c>
      <c r="AL264" s="33">
        <f>+(126.46+41.85+17.14+126.64+60.65)/AK264</f>
        <v>0.28366818873668187</v>
      </c>
      <c r="AM264" s="33">
        <f>+(AE264+AG264+AI264)/AK264</f>
        <v>0.23814307458143072</v>
      </c>
      <c r="AN264" s="33"/>
      <c r="AO264" s="33">
        <f>+(9*33123+26491*2+9*19871+13249*1)/21*AI264</f>
        <v>4059989.4192857142</v>
      </c>
      <c r="AP264" s="34">
        <v>23835.95</v>
      </c>
      <c r="AQ264" s="33" t="s">
        <v>605</v>
      </c>
      <c r="AR264" s="34" t="s">
        <v>1203</v>
      </c>
      <c r="AS264" s="35">
        <v>44859</v>
      </c>
      <c r="AT264" s="36"/>
      <c r="AU264" s="134">
        <v>44818</v>
      </c>
      <c r="AV264" s="19"/>
      <c r="AW264" s="19"/>
      <c r="AX264" s="19"/>
      <c r="AY264" s="19"/>
      <c r="AZ264" s="19"/>
      <c r="BA264" s="19"/>
      <c r="BB264" s="19"/>
      <c r="BC264" s="19"/>
      <c r="BD264" s="19"/>
      <c r="BE264" s="19"/>
      <c r="BF264" s="19"/>
      <c r="BG264" s="20"/>
      <c r="BH264" s="20"/>
      <c r="BI264" s="20"/>
      <c r="BJ264" s="20"/>
      <c r="BK264" s="20"/>
      <c r="BL264" s="20"/>
      <c r="BM264" s="20"/>
      <c r="BN264" s="20"/>
      <c r="BO264" s="20"/>
      <c r="BP264" s="20"/>
      <c r="BQ264" s="20"/>
      <c r="BR264" s="20"/>
      <c r="BS264" s="20"/>
      <c r="BT264" s="20"/>
      <c r="BU264" s="20"/>
      <c r="BV264" s="20"/>
      <c r="IP264" s="20"/>
      <c r="IQ264" s="20"/>
      <c r="IR264" s="20"/>
      <c r="IS264" s="20"/>
      <c r="IT264" s="20"/>
      <c r="IU264" s="20"/>
      <c r="IV264" s="20"/>
    </row>
    <row r="265" spans="1:256" s="21" customFormat="1" ht="76.5">
      <c r="A265" s="135"/>
      <c r="B265" s="24">
        <v>244</v>
      </c>
      <c r="C265" s="24" t="s">
        <v>1204</v>
      </c>
      <c r="D265" s="25">
        <v>44791</v>
      </c>
      <c r="E265" s="26">
        <v>-45954</v>
      </c>
      <c r="F265" s="26">
        <v>149101</v>
      </c>
      <c r="G265" s="26">
        <v>32265</v>
      </c>
      <c r="H265" s="27">
        <v>73</v>
      </c>
      <c r="I265" s="27"/>
      <c r="J265" s="27">
        <v>0</v>
      </c>
      <c r="K265" s="27">
        <v>5</v>
      </c>
      <c r="L265" s="27" t="s">
        <v>1167</v>
      </c>
      <c r="M265" s="27" t="s">
        <v>241</v>
      </c>
      <c r="N265" s="27" t="s">
        <v>1205</v>
      </c>
      <c r="O265" s="27"/>
      <c r="P265" s="27" t="s">
        <v>1206</v>
      </c>
      <c r="Q265" s="27"/>
      <c r="R265" s="27"/>
      <c r="S265" s="27"/>
      <c r="T265" s="27"/>
      <c r="U265" s="28"/>
      <c r="V265" s="27"/>
      <c r="W265" s="27"/>
      <c r="X265" s="27" t="s">
        <v>404</v>
      </c>
      <c r="Y265" s="29"/>
      <c r="Z265" s="30"/>
      <c r="AA265" s="31"/>
      <c r="AB265" s="30"/>
      <c r="AC265" s="31"/>
      <c r="AD265" s="30"/>
      <c r="AE265" s="27"/>
      <c r="AF265" s="27"/>
      <c r="AG265" s="27">
        <f>405.1+142.67/2+85.96/2+29.92+26.78/2+15.66/2+231.94+65.84/2</f>
        <v>835.41499999999985</v>
      </c>
      <c r="AH265" s="27"/>
      <c r="AI265" s="28"/>
      <c r="AJ265" s="32"/>
      <c r="AK265" s="33">
        <v>5000</v>
      </c>
      <c r="AL265" s="33">
        <v>0.2</v>
      </c>
      <c r="AM265" s="33">
        <f>+AG265/AK265</f>
        <v>0.16708299999999998</v>
      </c>
      <c r="AN265" s="33"/>
      <c r="AO265" s="33">
        <f>+((2*26491+6*19871+13249*12)/20*38.85)+((7*26491+6*19871+6*13249)/20*150.94)+((7*26491+19871*8+13249*9)/20*86.26)</f>
        <v>5542286.307</v>
      </c>
      <c r="AP265" s="34">
        <v>141919.65</v>
      </c>
      <c r="AQ265" s="33" t="s">
        <v>71</v>
      </c>
      <c r="AR265" s="34" t="s">
        <v>1207</v>
      </c>
      <c r="AS265" s="35">
        <v>44861</v>
      </c>
      <c r="AT265" s="36"/>
      <c r="AU265" s="134">
        <v>44858</v>
      </c>
      <c r="AV265" s="19"/>
      <c r="AW265" s="19"/>
      <c r="AX265" s="19"/>
      <c r="AY265" s="19"/>
      <c r="AZ265" s="19"/>
      <c r="BA265" s="19"/>
      <c r="BB265" s="19"/>
      <c r="BC265" s="19"/>
      <c r="BD265" s="19"/>
      <c r="BE265" s="19"/>
      <c r="BF265" s="19"/>
      <c r="BG265" s="20"/>
      <c r="BH265" s="20"/>
      <c r="BI265" s="20"/>
      <c r="BJ265" s="20"/>
      <c r="BK265" s="20"/>
      <c r="BL265" s="20"/>
      <c r="BM265" s="20"/>
      <c r="BN265" s="20"/>
      <c r="BO265" s="20"/>
      <c r="BP265" s="20"/>
      <c r="BQ265" s="20"/>
      <c r="BR265" s="20"/>
      <c r="BS265" s="20"/>
      <c r="BT265" s="20"/>
      <c r="BU265" s="20"/>
      <c r="BV265" s="20"/>
      <c r="IP265" s="20"/>
      <c r="IQ265" s="20"/>
      <c r="IR265" s="20"/>
      <c r="IS265" s="20"/>
      <c r="IT265" s="20"/>
      <c r="IU265" s="20"/>
      <c r="IV265" s="20"/>
    </row>
    <row r="266" spans="1:256" s="21" customFormat="1" ht="76.5">
      <c r="A266" s="135"/>
      <c r="B266" s="24">
        <v>246</v>
      </c>
      <c r="C266" s="24">
        <v>544895</v>
      </c>
      <c r="D266" s="25">
        <v>44799</v>
      </c>
      <c r="E266" s="26">
        <v>41587</v>
      </c>
      <c r="F266" s="26">
        <v>139873</v>
      </c>
      <c r="G266" s="26">
        <v>31784</v>
      </c>
      <c r="H266" s="27">
        <v>3</v>
      </c>
      <c r="I266" s="27"/>
      <c r="J266" s="27">
        <v>6</v>
      </c>
      <c r="K266" s="27">
        <v>7</v>
      </c>
      <c r="L266" s="27" t="s">
        <v>278</v>
      </c>
      <c r="M266" s="27" t="s">
        <v>270</v>
      </c>
      <c r="N266" s="27" t="s">
        <v>1208</v>
      </c>
      <c r="O266" s="27"/>
      <c r="P266" s="27" t="s">
        <v>317</v>
      </c>
      <c r="Q266" s="27" t="s">
        <v>317</v>
      </c>
      <c r="R266" s="27" t="s">
        <v>317</v>
      </c>
      <c r="S266" s="27" t="s">
        <v>100</v>
      </c>
      <c r="T266" s="27"/>
      <c r="U266" s="28">
        <v>1</v>
      </c>
      <c r="V266" s="27"/>
      <c r="W266" s="27"/>
      <c r="X266" s="27" t="s">
        <v>65</v>
      </c>
      <c r="Y266" s="29"/>
      <c r="Z266" s="30">
        <v>2</v>
      </c>
      <c r="AA266" s="31"/>
      <c r="AB266" s="30">
        <f>+Z266+1</f>
        <v>3</v>
      </c>
      <c r="AC266" s="31"/>
      <c r="AD266" s="30">
        <f>+Z266*2</f>
        <v>4</v>
      </c>
      <c r="AE266" s="27"/>
      <c r="AF266" s="27"/>
      <c r="AG266" s="27"/>
      <c r="AH266" s="27"/>
      <c r="AI266" s="28">
        <f>93.6+45.4/2</f>
        <v>116.3</v>
      </c>
      <c r="AJ266" s="32"/>
      <c r="AK266" s="33">
        <v>803.89</v>
      </c>
      <c r="AL266" s="33">
        <f>+(93.6+45.4)/AK266</f>
        <v>0.17290922887459728</v>
      </c>
      <c r="AM266" s="33">
        <f>+AI266/AK266</f>
        <v>0.14467153466270261</v>
      </c>
      <c r="AN266" s="33"/>
      <c r="AO266" s="33">
        <f>+(11*33123+26491*5+19871*4+13249*1)/21*AI266</f>
        <v>3264934.2047619047</v>
      </c>
      <c r="AP266" s="34">
        <v>13479.28</v>
      </c>
      <c r="AQ266" s="33" t="s">
        <v>71</v>
      </c>
      <c r="AR266" s="34" t="s">
        <v>1209</v>
      </c>
      <c r="AS266" s="35">
        <v>44861</v>
      </c>
      <c r="AT266" s="36"/>
      <c r="AU266" s="134" t="s">
        <v>1210</v>
      </c>
      <c r="AV266" s="19"/>
      <c r="AW266" s="19"/>
      <c r="AX266" s="19"/>
      <c r="AY266" s="19"/>
      <c r="AZ266" s="19"/>
      <c r="BA266" s="19"/>
      <c r="BB266" s="19"/>
      <c r="BC266" s="19"/>
      <c r="BD266" s="19"/>
      <c r="BE266" s="19"/>
      <c r="BF266" s="19"/>
      <c r="BG266" s="20"/>
      <c r="BH266" s="20"/>
      <c r="BI266" s="20"/>
      <c r="BJ266" s="20"/>
      <c r="BK266" s="20"/>
      <c r="BL266" s="20"/>
      <c r="BM266" s="20"/>
      <c r="BN266" s="20"/>
      <c r="BO266" s="20"/>
      <c r="BP266" s="20"/>
      <c r="BQ266" s="20"/>
      <c r="BR266" s="20"/>
      <c r="BS266" s="20"/>
      <c r="BT266" s="20"/>
      <c r="BU266" s="20"/>
      <c r="BV266" s="20"/>
      <c r="IP266" s="20"/>
      <c r="IQ266" s="20"/>
      <c r="IR266" s="20"/>
      <c r="IS266" s="20"/>
      <c r="IT266" s="20"/>
      <c r="IU266" s="20"/>
      <c r="IV266" s="20"/>
    </row>
    <row r="267" spans="1:256" s="21" customFormat="1" ht="76.5">
      <c r="A267" s="135"/>
      <c r="B267" s="24">
        <v>245</v>
      </c>
      <c r="C267" s="24">
        <v>544896</v>
      </c>
      <c r="D267" s="25">
        <v>44799</v>
      </c>
      <c r="E267" s="26">
        <v>43237</v>
      </c>
      <c r="F267" s="26">
        <v>141157</v>
      </c>
      <c r="G267" s="26">
        <v>2006</v>
      </c>
      <c r="H267" s="27">
        <v>3</v>
      </c>
      <c r="I267" s="27"/>
      <c r="J267" s="27">
        <v>6</v>
      </c>
      <c r="K267" s="27">
        <v>9</v>
      </c>
      <c r="L267" s="27" t="s">
        <v>278</v>
      </c>
      <c r="M267" s="27" t="s">
        <v>270</v>
      </c>
      <c r="N267" s="27" t="s">
        <v>1208</v>
      </c>
      <c r="O267" s="27"/>
      <c r="P267" s="27" t="s">
        <v>317</v>
      </c>
      <c r="Q267" s="27" t="s">
        <v>317</v>
      </c>
      <c r="R267" s="27" t="s">
        <v>317</v>
      </c>
      <c r="S267" s="27" t="s">
        <v>100</v>
      </c>
      <c r="T267" s="27"/>
      <c r="U267" s="28">
        <v>1</v>
      </c>
      <c r="V267" s="27"/>
      <c r="W267" s="27"/>
      <c r="X267" s="27" t="s">
        <v>65</v>
      </c>
      <c r="Y267" s="29"/>
      <c r="Z267" s="30">
        <v>2</v>
      </c>
      <c r="AA267" s="31"/>
      <c r="AB267" s="30">
        <f>+Z267+1</f>
        <v>3</v>
      </c>
      <c r="AC267" s="31"/>
      <c r="AD267" s="30">
        <f>+Z267*2</f>
        <v>4</v>
      </c>
      <c r="AE267" s="27"/>
      <c r="AF267" s="27"/>
      <c r="AG267" s="27"/>
      <c r="AH267" s="27"/>
      <c r="AI267" s="28">
        <f>94+38.38/2</f>
        <v>113.19</v>
      </c>
      <c r="AJ267" s="32"/>
      <c r="AK267" s="33">
        <v>801.62</v>
      </c>
      <c r="AL267" s="33">
        <f>+(94+38.38)/AK267</f>
        <v>0.1651405903046331</v>
      </c>
      <c r="AM267" s="33">
        <f>+AI267/AK267</f>
        <v>0.14120156682717497</v>
      </c>
      <c r="AN267" s="33"/>
      <c r="AO267" s="33">
        <f>+(11*33123+26491*5+19871*4+13249*1)/21*AI267</f>
        <v>3177625.99</v>
      </c>
      <c r="AP267" s="34">
        <v>13125.16</v>
      </c>
      <c r="AQ267" s="33" t="s">
        <v>71</v>
      </c>
      <c r="AR267" s="34" t="s">
        <v>1209</v>
      </c>
      <c r="AS267" s="35">
        <v>44861</v>
      </c>
      <c r="AT267" s="36"/>
      <c r="AU267" s="134" t="s">
        <v>1210</v>
      </c>
      <c r="AV267" s="19"/>
      <c r="AW267" s="19"/>
      <c r="AX267" s="19"/>
      <c r="AY267" s="19"/>
      <c r="AZ267" s="19"/>
      <c r="BA267" s="19"/>
      <c r="BB267" s="19"/>
      <c r="BC267" s="19"/>
      <c r="BD267" s="19"/>
      <c r="BE267" s="19"/>
      <c r="BF267" s="19"/>
      <c r="BG267" s="20"/>
      <c r="BH267" s="20"/>
      <c r="BI267" s="20"/>
      <c r="BJ267" s="20"/>
      <c r="BK267" s="20"/>
      <c r="BL267" s="20"/>
      <c r="BM267" s="20"/>
      <c r="BN267" s="20"/>
      <c r="BO267" s="20"/>
      <c r="BP267" s="20"/>
      <c r="BQ267" s="20"/>
      <c r="BR267" s="20"/>
      <c r="BS267" s="20"/>
      <c r="BT267" s="20"/>
      <c r="BU267" s="20"/>
      <c r="BV267" s="20"/>
      <c r="IP267" s="20"/>
      <c r="IQ267" s="20"/>
      <c r="IR267" s="20"/>
      <c r="IS267" s="20"/>
      <c r="IT267" s="20"/>
      <c r="IU267" s="20"/>
      <c r="IV267" s="20"/>
    </row>
    <row r="268" spans="1:256" s="21" customFormat="1" ht="76.5">
      <c r="A268" s="135"/>
      <c r="B268" s="24">
        <v>248</v>
      </c>
      <c r="C268" s="24" t="s">
        <v>1211</v>
      </c>
      <c r="D268" s="25">
        <v>44733</v>
      </c>
      <c r="E268" s="26">
        <v>-40202</v>
      </c>
      <c r="F268" s="26">
        <v>138752</v>
      </c>
      <c r="G268" s="26">
        <v>31670</v>
      </c>
      <c r="H268" s="27">
        <v>268</v>
      </c>
      <c r="I268" s="27"/>
      <c r="J268" s="27">
        <v>1</v>
      </c>
      <c r="K268" s="27">
        <v>9</v>
      </c>
      <c r="L268" s="27" t="s">
        <v>240</v>
      </c>
      <c r="M268" s="27" t="s">
        <v>241</v>
      </c>
      <c r="N268" s="27" t="s">
        <v>1212</v>
      </c>
      <c r="O268" s="27"/>
      <c r="P268" s="27" t="s">
        <v>1213</v>
      </c>
      <c r="Q268" s="27"/>
      <c r="R268" s="27"/>
      <c r="S268" s="27"/>
      <c r="T268" s="27">
        <v>7</v>
      </c>
      <c r="U268" s="28"/>
      <c r="V268" s="27"/>
      <c r="W268" s="27"/>
      <c r="X268" s="27" t="s">
        <v>77</v>
      </c>
      <c r="Y268" s="29">
        <f>2+2+1+1+1</f>
        <v>7</v>
      </c>
      <c r="Z268" s="30">
        <f>1+1</f>
        <v>2</v>
      </c>
      <c r="AA268" s="31">
        <f>+Y268+1+1+1+1+1</f>
        <v>12</v>
      </c>
      <c r="AB268" s="30">
        <f>1+1+1</f>
        <v>3</v>
      </c>
      <c r="AC268" s="31">
        <f t="shared" ref="AC268" si="7">+Y268*2</f>
        <v>14</v>
      </c>
      <c r="AD268" s="30">
        <f>+Z268*2</f>
        <v>4</v>
      </c>
      <c r="AE268" s="27">
        <f>338.05+111.6/2</f>
        <v>393.85</v>
      </c>
      <c r="AF268" s="27"/>
      <c r="AG268" s="27">
        <f>123.65+39.54/2</f>
        <v>143.42000000000002</v>
      </c>
      <c r="AH268" s="27"/>
      <c r="AI268" s="28"/>
      <c r="AJ268" s="32"/>
      <c r="AK268" s="33">
        <v>4774.28</v>
      </c>
      <c r="AL268" s="33">
        <v>0.12</v>
      </c>
      <c r="AM268" s="33">
        <f>+(AE268+AG268)/AK268</f>
        <v>0.11253424600149133</v>
      </c>
      <c r="AN268" s="33"/>
      <c r="AO268" s="33">
        <f>+(4*33123+23491*9+13871*4+5*13249)/22*AG268</f>
        <v>3035549.4909090912</v>
      </c>
      <c r="AP268" s="34">
        <v>55270.09</v>
      </c>
      <c r="AQ268" s="33" t="s">
        <v>71</v>
      </c>
      <c r="AR268" s="34" t="s">
        <v>1214</v>
      </c>
      <c r="AS268" s="35">
        <v>44865</v>
      </c>
      <c r="AT268" s="36"/>
      <c r="AU268" s="134">
        <v>44855</v>
      </c>
      <c r="AV268" s="19"/>
      <c r="AW268" s="19"/>
      <c r="AX268" s="19"/>
      <c r="AY268" s="19"/>
      <c r="AZ268" s="19"/>
      <c r="BA268" s="19"/>
      <c r="BB268" s="19"/>
      <c r="BC268" s="19"/>
      <c r="BD268" s="19"/>
      <c r="BE268" s="19"/>
      <c r="BF268" s="19"/>
      <c r="BG268" s="20"/>
      <c r="BH268" s="20"/>
      <c r="BI268" s="20"/>
      <c r="BJ268" s="20"/>
      <c r="BK268" s="20"/>
      <c r="BL268" s="20"/>
      <c r="BM268" s="20"/>
      <c r="BN268" s="20"/>
      <c r="BO268" s="20"/>
      <c r="BP268" s="20"/>
      <c r="BQ268" s="20"/>
      <c r="BR268" s="20"/>
      <c r="BS268" s="20"/>
      <c r="BT268" s="20"/>
      <c r="BU268" s="20"/>
      <c r="BV268" s="20"/>
      <c r="IP268" s="20"/>
      <c r="IQ268" s="20"/>
      <c r="IR268" s="20"/>
      <c r="IS268" s="20"/>
      <c r="IT268" s="20"/>
      <c r="IU268" s="20"/>
      <c r="IV268" s="20"/>
    </row>
    <row r="269" spans="1:256" s="21" customFormat="1" ht="38.25">
      <c r="A269" s="22"/>
      <c r="B269" s="23">
        <v>249</v>
      </c>
      <c r="C269" s="24" t="s">
        <v>1215</v>
      </c>
      <c r="D269" s="25">
        <v>44803</v>
      </c>
      <c r="E269" s="26">
        <v>38232</v>
      </c>
      <c r="F269" s="26">
        <v>137240</v>
      </c>
      <c r="G269" s="26">
        <v>31482</v>
      </c>
      <c r="H269" s="27">
        <v>266</v>
      </c>
      <c r="I269" s="27"/>
      <c r="J269" s="27"/>
      <c r="K269" s="27">
        <v>7</v>
      </c>
      <c r="L269" s="27" t="s">
        <v>240</v>
      </c>
      <c r="M269" s="27" t="s">
        <v>241</v>
      </c>
      <c r="N269" s="27" t="s">
        <v>1216</v>
      </c>
      <c r="O269" s="27"/>
      <c r="P269" s="27" t="s">
        <v>285</v>
      </c>
      <c r="Q269" s="27" t="s">
        <v>285</v>
      </c>
      <c r="R269" s="27" t="s">
        <v>285</v>
      </c>
      <c r="S269" s="27" t="s">
        <v>100</v>
      </c>
      <c r="T269" s="27"/>
      <c r="U269" s="28"/>
      <c r="V269" s="27"/>
      <c r="W269" s="27"/>
      <c r="X269" s="27"/>
      <c r="Y269" s="29"/>
      <c r="Z269" s="30"/>
      <c r="AA269" s="31"/>
      <c r="AB269" s="30"/>
      <c r="AC269" s="31"/>
      <c r="AD269" s="30"/>
      <c r="AE269" s="27">
        <f>442.35+57.8/2</f>
        <v>471.25</v>
      </c>
      <c r="AF269" s="27"/>
      <c r="AG269" s="27"/>
      <c r="AH269" s="27"/>
      <c r="AI269" s="28">
        <f>14.6+37.81/2</f>
        <v>33.505000000000003</v>
      </c>
      <c r="AJ269" s="32"/>
      <c r="AK269" s="33">
        <v>20000</v>
      </c>
      <c r="AL269" s="33">
        <v>0.03</v>
      </c>
      <c r="AM269" s="33">
        <v>0.03</v>
      </c>
      <c r="AN269" s="33">
        <f>+(32+6)/(8+1)</f>
        <v>4.2222222222222223</v>
      </c>
      <c r="AO269" s="33">
        <f>432000+((2*33123+26491*2+5*19871+13249*12)/21*AI269)</f>
        <v>1034405.5407142857</v>
      </c>
      <c r="AP269" s="34">
        <v>5904.99</v>
      </c>
      <c r="AQ269" s="33" t="s">
        <v>71</v>
      </c>
      <c r="AR269" s="34" t="s">
        <v>1217</v>
      </c>
      <c r="AS269" s="35">
        <v>44865</v>
      </c>
      <c r="AT269" s="36"/>
      <c r="AU269" s="37">
        <v>44862</v>
      </c>
      <c r="AV269" s="19"/>
      <c r="AW269" s="19"/>
      <c r="AX269" s="19"/>
      <c r="AY269" s="19"/>
      <c r="AZ269" s="19"/>
      <c r="BA269" s="19"/>
      <c r="BB269" s="19"/>
      <c r="BC269" s="19"/>
      <c r="BD269" s="19"/>
      <c r="BE269" s="19"/>
      <c r="BF269" s="19"/>
      <c r="BG269" s="20"/>
      <c r="BH269" s="20"/>
      <c r="BI269" s="20"/>
      <c r="BJ269" s="20"/>
      <c r="BK269" s="20"/>
      <c r="BL269" s="20"/>
      <c r="BM269" s="20"/>
      <c r="BN269" s="20"/>
      <c r="BO269" s="20"/>
      <c r="BP269" s="20"/>
      <c r="BQ269" s="20"/>
      <c r="BR269" s="20"/>
      <c r="BS269" s="20"/>
      <c r="BT269" s="20"/>
      <c r="BU269" s="20"/>
      <c r="BV269" s="20"/>
      <c r="IP269" s="20"/>
      <c r="IQ269" s="20"/>
      <c r="IR269" s="20"/>
      <c r="IS269" s="20"/>
      <c r="IT269" s="20"/>
      <c r="IU269" s="20"/>
      <c r="IV269" s="20"/>
    </row>
    <row r="270" spans="1:256" s="21" customFormat="1" ht="51">
      <c r="A270" s="44"/>
      <c r="B270" s="64">
        <v>250</v>
      </c>
      <c r="C270" s="64">
        <v>542113</v>
      </c>
      <c r="D270" s="154">
        <v>44685</v>
      </c>
      <c r="E270" s="26">
        <v>31383</v>
      </c>
      <c r="F270" s="26">
        <v>1085</v>
      </c>
      <c r="G270" s="26">
        <v>5511</v>
      </c>
      <c r="H270" s="27"/>
      <c r="I270" s="27"/>
      <c r="J270" s="27">
        <v>48</v>
      </c>
      <c r="K270" s="27">
        <v>1</v>
      </c>
      <c r="L270" s="27" t="s">
        <v>38</v>
      </c>
      <c r="M270" s="27" t="s">
        <v>834</v>
      </c>
      <c r="N270" s="27" t="s">
        <v>835</v>
      </c>
      <c r="O270" s="27"/>
      <c r="P270" s="27" t="s">
        <v>1218</v>
      </c>
      <c r="Q270" s="27" t="s">
        <v>1218</v>
      </c>
      <c r="R270" s="27" t="s">
        <v>1218</v>
      </c>
      <c r="S270" s="27" t="s">
        <v>538</v>
      </c>
      <c r="T270" s="27">
        <v>1</v>
      </c>
      <c r="U270" s="27">
        <v>1</v>
      </c>
      <c r="V270" s="27"/>
      <c r="W270" s="27"/>
      <c r="X270" s="27" t="s">
        <v>1219</v>
      </c>
      <c r="Y270" s="29"/>
      <c r="Z270" s="29"/>
      <c r="AA270" s="29"/>
      <c r="AB270" s="29"/>
      <c r="AC270" s="29"/>
      <c r="AD270" s="29"/>
      <c r="AE270" s="27"/>
      <c r="AF270" s="27"/>
      <c r="AG270" s="27"/>
      <c r="AH270" s="27"/>
      <c r="AI270" s="27">
        <f>910.03+107.31/2</f>
        <v>963.68499999999995</v>
      </c>
      <c r="AJ270" s="33"/>
      <c r="AK270" s="33">
        <v>1212.4000000000001</v>
      </c>
      <c r="AL270" s="33"/>
      <c r="AM270" s="33"/>
      <c r="AN270" s="33"/>
      <c r="AO270" s="33"/>
      <c r="AP270" s="34">
        <v>13708</v>
      </c>
      <c r="AQ270" s="33" t="s">
        <v>71</v>
      </c>
      <c r="AR270" s="34" t="s">
        <v>1220</v>
      </c>
      <c r="AS270" s="35">
        <v>44769</v>
      </c>
      <c r="AT270" s="36"/>
      <c r="AU270" s="67"/>
      <c r="AV270" s="19"/>
      <c r="AW270" s="19"/>
      <c r="AX270" s="19"/>
      <c r="AY270" s="19"/>
      <c r="AZ270" s="19"/>
      <c r="BA270" s="19"/>
      <c r="BB270" s="19"/>
      <c r="BC270" s="19"/>
      <c r="BD270" s="19"/>
      <c r="BE270" s="19"/>
      <c r="BF270" s="19"/>
      <c r="BG270" s="20"/>
      <c r="BH270" s="20"/>
      <c r="BI270" s="20"/>
      <c r="BJ270" s="20"/>
      <c r="BK270" s="20"/>
      <c r="BL270" s="20"/>
      <c r="BM270" s="20"/>
      <c r="BN270" s="20"/>
      <c r="BO270" s="20"/>
      <c r="BP270" s="20"/>
      <c r="BQ270" s="20"/>
      <c r="BR270" s="20"/>
      <c r="BS270" s="20"/>
      <c r="BT270" s="20"/>
      <c r="BU270" s="20"/>
      <c r="BV270" s="20"/>
      <c r="IP270" s="20"/>
      <c r="IQ270" s="20"/>
      <c r="IR270" s="20"/>
      <c r="IS270" s="20"/>
      <c r="IT270" s="20"/>
      <c r="IU270" s="20"/>
      <c r="IV270" s="20"/>
    </row>
    <row r="271" spans="1:256" s="21" customFormat="1" ht="38.25">
      <c r="A271" s="135"/>
      <c r="B271" s="24">
        <v>251</v>
      </c>
      <c r="C271" s="24" t="s">
        <v>1221</v>
      </c>
      <c r="D271" s="25">
        <v>44845</v>
      </c>
      <c r="E271" s="26">
        <v>60934</v>
      </c>
      <c r="F271" s="26">
        <v>168880</v>
      </c>
      <c r="G271" s="26">
        <v>10563</v>
      </c>
      <c r="H271" s="27"/>
      <c r="I271" s="27"/>
      <c r="J271" s="27">
        <v>26</v>
      </c>
      <c r="K271" s="27">
        <v>24</v>
      </c>
      <c r="L271" s="27" t="s">
        <v>46</v>
      </c>
      <c r="M271" s="27" t="s">
        <v>1222</v>
      </c>
      <c r="N271" s="27" t="s">
        <v>1223</v>
      </c>
      <c r="O271" s="27"/>
      <c r="P271" s="27" t="s">
        <v>1224</v>
      </c>
      <c r="Q271" s="27" t="s">
        <v>1224</v>
      </c>
      <c r="R271" s="27" t="s">
        <v>1224</v>
      </c>
      <c r="S271" s="27" t="s">
        <v>1170</v>
      </c>
      <c r="T271" s="27"/>
      <c r="U271" s="28">
        <v>1</v>
      </c>
      <c r="V271" s="27"/>
      <c r="W271" s="27"/>
      <c r="X271" s="27" t="s">
        <v>65</v>
      </c>
      <c r="Y271" s="29"/>
      <c r="Z271" s="30">
        <v>1</v>
      </c>
      <c r="AA271" s="31"/>
      <c r="AB271" s="30">
        <f>+Z271+1</f>
        <v>2</v>
      </c>
      <c r="AC271" s="31"/>
      <c r="AD271" s="30">
        <f>+Z271*2</f>
        <v>2</v>
      </c>
      <c r="AE271" s="27"/>
      <c r="AF271" s="27"/>
      <c r="AG271" s="27"/>
      <c r="AH271" s="27"/>
      <c r="AI271" s="28">
        <f>58.57+2.8/2</f>
        <v>59.97</v>
      </c>
      <c r="AJ271" s="32"/>
      <c r="AK271" s="33">
        <v>300</v>
      </c>
      <c r="AL271" s="33">
        <f>+(58.57+2.8)/AK271</f>
        <v>0.20456666666666665</v>
      </c>
      <c r="AM271" s="33">
        <f>+AI271/AK271</f>
        <v>0.19989999999999999</v>
      </c>
      <c r="AN271" s="33"/>
      <c r="AO271" s="33">
        <f>+(2*33123+8*26491+8*19871+2*13249)/20*AI271</f>
        <v>1390224.54</v>
      </c>
      <c r="AP271" s="34">
        <v>7239.94</v>
      </c>
      <c r="AQ271" s="33" t="s">
        <v>71</v>
      </c>
      <c r="AR271" s="34" t="s">
        <v>1225</v>
      </c>
      <c r="AS271" s="35">
        <v>44866</v>
      </c>
      <c r="AT271" s="36"/>
      <c r="AU271" s="134">
        <v>44865</v>
      </c>
      <c r="AV271" s="19"/>
      <c r="AW271" s="19"/>
      <c r="AX271" s="19"/>
      <c r="AY271" s="19"/>
      <c r="AZ271" s="19"/>
      <c r="BA271" s="19"/>
      <c r="BB271" s="19"/>
      <c r="BC271" s="19"/>
      <c r="BD271" s="19"/>
      <c r="BE271" s="19"/>
      <c r="BF271" s="19"/>
      <c r="BG271" s="20"/>
      <c r="BH271" s="20"/>
      <c r="BI271" s="20"/>
      <c r="BJ271" s="20"/>
      <c r="BK271" s="20"/>
      <c r="BL271" s="20"/>
      <c r="BM271" s="20"/>
      <c r="BN271" s="20"/>
      <c r="BO271" s="20"/>
      <c r="BP271" s="20"/>
      <c r="BQ271" s="20"/>
      <c r="BR271" s="20"/>
      <c r="BS271" s="20"/>
      <c r="BT271" s="20"/>
      <c r="BU271" s="20"/>
      <c r="BV271" s="20"/>
      <c r="IP271" s="20"/>
      <c r="IQ271" s="20"/>
      <c r="IR271" s="20"/>
      <c r="IS271" s="20"/>
      <c r="IT271" s="20"/>
      <c r="IU271" s="20"/>
      <c r="IV271" s="20"/>
    </row>
    <row r="272" spans="1:256" s="21" customFormat="1" ht="51">
      <c r="A272" s="135"/>
      <c r="B272" s="24">
        <v>253</v>
      </c>
      <c r="C272" s="24" t="s">
        <v>1226</v>
      </c>
      <c r="D272" s="25">
        <v>44861</v>
      </c>
      <c r="E272" s="26">
        <v>42595</v>
      </c>
      <c r="F272" s="26">
        <v>140758</v>
      </c>
      <c r="G272" s="26">
        <v>20648</v>
      </c>
      <c r="H272" s="27">
        <v>17</v>
      </c>
      <c r="I272" s="27"/>
      <c r="J272" s="27">
        <v>293</v>
      </c>
      <c r="K272" s="27">
        <v>8</v>
      </c>
      <c r="L272" s="27" t="s">
        <v>74</v>
      </c>
      <c r="M272" s="27" t="s">
        <v>1227</v>
      </c>
      <c r="N272" s="27" t="s">
        <v>1228</v>
      </c>
      <c r="O272" s="27"/>
      <c r="P272" s="27" t="s">
        <v>218</v>
      </c>
      <c r="Q272" s="27" t="s">
        <v>218</v>
      </c>
      <c r="R272" s="27" t="s">
        <v>218</v>
      </c>
      <c r="S272" s="27" t="s">
        <v>1229</v>
      </c>
      <c r="T272" s="27"/>
      <c r="U272" s="28">
        <v>1</v>
      </c>
      <c r="V272" s="27"/>
      <c r="W272" s="27"/>
      <c r="X272" s="27" t="s">
        <v>65</v>
      </c>
      <c r="Y272" s="29"/>
      <c r="Z272" s="30">
        <v>2</v>
      </c>
      <c r="AA272" s="31"/>
      <c r="AB272" s="30">
        <f>+Z272+1</f>
        <v>3</v>
      </c>
      <c r="AC272" s="31"/>
      <c r="AD272" s="30">
        <f>+Z272*2</f>
        <v>4</v>
      </c>
      <c r="AE272" s="27"/>
      <c r="AF272" s="27"/>
      <c r="AG272" s="27">
        <v>40.128</v>
      </c>
      <c r="AH272" s="27"/>
      <c r="AI272" s="28">
        <v>61.73</v>
      </c>
      <c r="AJ272" s="32"/>
      <c r="AK272" s="33">
        <v>316.5</v>
      </c>
      <c r="AL272" s="33">
        <f>+(AG272+AI272)/AK272</f>
        <v>0.32182622432859403</v>
      </c>
      <c r="AM272" s="33">
        <f>+AL272</f>
        <v>0.32182622432859403</v>
      </c>
      <c r="AN272" s="33"/>
      <c r="AO272" s="33">
        <f>+(2*33123+2*26491+19871*5+9*13249)/20*(AI272+AG272)</f>
        <v>1720503.8496000001</v>
      </c>
      <c r="AP272" s="34">
        <v>16881.740000000002</v>
      </c>
      <c r="AQ272" s="33" t="s">
        <v>71</v>
      </c>
      <c r="AR272" s="34" t="s">
        <v>1230</v>
      </c>
      <c r="AS272" s="35">
        <v>44873</v>
      </c>
      <c r="AT272" s="36"/>
      <c r="AU272" s="134">
        <v>44866</v>
      </c>
      <c r="AV272" s="19"/>
      <c r="AW272" s="19"/>
      <c r="AX272" s="19"/>
      <c r="AY272" s="19"/>
      <c r="AZ272" s="19"/>
      <c r="BA272" s="19"/>
      <c r="BB272" s="19"/>
      <c r="BC272" s="19"/>
      <c r="BD272" s="19"/>
      <c r="BE272" s="19"/>
      <c r="BF272" s="19"/>
      <c r="BG272" s="20"/>
      <c r="BH272" s="20"/>
      <c r="BI272" s="20"/>
      <c r="BJ272" s="20"/>
      <c r="BK272" s="20"/>
      <c r="BL272" s="20"/>
      <c r="BM272" s="20"/>
      <c r="BN272" s="20"/>
      <c r="BO272" s="20"/>
      <c r="BP272" s="20"/>
      <c r="BQ272" s="20"/>
      <c r="BR272" s="20"/>
      <c r="BS272" s="20"/>
      <c r="BT272" s="20"/>
      <c r="BU272" s="20"/>
      <c r="BV272" s="20"/>
      <c r="IP272" s="20"/>
      <c r="IQ272" s="20"/>
      <c r="IR272" s="20"/>
      <c r="IS272" s="20"/>
      <c r="IT272" s="20"/>
      <c r="IU272" s="20"/>
      <c r="IV272" s="20"/>
    </row>
    <row r="273" spans="1:256" s="21" customFormat="1" ht="76.5">
      <c r="A273" s="135"/>
      <c r="B273" s="24">
        <v>252</v>
      </c>
      <c r="C273" s="24" t="s">
        <v>1231</v>
      </c>
      <c r="D273" s="25">
        <v>44783</v>
      </c>
      <c r="E273" s="26">
        <v>6133</v>
      </c>
      <c r="F273" s="26">
        <v>268</v>
      </c>
      <c r="G273" s="26">
        <v>1257</v>
      </c>
      <c r="H273" s="27"/>
      <c r="I273" s="27"/>
      <c r="J273" s="27">
        <v>167</v>
      </c>
      <c r="K273" s="27">
        <v>8</v>
      </c>
      <c r="L273" s="27" t="s">
        <v>88</v>
      </c>
      <c r="M273" s="27" t="s">
        <v>1232</v>
      </c>
      <c r="N273" s="27" t="s">
        <v>1233</v>
      </c>
      <c r="O273" s="27"/>
      <c r="P273" s="27" t="s">
        <v>132</v>
      </c>
      <c r="Q273" s="27" t="s">
        <v>132</v>
      </c>
      <c r="R273" s="27" t="s">
        <v>132</v>
      </c>
      <c r="S273" s="27" t="s">
        <v>378</v>
      </c>
      <c r="T273" s="27"/>
      <c r="U273" s="28">
        <v>3</v>
      </c>
      <c r="V273" s="27"/>
      <c r="W273" s="27"/>
      <c r="X273" s="27" t="s">
        <v>77</v>
      </c>
      <c r="Y273" s="29"/>
      <c r="Z273" s="30">
        <f>2+4+4</f>
        <v>10</v>
      </c>
      <c r="AA273" s="31"/>
      <c r="AB273" s="30">
        <f>1+1+1</f>
        <v>3</v>
      </c>
      <c r="AC273" s="31"/>
      <c r="AD273" s="30">
        <f>+Z273*2</f>
        <v>20</v>
      </c>
      <c r="AE273" s="27"/>
      <c r="AF273" s="27"/>
      <c r="AG273" s="27"/>
      <c r="AH273" s="27"/>
      <c r="AI273" s="28">
        <f>207.27+48/2+24.1/2+2.3+140.73</f>
        <v>386.35</v>
      </c>
      <c r="AJ273" s="32"/>
      <c r="AK273" s="33">
        <v>592</v>
      </c>
      <c r="AL273" s="33">
        <f>+(24.1+2.3+48+207.27)/AK273</f>
        <v>0.47579391891891892</v>
      </c>
      <c r="AM273" s="33">
        <f>+AI273/AK273</f>
        <v>0.65261824324324325</v>
      </c>
      <c r="AN273" s="33"/>
      <c r="AO273" s="33">
        <f>65000+((33123*5+9*26491+19871*5+1*13249)/20*AI273)</f>
        <v>10045154.565000001</v>
      </c>
      <c r="AP273" s="34">
        <v>184534.27</v>
      </c>
      <c r="AQ273" s="33" t="s">
        <v>71</v>
      </c>
      <c r="AR273" s="34" t="s">
        <v>1234</v>
      </c>
      <c r="AS273" s="35">
        <v>44874</v>
      </c>
      <c r="AT273" s="35">
        <v>45790</v>
      </c>
      <c r="AU273" s="134">
        <v>44866</v>
      </c>
      <c r="AV273" s="19"/>
      <c r="AW273" s="19"/>
      <c r="AX273" s="19"/>
      <c r="AY273" s="19"/>
      <c r="AZ273" s="19"/>
      <c r="BA273" s="19"/>
      <c r="BB273" s="19"/>
      <c r="BC273" s="19"/>
      <c r="BD273" s="19"/>
      <c r="BE273" s="19"/>
      <c r="BF273" s="19"/>
      <c r="BG273" s="20"/>
      <c r="BH273" s="20"/>
      <c r="BI273" s="20"/>
      <c r="BJ273" s="20"/>
      <c r="BK273" s="20"/>
      <c r="BL273" s="20"/>
      <c r="BM273" s="20"/>
      <c r="BN273" s="20"/>
      <c r="BO273" s="20"/>
      <c r="BP273" s="20"/>
      <c r="BQ273" s="20"/>
      <c r="BR273" s="20"/>
      <c r="BS273" s="20"/>
      <c r="BT273" s="20"/>
      <c r="BU273" s="20"/>
      <c r="BV273" s="20"/>
      <c r="IP273" s="20"/>
      <c r="IQ273" s="20"/>
      <c r="IR273" s="20"/>
      <c r="IS273" s="20"/>
      <c r="IT273" s="20"/>
      <c r="IU273" s="20"/>
      <c r="IV273" s="20"/>
    </row>
    <row r="274" spans="1:256" s="21" customFormat="1" ht="63.75">
      <c r="A274" s="135"/>
      <c r="B274" s="24">
        <v>254</v>
      </c>
      <c r="C274" s="24">
        <v>547378</v>
      </c>
      <c r="D274" s="25">
        <v>44868</v>
      </c>
      <c r="E274" s="26">
        <v>5959</v>
      </c>
      <c r="F274" s="26">
        <v>1917</v>
      </c>
      <c r="G274" s="26">
        <v>2360</v>
      </c>
      <c r="H274" s="27"/>
      <c r="I274" s="27"/>
      <c r="J274" s="27">
        <v>40</v>
      </c>
      <c r="K274" s="27">
        <v>2</v>
      </c>
      <c r="L274" s="27" t="s">
        <v>46</v>
      </c>
      <c r="M274" s="27" t="s">
        <v>1235</v>
      </c>
      <c r="N274" s="27" t="s">
        <v>1236</v>
      </c>
      <c r="O274" s="27"/>
      <c r="P274" s="27" t="s">
        <v>590</v>
      </c>
      <c r="Q274" s="27"/>
      <c r="R274" s="27"/>
      <c r="S274" s="27"/>
      <c r="T274" s="27">
        <v>1</v>
      </c>
      <c r="U274" s="28"/>
      <c r="V274" s="27"/>
      <c r="W274" s="27"/>
      <c r="X274" s="27" t="s">
        <v>65</v>
      </c>
      <c r="Y274" s="29">
        <v>2</v>
      </c>
      <c r="Z274" s="30"/>
      <c r="AA274" s="31">
        <f>+Y274+1</f>
        <v>3</v>
      </c>
      <c r="AB274" s="30"/>
      <c r="AC274" s="31">
        <f>+Y274*2</f>
        <v>4</v>
      </c>
      <c r="AD274" s="30"/>
      <c r="AE274" s="27"/>
      <c r="AF274" s="27"/>
      <c r="AG274" s="27">
        <f>362.65+8.75/2-AH274</f>
        <v>129.22099999999995</v>
      </c>
      <c r="AH274" s="27">
        <f>17.6*7+11*9+4.7*3.32</f>
        <v>237.80400000000003</v>
      </c>
      <c r="AI274" s="28"/>
      <c r="AJ274" s="32"/>
      <c r="AK274" s="33">
        <v>1051.5999999999999</v>
      </c>
      <c r="AL274" s="33">
        <v>0.32</v>
      </c>
      <c r="AM274" s="33">
        <f>+(AG274+AH274)/AK274</f>
        <v>0.34901578546976036</v>
      </c>
      <c r="AN274" s="33">
        <f>+(12+16+24)/(4+4+4)</f>
        <v>4.333333333333333</v>
      </c>
      <c r="AO274" s="33">
        <f>+(5*33123+6*26491+19871*8+4*13249)/23*AG274+(AH274*19871)</f>
        <v>7739764.0242173914</v>
      </c>
      <c r="AP274" s="34">
        <v>42345.279999999999</v>
      </c>
      <c r="AQ274" s="33" t="s">
        <v>1237</v>
      </c>
      <c r="AR274" s="34" t="s">
        <v>1238</v>
      </c>
      <c r="AS274" s="35">
        <v>44876</v>
      </c>
      <c r="AT274" s="36"/>
      <c r="AU274" s="134">
        <v>44869</v>
      </c>
      <c r="AV274" s="19"/>
      <c r="AW274" s="19"/>
      <c r="AX274" s="19"/>
      <c r="AY274" s="19"/>
      <c r="AZ274" s="19"/>
      <c r="BA274" s="19"/>
      <c r="BB274" s="19"/>
      <c r="BC274" s="19"/>
      <c r="BD274" s="19"/>
      <c r="BE274" s="19"/>
      <c r="BF274" s="19"/>
      <c r="BG274" s="20"/>
      <c r="BH274" s="20"/>
      <c r="BI274" s="20"/>
      <c r="BJ274" s="20"/>
      <c r="BK274" s="20"/>
      <c r="BL274" s="20"/>
      <c r="BM274" s="20"/>
      <c r="BN274" s="20"/>
      <c r="BO274" s="20"/>
      <c r="BP274" s="20"/>
      <c r="BQ274" s="20"/>
      <c r="BR274" s="20"/>
      <c r="BS274" s="20"/>
      <c r="BT274" s="20"/>
      <c r="BU274" s="20"/>
      <c r="BV274" s="20"/>
      <c r="IP274" s="20"/>
      <c r="IQ274" s="20"/>
      <c r="IR274" s="20"/>
      <c r="IS274" s="20"/>
      <c r="IT274" s="20"/>
      <c r="IU274" s="20"/>
      <c r="IV274" s="20"/>
    </row>
    <row r="275" spans="1:256" s="21" customFormat="1" ht="63.75">
      <c r="A275" s="22"/>
      <c r="B275" s="38">
        <v>255</v>
      </c>
      <c r="C275" s="38" t="s">
        <v>1239</v>
      </c>
      <c r="D275" s="190">
        <v>44768</v>
      </c>
      <c r="E275" s="26">
        <v>-23253</v>
      </c>
      <c r="F275" s="26">
        <v>159084</v>
      </c>
      <c r="G275" s="26">
        <v>21093</v>
      </c>
      <c r="H275" s="27"/>
      <c r="I275" s="27"/>
      <c r="J275" s="27">
        <v>410</v>
      </c>
      <c r="K275" s="27">
        <v>13</v>
      </c>
      <c r="L275" s="27" t="s">
        <v>74</v>
      </c>
      <c r="M275" s="27" t="s">
        <v>1240</v>
      </c>
      <c r="N275" s="27" t="s">
        <v>1241</v>
      </c>
      <c r="O275" s="27"/>
      <c r="P275" s="27" t="s">
        <v>285</v>
      </c>
      <c r="Q275" s="27" t="s">
        <v>285</v>
      </c>
      <c r="R275" s="27" t="s">
        <v>285</v>
      </c>
      <c r="S275" s="27" t="s">
        <v>1242</v>
      </c>
      <c r="T275" s="27">
        <v>1</v>
      </c>
      <c r="U275" s="28">
        <v>2</v>
      </c>
      <c r="V275" s="27"/>
      <c r="W275" s="27"/>
      <c r="X275" s="27" t="s">
        <v>77</v>
      </c>
      <c r="Y275" s="29">
        <v>3</v>
      </c>
      <c r="Z275" s="30">
        <f>1+1</f>
        <v>2</v>
      </c>
      <c r="AA275" s="31">
        <f>+Y275+1</f>
        <v>4</v>
      </c>
      <c r="AB275" s="30">
        <f>+Z275+1+1</f>
        <v>4</v>
      </c>
      <c r="AC275" s="31">
        <f>+Y275*2</f>
        <v>6</v>
      </c>
      <c r="AD275" s="30">
        <f>+Z275*2</f>
        <v>4</v>
      </c>
      <c r="AE275" s="27">
        <f>72.45+13.63/2</f>
        <v>79.265000000000001</v>
      </c>
      <c r="AF275" s="27"/>
      <c r="AG275" s="27"/>
      <c r="AH275" s="27"/>
      <c r="AI275" s="28">
        <f>48.57+36.25</f>
        <v>84.82</v>
      </c>
      <c r="AJ275" s="32"/>
      <c r="AK275" s="33">
        <v>307.5</v>
      </c>
      <c r="AL275" s="33">
        <f>+(72.45+13.63+48.57)/AK275</f>
        <v>0.43788617886178866</v>
      </c>
      <c r="AM275" s="33">
        <f>+(AE275+AI275)/AK275</f>
        <v>0.53360975609756089</v>
      </c>
      <c r="AN275" s="33">
        <f>+(2+6+24)/(1+2+6)</f>
        <v>3.5555555555555554</v>
      </c>
      <c r="AO275" s="33">
        <f>+(3*33123+26491*2+19871*6+9*13249)/20*AI275</f>
        <v>1657459.138</v>
      </c>
      <c r="AP275" s="34">
        <v>7749.82</v>
      </c>
      <c r="AQ275" s="33" t="s">
        <v>71</v>
      </c>
      <c r="AR275" s="34" t="s">
        <v>1243</v>
      </c>
      <c r="AS275" s="35">
        <v>44875</v>
      </c>
      <c r="AT275" s="36"/>
      <c r="AU275" s="37" t="s">
        <v>1244</v>
      </c>
      <c r="AV275" s="19"/>
      <c r="AW275" s="19"/>
      <c r="AX275" s="19"/>
      <c r="AY275" s="19"/>
      <c r="AZ275" s="19"/>
      <c r="BA275" s="19"/>
      <c r="BB275" s="19"/>
      <c r="BC275" s="19"/>
      <c r="BD275" s="19"/>
      <c r="BE275" s="19"/>
      <c r="BF275" s="19"/>
      <c r="BG275" s="20"/>
      <c r="BH275" s="20"/>
      <c r="BI275" s="20"/>
      <c r="BJ275" s="20"/>
      <c r="BK275" s="20"/>
      <c r="BL275" s="20"/>
      <c r="BM275" s="20"/>
      <c r="BN275" s="20"/>
      <c r="BO275" s="20"/>
      <c r="BP275" s="20"/>
      <c r="BQ275" s="20"/>
      <c r="BR275" s="20"/>
      <c r="BS275" s="20"/>
      <c r="BT275" s="20"/>
      <c r="BU275" s="20"/>
      <c r="BV275" s="20"/>
      <c r="IP275" s="20"/>
      <c r="IQ275" s="20"/>
      <c r="IR275" s="20"/>
      <c r="IS275" s="20"/>
      <c r="IT275" s="20"/>
      <c r="IU275" s="20"/>
      <c r="IV275" s="20"/>
    </row>
    <row r="276" spans="1:256" s="21" customFormat="1" ht="38.25">
      <c r="A276" s="135"/>
      <c r="B276" s="24">
        <v>256</v>
      </c>
      <c r="C276" s="24">
        <v>547309</v>
      </c>
      <c r="D276" s="25">
        <v>44866</v>
      </c>
      <c r="E276" s="26">
        <v>-46840</v>
      </c>
      <c r="F276" s="26">
        <v>141608</v>
      </c>
      <c r="G276" s="26">
        <v>32065</v>
      </c>
      <c r="H276" s="27">
        <v>327</v>
      </c>
      <c r="I276" s="27"/>
      <c r="J276" s="27">
        <v>6</v>
      </c>
      <c r="K276" s="27">
        <v>1</v>
      </c>
      <c r="L276" s="27" t="s">
        <v>74</v>
      </c>
      <c r="M276" s="27" t="s">
        <v>1245</v>
      </c>
      <c r="N276" s="27" t="s">
        <v>1246</v>
      </c>
      <c r="O276" s="27"/>
      <c r="P276" s="27" t="s">
        <v>99</v>
      </c>
      <c r="Q276" s="27" t="s">
        <v>99</v>
      </c>
      <c r="R276" s="27" t="s">
        <v>99</v>
      </c>
      <c r="S276" s="27" t="s">
        <v>1247</v>
      </c>
      <c r="T276" s="27"/>
      <c r="U276" s="28">
        <v>2</v>
      </c>
      <c r="V276" s="27"/>
      <c r="W276" s="27"/>
      <c r="X276" s="27" t="s">
        <v>77</v>
      </c>
      <c r="Y276" s="29"/>
      <c r="Z276" s="30">
        <f>2+2</f>
        <v>4</v>
      </c>
      <c r="AA276" s="31"/>
      <c r="AB276" s="30">
        <f>+Z276+1+1</f>
        <v>6</v>
      </c>
      <c r="AC276" s="31"/>
      <c r="AD276" s="30">
        <f>+Z276*2</f>
        <v>8</v>
      </c>
      <c r="AE276" s="27"/>
      <c r="AF276" s="27"/>
      <c r="AG276" s="27"/>
      <c r="AH276" s="27"/>
      <c r="AI276" s="28">
        <f>86.5+12.86/2+78.13</f>
        <v>171.06</v>
      </c>
      <c r="AJ276" s="32"/>
      <c r="AK276" s="33">
        <v>374.5</v>
      </c>
      <c r="AL276" s="33">
        <f>+(86.5+12.86)/AK276</f>
        <v>0.26531375166889187</v>
      </c>
      <c r="AM276" s="33">
        <f>+AI276/AK276</f>
        <v>0.45676902536715619</v>
      </c>
      <c r="AN276" s="33">
        <f>+(4+21)/(2+7)</f>
        <v>2.7777777777777777</v>
      </c>
      <c r="AO276" s="33">
        <f>+(6*33123+26491*7+19871*7+2*13249)/20*AI276</f>
        <v>4702182.8100000005</v>
      </c>
      <c r="AP276" s="34">
        <v>14546.54</v>
      </c>
      <c r="AQ276" s="33" t="s">
        <v>71</v>
      </c>
      <c r="AR276" s="34" t="s">
        <v>1248</v>
      </c>
      <c r="AS276" s="35">
        <v>44875</v>
      </c>
      <c r="AT276" s="36"/>
      <c r="AU276" s="134" t="s">
        <v>1249</v>
      </c>
      <c r="AV276" s="19"/>
      <c r="AW276" s="19"/>
      <c r="AX276" s="19"/>
      <c r="AY276" s="19"/>
      <c r="AZ276" s="19"/>
      <c r="BA276" s="19"/>
      <c r="BB276" s="19"/>
      <c r="BC276" s="19"/>
      <c r="BD276" s="19"/>
      <c r="BE276" s="19"/>
      <c r="BF276" s="19"/>
      <c r="BG276" s="20"/>
      <c r="BH276" s="20"/>
      <c r="BI276" s="20"/>
      <c r="BJ276" s="20"/>
      <c r="BK276" s="20"/>
      <c r="BL276" s="20"/>
      <c r="BM276" s="20"/>
      <c r="BN276" s="20"/>
      <c r="BO276" s="20"/>
      <c r="BP276" s="20"/>
      <c r="BQ276" s="20"/>
      <c r="BR276" s="20"/>
      <c r="BS276" s="20"/>
      <c r="BT276" s="20"/>
      <c r="BU276" s="20"/>
      <c r="BV276" s="20"/>
      <c r="IP276" s="20"/>
      <c r="IQ276" s="20"/>
      <c r="IR276" s="20"/>
      <c r="IS276" s="20"/>
      <c r="IT276" s="20"/>
      <c r="IU276" s="20"/>
      <c r="IV276" s="20"/>
    </row>
    <row r="277" spans="1:256" s="21" customFormat="1" ht="102">
      <c r="A277" s="135"/>
      <c r="B277" s="24">
        <v>257</v>
      </c>
      <c r="C277" s="24">
        <v>529399</v>
      </c>
      <c r="D277" s="25">
        <v>44263</v>
      </c>
      <c r="E277" s="26">
        <v>32025</v>
      </c>
      <c r="F277" s="26">
        <v>714</v>
      </c>
      <c r="G277" s="26">
        <v>1363</v>
      </c>
      <c r="H277" s="27"/>
      <c r="I277" s="27"/>
      <c r="J277" s="27">
        <v>34</v>
      </c>
      <c r="K277" s="27">
        <v>2</v>
      </c>
      <c r="L277" s="27" t="s">
        <v>38</v>
      </c>
      <c r="M277" s="27" t="s">
        <v>1250</v>
      </c>
      <c r="N277" s="27" t="s">
        <v>1251</v>
      </c>
      <c r="O277" s="27"/>
      <c r="P277" s="27" t="s">
        <v>56</v>
      </c>
      <c r="Q277" s="27"/>
      <c r="R277" s="27"/>
      <c r="S277" s="27"/>
      <c r="T277" s="27">
        <f>1+1</f>
        <v>2</v>
      </c>
      <c r="U277" s="28"/>
      <c r="V277" s="27"/>
      <c r="W277" s="27"/>
      <c r="X277" s="27" t="s">
        <v>1252</v>
      </c>
      <c r="Y277" s="29">
        <v>2</v>
      </c>
      <c r="Z277" s="30"/>
      <c r="AA277" s="31">
        <f>+Y277+2</f>
        <v>4</v>
      </c>
      <c r="AB277" s="30"/>
      <c r="AC277" s="31">
        <f>+Y277*2</f>
        <v>4</v>
      </c>
      <c r="AD277" s="30"/>
      <c r="AE277" s="27"/>
      <c r="AF277" s="27"/>
      <c r="AG277" s="27">
        <v>160.5</v>
      </c>
      <c r="AH277" s="27">
        <v>56.65</v>
      </c>
      <c r="AI277" s="28"/>
      <c r="AJ277" s="32"/>
      <c r="AK277" s="33">
        <v>323.33</v>
      </c>
      <c r="AL277" s="33">
        <v>0.62</v>
      </c>
      <c r="AM277" s="33">
        <v>0.67</v>
      </c>
      <c r="AN277" s="33"/>
      <c r="AO277" s="33">
        <f>+((6*33123+26491*7+19871*6+4*13249)/23*160.5)+56.65*26491</f>
        <v>5383398.5630434789</v>
      </c>
      <c r="AP277" s="34">
        <v>78621.509999999995</v>
      </c>
      <c r="AQ277" s="33" t="s">
        <v>51</v>
      </c>
      <c r="AR277" s="34" t="s">
        <v>1253</v>
      </c>
      <c r="AS277" s="35">
        <v>44876</v>
      </c>
      <c r="AT277" s="36"/>
      <c r="AU277" s="134"/>
      <c r="AV277" s="19"/>
      <c r="AW277" s="19"/>
      <c r="AX277" s="19"/>
      <c r="AY277" s="19"/>
      <c r="AZ277" s="19"/>
      <c r="BA277" s="19"/>
      <c r="BB277" s="19"/>
      <c r="BC277" s="19"/>
      <c r="BD277" s="19"/>
      <c r="BE277" s="19"/>
      <c r="BF277" s="19"/>
      <c r="BG277" s="20"/>
      <c r="BH277" s="20"/>
      <c r="BI277" s="20"/>
      <c r="BJ277" s="20"/>
      <c r="BK277" s="20"/>
      <c r="BL277" s="20"/>
      <c r="BM277" s="20"/>
      <c r="BN277" s="20"/>
      <c r="BO277" s="20"/>
      <c r="BP277" s="20"/>
      <c r="BQ277" s="20"/>
      <c r="BR277" s="20"/>
      <c r="BS277" s="20"/>
      <c r="BT277" s="20"/>
      <c r="BU277" s="20"/>
      <c r="BV277" s="20"/>
      <c r="IP277" s="20"/>
      <c r="IQ277" s="20"/>
      <c r="IR277" s="20"/>
      <c r="IS277" s="20"/>
      <c r="IT277" s="20"/>
      <c r="IU277" s="20"/>
      <c r="IV277" s="20"/>
    </row>
    <row r="278" spans="1:256" s="21" customFormat="1" ht="38.25">
      <c r="A278" s="135"/>
      <c r="B278" s="24">
        <v>259</v>
      </c>
      <c r="C278" s="24" t="s">
        <v>1254</v>
      </c>
      <c r="D278" s="25">
        <v>44777</v>
      </c>
      <c r="E278" s="26">
        <v>42857</v>
      </c>
      <c r="F278" s="26">
        <v>140885</v>
      </c>
      <c r="G278" s="26">
        <v>8701</v>
      </c>
      <c r="H278" s="27"/>
      <c r="I278" s="27"/>
      <c r="J278" s="27">
        <v>573</v>
      </c>
      <c r="K278" s="27">
        <v>8</v>
      </c>
      <c r="L278" s="27" t="s">
        <v>60</v>
      </c>
      <c r="M278" s="27" t="s">
        <v>1255</v>
      </c>
      <c r="N278" s="27" t="s">
        <v>1256</v>
      </c>
      <c r="O278" s="27"/>
      <c r="P278" s="27" t="s">
        <v>234</v>
      </c>
      <c r="Q278" s="27" t="s">
        <v>1257</v>
      </c>
      <c r="R278" s="27" t="s">
        <v>1257</v>
      </c>
      <c r="S278" s="27" t="s">
        <v>100</v>
      </c>
      <c r="T278" s="27"/>
      <c r="U278" s="28">
        <v>6</v>
      </c>
      <c r="V278" s="27"/>
      <c r="W278" s="27"/>
      <c r="X278" s="27" t="s">
        <v>77</v>
      </c>
      <c r="Y278" s="29"/>
      <c r="Z278" s="30">
        <f>5+2</f>
        <v>7</v>
      </c>
      <c r="AA278" s="31"/>
      <c r="AB278" s="30">
        <f>+Z278+6</f>
        <v>13</v>
      </c>
      <c r="AC278" s="31"/>
      <c r="AD278" s="30">
        <f>+Z278*2</f>
        <v>14</v>
      </c>
      <c r="AE278" s="27"/>
      <c r="AF278" s="27"/>
      <c r="AG278" s="27"/>
      <c r="AH278" s="27"/>
      <c r="AI278" s="28">
        <f>178.05+66.48/2+217.15+20.23/2</f>
        <v>438.55500000000006</v>
      </c>
      <c r="AJ278" s="32"/>
      <c r="AK278" s="33">
        <v>452.34</v>
      </c>
      <c r="AL278" s="33">
        <f>+(178.05+66.48)/AK278</f>
        <v>0.54058893752487081</v>
      </c>
      <c r="AM278" s="33">
        <f>+AI278/AK278</f>
        <v>0.9695251359596766</v>
      </c>
      <c r="AN278" s="33"/>
      <c r="AO278" s="33">
        <f>56000000+35000+((4*33123+26491*3+19871*6+7*13249)/20*AG279)</f>
        <v>57879748.800999999</v>
      </c>
      <c r="AP278" s="34">
        <v>34953.07</v>
      </c>
      <c r="AQ278" s="33" t="s">
        <v>71</v>
      </c>
      <c r="AR278" s="34" t="s">
        <v>1258</v>
      </c>
      <c r="AS278" s="35">
        <v>44879</v>
      </c>
      <c r="AT278" s="36"/>
      <c r="AU278" s="134"/>
      <c r="AV278" s="19"/>
      <c r="AW278" s="19"/>
      <c r="AX278" s="19"/>
      <c r="AY278" s="19"/>
      <c r="AZ278" s="19"/>
      <c r="BA278" s="19"/>
      <c r="BB278" s="19"/>
      <c r="BC278" s="19"/>
      <c r="BD278" s="19"/>
      <c r="BE278" s="19"/>
      <c r="BF278" s="19"/>
      <c r="BG278" s="20"/>
      <c r="BH278" s="20"/>
      <c r="BI278" s="20"/>
      <c r="BJ278" s="20"/>
      <c r="BK278" s="20"/>
      <c r="BL278" s="20"/>
      <c r="BM278" s="20"/>
      <c r="BN278" s="20"/>
      <c r="BO278" s="20"/>
      <c r="BP278" s="20"/>
      <c r="BQ278" s="20"/>
      <c r="BR278" s="20"/>
      <c r="BS278" s="20"/>
      <c r="BT278" s="20"/>
      <c r="BU278" s="20"/>
      <c r="BV278" s="20"/>
      <c r="IP278" s="20"/>
      <c r="IQ278" s="20"/>
      <c r="IR278" s="20"/>
      <c r="IS278" s="20"/>
      <c r="IT278" s="20"/>
      <c r="IU278" s="20"/>
      <c r="IV278" s="20"/>
    </row>
    <row r="279" spans="1:256" s="21" customFormat="1" ht="63.75">
      <c r="A279" s="135"/>
      <c r="B279" s="24">
        <v>258</v>
      </c>
      <c r="C279" s="24" t="s">
        <v>1259</v>
      </c>
      <c r="D279" s="25">
        <v>44735</v>
      </c>
      <c r="E279" s="26">
        <v>53538</v>
      </c>
      <c r="F279" s="26">
        <v>1390</v>
      </c>
      <c r="G279" s="26">
        <v>1414</v>
      </c>
      <c r="H279" s="27"/>
      <c r="I279" s="27"/>
      <c r="J279" s="27">
        <v>167</v>
      </c>
      <c r="K279" s="27">
        <v>11</v>
      </c>
      <c r="L279" s="27" t="s">
        <v>60</v>
      </c>
      <c r="M279" s="27" t="s">
        <v>1260</v>
      </c>
      <c r="N279" s="27" t="s">
        <v>994</v>
      </c>
      <c r="O279" s="27"/>
      <c r="P279" s="27" t="s">
        <v>995</v>
      </c>
      <c r="Q279" s="27"/>
      <c r="R279" s="27"/>
      <c r="S279" s="27"/>
      <c r="T279" s="27">
        <v>1</v>
      </c>
      <c r="U279" s="28"/>
      <c r="V279" s="27"/>
      <c r="W279" s="27"/>
      <c r="X279" s="27" t="s">
        <v>65</v>
      </c>
      <c r="Y279" s="29">
        <v>2</v>
      </c>
      <c r="Z279" s="30"/>
      <c r="AA279" s="31">
        <f>+Y279+1</f>
        <v>3</v>
      </c>
      <c r="AB279" s="30"/>
      <c r="AC279" s="31">
        <f t="shared" ref="AC279:AC280" si="8">+Y279*2</f>
        <v>4</v>
      </c>
      <c r="AD279" s="30"/>
      <c r="AE279" s="27"/>
      <c r="AF279" s="27"/>
      <c r="AG279" s="27">
        <f>86.2+1.66/2</f>
        <v>87.03</v>
      </c>
      <c r="AH279" s="27"/>
      <c r="AI279" s="28"/>
      <c r="AJ279" s="32"/>
      <c r="AK279" s="33">
        <v>308.66000000000003</v>
      </c>
      <c r="AL279" s="33">
        <f>+(86.2+1.66)/AK279</f>
        <v>0.28464977645305511</v>
      </c>
      <c r="AM279" s="33">
        <f>+AG279/AK279</f>
        <v>0.28196073349316397</v>
      </c>
      <c r="AN279" s="33"/>
      <c r="AO279" s="33">
        <f>+(10*26491+19871*5+6*13249)/21*AG279</f>
        <v>1839064.0842857144</v>
      </c>
      <c r="AP279" s="34">
        <v>37623.839999999997</v>
      </c>
      <c r="AQ279" s="33" t="s">
        <v>51</v>
      </c>
      <c r="AR279" s="34" t="s">
        <v>1261</v>
      </c>
      <c r="AS279" s="35">
        <v>44879</v>
      </c>
      <c r="AT279" s="36"/>
      <c r="AU279" s="134">
        <v>44874</v>
      </c>
      <c r="AV279" s="19"/>
      <c r="AW279" s="19"/>
      <c r="AX279" s="19"/>
      <c r="AY279" s="19"/>
      <c r="AZ279" s="19"/>
      <c r="BA279" s="19"/>
      <c r="BB279" s="19"/>
      <c r="BC279" s="19"/>
      <c r="BD279" s="19"/>
      <c r="BE279" s="19"/>
      <c r="BF279" s="19"/>
      <c r="BG279" s="20"/>
      <c r="BH279" s="20"/>
      <c r="BI279" s="20"/>
      <c r="BJ279" s="20"/>
      <c r="BK279" s="20"/>
      <c r="BL279" s="20"/>
      <c r="BM279" s="20"/>
      <c r="BN279" s="20"/>
      <c r="BO279" s="20"/>
      <c r="BP279" s="20"/>
      <c r="BQ279" s="20"/>
      <c r="BR279" s="20"/>
      <c r="BS279" s="20"/>
      <c r="BT279" s="20"/>
      <c r="BU279" s="20"/>
      <c r="BV279" s="20"/>
      <c r="IP279" s="20"/>
      <c r="IQ279" s="20"/>
      <c r="IR279" s="20"/>
      <c r="IS279" s="20"/>
      <c r="IT279" s="20"/>
      <c r="IU279" s="20"/>
      <c r="IV279" s="20"/>
    </row>
    <row r="280" spans="1:256" s="21" customFormat="1" ht="51">
      <c r="A280" s="135"/>
      <c r="B280" s="24">
        <v>261</v>
      </c>
      <c r="C280" s="24">
        <v>542422</v>
      </c>
      <c r="D280" s="25">
        <v>44697</v>
      </c>
      <c r="E280" s="26">
        <v>46004</v>
      </c>
      <c r="F280" s="26">
        <v>149587</v>
      </c>
      <c r="G280" s="26">
        <v>21011</v>
      </c>
      <c r="H280" s="27">
        <v>86</v>
      </c>
      <c r="I280" s="27"/>
      <c r="J280" s="27">
        <v>548</v>
      </c>
      <c r="K280" s="27">
        <v>3</v>
      </c>
      <c r="L280" s="27" t="s">
        <v>74</v>
      </c>
      <c r="M280" s="27" t="s">
        <v>1262</v>
      </c>
      <c r="N280" s="27" t="s">
        <v>1263</v>
      </c>
      <c r="O280" s="27"/>
      <c r="P280" s="27" t="s">
        <v>1264</v>
      </c>
      <c r="Q280" s="27"/>
      <c r="R280" s="27"/>
      <c r="S280" s="27"/>
      <c r="T280" s="27">
        <v>1</v>
      </c>
      <c r="U280" s="28"/>
      <c r="V280" s="27"/>
      <c r="W280" s="27"/>
      <c r="X280" s="27" t="s">
        <v>65</v>
      </c>
      <c r="Y280" s="29">
        <v>3</v>
      </c>
      <c r="Z280" s="30"/>
      <c r="AA280" s="31">
        <f>+Y280+1</f>
        <v>4</v>
      </c>
      <c r="AB280" s="30"/>
      <c r="AC280" s="31">
        <f t="shared" si="8"/>
        <v>6</v>
      </c>
      <c r="AD280" s="30"/>
      <c r="AE280" s="27"/>
      <c r="AF280" s="27"/>
      <c r="AG280" s="27">
        <f>125.71+0</f>
        <v>125.71</v>
      </c>
      <c r="AH280" s="27"/>
      <c r="AI280" s="28"/>
      <c r="AJ280" s="32"/>
      <c r="AK280" s="33">
        <v>226.13</v>
      </c>
      <c r="AL280" s="33">
        <f>+AG280/AK280</f>
        <v>0.55591916154424448</v>
      </c>
      <c r="AM280" s="33">
        <f>+AG280/AK280</f>
        <v>0.55591916154424448</v>
      </c>
      <c r="AN280" s="33"/>
      <c r="AO280" s="33">
        <f>+(1*33123+26491*4+5*19871+9*13249)/19*AG280</f>
        <v>2366543.6805263157</v>
      </c>
      <c r="AP280" s="34">
        <v>40092.480000000003</v>
      </c>
      <c r="AQ280" s="33" t="s">
        <v>36</v>
      </c>
      <c r="AR280" s="34" t="s">
        <v>1265</v>
      </c>
      <c r="AS280" s="35">
        <v>44883</v>
      </c>
      <c r="AT280" s="36"/>
      <c r="AU280" s="134">
        <v>44711</v>
      </c>
      <c r="AV280" s="19"/>
      <c r="AW280" s="19"/>
      <c r="AX280" s="19"/>
      <c r="AY280" s="19"/>
      <c r="AZ280" s="19"/>
      <c r="BA280" s="19"/>
      <c r="BB280" s="19"/>
      <c r="BC280" s="19"/>
      <c r="BD280" s="19"/>
      <c r="BE280" s="19"/>
      <c r="BF280" s="19"/>
      <c r="BG280" s="20"/>
      <c r="BH280" s="20"/>
      <c r="BI280" s="20"/>
      <c r="BJ280" s="20"/>
      <c r="BK280" s="20"/>
      <c r="BL280" s="20"/>
      <c r="BM280" s="20"/>
      <c r="BN280" s="20"/>
      <c r="BO280" s="20"/>
      <c r="BP280" s="20"/>
      <c r="BQ280" s="20"/>
      <c r="BR280" s="20"/>
      <c r="BS280" s="20"/>
      <c r="BT280" s="20"/>
      <c r="BU280" s="20"/>
      <c r="BV280" s="20"/>
      <c r="IP280" s="20"/>
      <c r="IQ280" s="20"/>
      <c r="IR280" s="20"/>
      <c r="IS280" s="20"/>
      <c r="IT280" s="20"/>
      <c r="IU280" s="20"/>
      <c r="IV280" s="20"/>
    </row>
    <row r="281" spans="1:256" s="21" customFormat="1" ht="76.5">
      <c r="A281" s="135"/>
      <c r="B281" s="24">
        <v>260</v>
      </c>
      <c r="C281" s="24" t="s">
        <v>1266</v>
      </c>
      <c r="D281" s="25">
        <v>44859</v>
      </c>
      <c r="E281" s="26">
        <v>60628</v>
      </c>
      <c r="F281" s="26">
        <v>168658</v>
      </c>
      <c r="G281" s="26">
        <v>33954</v>
      </c>
      <c r="H281" s="27">
        <v>271</v>
      </c>
      <c r="I281" s="27"/>
      <c r="J281" s="27">
        <v>2</v>
      </c>
      <c r="K281" s="27">
        <v>1</v>
      </c>
      <c r="L281" s="27" t="s">
        <v>240</v>
      </c>
      <c r="M281" s="27" t="s">
        <v>958</v>
      </c>
      <c r="N281" s="27" t="s">
        <v>1267</v>
      </c>
      <c r="O281" s="27"/>
      <c r="P281" s="27" t="s">
        <v>115</v>
      </c>
      <c r="Q281" s="27" t="s">
        <v>115</v>
      </c>
      <c r="R281" s="27" t="s">
        <v>115</v>
      </c>
      <c r="S281" s="27" t="s">
        <v>1268</v>
      </c>
      <c r="T281" s="27"/>
      <c r="U281" s="28">
        <v>1</v>
      </c>
      <c r="V281" s="27"/>
      <c r="W281" s="27"/>
      <c r="X281" s="27" t="s">
        <v>65</v>
      </c>
      <c r="Y281" s="29"/>
      <c r="Z281" s="30">
        <v>2</v>
      </c>
      <c r="AA281" s="31"/>
      <c r="AB281" s="30">
        <f>+Z281+1</f>
        <v>3</v>
      </c>
      <c r="AC281" s="31"/>
      <c r="AD281" s="30">
        <f>+Z281*2</f>
        <v>4</v>
      </c>
      <c r="AE281" s="27"/>
      <c r="AF281" s="27"/>
      <c r="AG281" s="27"/>
      <c r="AH281" s="27"/>
      <c r="AI281" s="28">
        <v>60</v>
      </c>
      <c r="AJ281" s="32"/>
      <c r="AK281" s="33">
        <v>230.72</v>
      </c>
      <c r="AL281" s="33">
        <f>+AI281/AK281</f>
        <v>0.26005547850208044</v>
      </c>
      <c r="AM281" s="33">
        <f>+AL281</f>
        <v>0.26005547850208044</v>
      </c>
      <c r="AN281" s="33"/>
      <c r="AO281" s="33">
        <f>+(4*26491+10*19871+13249*5)/19*AI281</f>
        <v>1171323.1578947369</v>
      </c>
      <c r="AP281" s="34">
        <v>18305.89</v>
      </c>
      <c r="AQ281" s="33" t="s">
        <v>71</v>
      </c>
      <c r="AR281" s="34" t="s">
        <v>1269</v>
      </c>
      <c r="AS281" s="35">
        <v>44882</v>
      </c>
      <c r="AT281" s="36"/>
      <c r="AU281" s="134" t="s">
        <v>1270</v>
      </c>
      <c r="AV281" s="19"/>
      <c r="AW281" s="19"/>
      <c r="AX281" s="19"/>
      <c r="AY281" s="19"/>
      <c r="AZ281" s="19"/>
      <c r="BA281" s="19"/>
      <c r="BB281" s="19"/>
      <c r="BC281" s="19"/>
      <c r="BD281" s="19"/>
      <c r="BE281" s="19"/>
      <c r="BF281" s="19"/>
      <c r="BG281" s="20"/>
      <c r="BH281" s="20"/>
      <c r="BI281" s="20"/>
      <c r="BJ281" s="20"/>
      <c r="BK281" s="20"/>
      <c r="BL281" s="20"/>
      <c r="BM281" s="20"/>
      <c r="BN281" s="20"/>
      <c r="BO281" s="20"/>
      <c r="BP281" s="20"/>
      <c r="BQ281" s="20"/>
      <c r="BR281" s="20"/>
      <c r="BS281" s="20"/>
      <c r="BT281" s="20"/>
      <c r="BU281" s="20"/>
      <c r="BV281" s="20"/>
      <c r="IP281" s="20"/>
      <c r="IQ281" s="20"/>
      <c r="IR281" s="20"/>
      <c r="IS281" s="20"/>
      <c r="IT281" s="20"/>
      <c r="IU281" s="20"/>
      <c r="IV281" s="20"/>
    </row>
    <row r="282" spans="1:256" s="21" customFormat="1" ht="89.25">
      <c r="A282" s="135"/>
      <c r="B282" s="24">
        <v>262</v>
      </c>
      <c r="C282" s="24" t="s">
        <v>1271</v>
      </c>
      <c r="D282" s="25">
        <v>44832</v>
      </c>
      <c r="E282" s="26">
        <v>33896</v>
      </c>
      <c r="F282" s="26">
        <v>1167</v>
      </c>
      <c r="G282" s="26">
        <v>4812</v>
      </c>
      <c r="H282" s="27"/>
      <c r="I282" s="27"/>
      <c r="J282" s="27">
        <v>39</v>
      </c>
      <c r="K282" s="27">
        <v>14</v>
      </c>
      <c r="L282" s="27" t="s">
        <v>74</v>
      </c>
      <c r="M282" s="27" t="s">
        <v>1272</v>
      </c>
      <c r="N282" s="27" t="s">
        <v>1273</v>
      </c>
      <c r="O282" s="27"/>
      <c r="P282" s="27" t="s">
        <v>1274</v>
      </c>
      <c r="Q282" s="27"/>
      <c r="R282" s="27"/>
      <c r="S282" s="27"/>
      <c r="T282" s="27">
        <v>3</v>
      </c>
      <c r="U282" s="28"/>
      <c r="V282" s="27"/>
      <c r="W282" s="27"/>
      <c r="X282" s="27" t="s">
        <v>65</v>
      </c>
      <c r="Y282" s="29">
        <f>2+2+1</f>
        <v>5</v>
      </c>
      <c r="Z282" s="30"/>
      <c r="AA282" s="31">
        <f>+Y282+1+1+1</f>
        <v>8</v>
      </c>
      <c r="AB282" s="30"/>
      <c r="AC282" s="31">
        <f>+Y282*2</f>
        <v>10</v>
      </c>
      <c r="AD282" s="30"/>
      <c r="AE282" s="27"/>
      <c r="AF282" s="27"/>
      <c r="AG282" s="27">
        <v>153.65</v>
      </c>
      <c r="AH282" s="27"/>
      <c r="AI282" s="28"/>
      <c r="AJ282" s="32"/>
      <c r="AK282" s="33">
        <v>207.36</v>
      </c>
      <c r="AL282" s="33">
        <f>153.65/AK282</f>
        <v>0.74098186728395055</v>
      </c>
      <c r="AM282" s="33">
        <f>+AL282</f>
        <v>0.74098186728395055</v>
      </c>
      <c r="AN282" s="33">
        <f>+(4+21)/(2+7)</f>
        <v>2.7777777777777777</v>
      </c>
      <c r="AO282" s="33">
        <f>+(33123+26491*6+19871*11+3*13249)/21*AG282</f>
        <v>3295404.7166666668</v>
      </c>
      <c r="AP282" s="34">
        <v>49702.29</v>
      </c>
      <c r="AQ282" s="33" t="s">
        <v>71</v>
      </c>
      <c r="AR282" s="34" t="s">
        <v>1275</v>
      </c>
      <c r="AS282" s="35">
        <v>44883</v>
      </c>
      <c r="AT282" s="36"/>
      <c r="AU282" s="134">
        <v>44880</v>
      </c>
      <c r="AV282" s="19"/>
      <c r="AW282" s="19"/>
      <c r="AX282" s="19"/>
      <c r="AY282" s="19"/>
      <c r="AZ282" s="19"/>
      <c r="BA282" s="19"/>
      <c r="BB282" s="19"/>
      <c r="BC282" s="19"/>
      <c r="BD282" s="19"/>
      <c r="BE282" s="19"/>
      <c r="BF282" s="19"/>
      <c r="BG282" s="20"/>
      <c r="BH282" s="20"/>
      <c r="BI282" s="20"/>
      <c r="BJ282" s="20"/>
      <c r="BK282" s="20"/>
      <c r="BL282" s="20"/>
      <c r="BM282" s="20"/>
      <c r="BN282" s="20"/>
      <c r="BO282" s="20"/>
      <c r="BP282" s="20"/>
      <c r="BQ282" s="20"/>
      <c r="BR282" s="20"/>
      <c r="BS282" s="20"/>
      <c r="BT282" s="20"/>
      <c r="BU282" s="20"/>
      <c r="BV282" s="20"/>
      <c r="IP282" s="20"/>
      <c r="IQ282" s="20"/>
      <c r="IR282" s="20"/>
      <c r="IS282" s="20"/>
      <c r="IT282" s="20"/>
      <c r="IU282" s="20"/>
      <c r="IV282" s="20"/>
    </row>
    <row r="283" spans="1:256" s="21" customFormat="1" ht="63.75">
      <c r="A283" s="135"/>
      <c r="B283" s="24">
        <v>265</v>
      </c>
      <c r="C283" s="24" t="s">
        <v>1276</v>
      </c>
      <c r="D283" s="25">
        <v>44399</v>
      </c>
      <c r="E283" s="26">
        <v>38839</v>
      </c>
      <c r="F283" s="26">
        <v>50306</v>
      </c>
      <c r="G283" s="26">
        <v>3047</v>
      </c>
      <c r="H283" s="27"/>
      <c r="I283" s="27"/>
      <c r="J283" s="27">
        <v>509</v>
      </c>
      <c r="K283" s="27">
        <v>8</v>
      </c>
      <c r="L283" s="27" t="s">
        <v>38</v>
      </c>
      <c r="M283" s="27" t="s">
        <v>1277</v>
      </c>
      <c r="N283" s="27" t="s">
        <v>1278</v>
      </c>
      <c r="O283" s="27"/>
      <c r="P283" s="27" t="s">
        <v>498</v>
      </c>
      <c r="Q283" s="27"/>
      <c r="R283" s="27"/>
      <c r="S283" s="27"/>
      <c r="T283" s="27">
        <v>2</v>
      </c>
      <c r="U283" s="28"/>
      <c r="V283" s="27"/>
      <c r="W283" s="27"/>
      <c r="X283" s="27" t="s">
        <v>77</v>
      </c>
      <c r="Y283" s="29">
        <f>2+2</f>
        <v>4</v>
      </c>
      <c r="Z283" s="30"/>
      <c r="AA283" s="31">
        <f>+Y283+1+1</f>
        <v>6</v>
      </c>
      <c r="AB283" s="30"/>
      <c r="AC283" s="31">
        <f>+Y283*2</f>
        <v>8</v>
      </c>
      <c r="AD283" s="30"/>
      <c r="AE283" s="27"/>
      <c r="AF283" s="27"/>
      <c r="AG283" s="27">
        <f>107.5+18/2</f>
        <v>116.5</v>
      </c>
      <c r="AH283" s="27"/>
      <c r="AI283" s="28"/>
      <c r="AJ283" s="32"/>
      <c r="AK283" s="33">
        <v>300</v>
      </c>
      <c r="AL283" s="33">
        <f>(107.5+15.3+3.6)/AK283</f>
        <v>0.42133333333333328</v>
      </c>
      <c r="AM283" s="33">
        <f>+AG283/AK283</f>
        <v>0.38833333333333331</v>
      </c>
      <c r="AN283" s="33"/>
      <c r="AO283" s="33">
        <f>+(5*33123+7*26491+7*19871+13249*5)/24*AG283</f>
        <v>2700829.208333333</v>
      </c>
      <c r="AP283" s="34">
        <v>41489.24</v>
      </c>
      <c r="AQ283" s="33" t="s">
        <v>71</v>
      </c>
      <c r="AR283" s="34" t="s">
        <v>1279</v>
      </c>
      <c r="AS283" s="35">
        <v>44909</v>
      </c>
      <c r="AT283" s="36"/>
      <c r="AU283" s="134">
        <v>44893</v>
      </c>
      <c r="AV283" s="19"/>
      <c r="AW283" s="19"/>
      <c r="AX283" s="19"/>
      <c r="AY283" s="19"/>
      <c r="AZ283" s="19"/>
      <c r="BA283" s="19"/>
      <c r="BB283" s="19"/>
      <c r="BC283" s="19"/>
      <c r="BD283" s="19"/>
      <c r="BE283" s="19"/>
      <c r="BF283" s="19"/>
      <c r="BG283" s="20"/>
      <c r="BH283" s="20"/>
      <c r="BI283" s="20"/>
      <c r="BJ283" s="20"/>
      <c r="BK283" s="20"/>
      <c r="BL283" s="20"/>
      <c r="BM283" s="20"/>
      <c r="BN283" s="20"/>
      <c r="BO283" s="20"/>
      <c r="BP283" s="20"/>
      <c r="BQ283" s="20"/>
      <c r="BR283" s="20"/>
      <c r="BS283" s="20"/>
      <c r="BT283" s="20"/>
      <c r="BU283" s="20"/>
      <c r="BV283" s="20"/>
      <c r="IP283" s="20"/>
      <c r="IQ283" s="20"/>
      <c r="IR283" s="20"/>
      <c r="IS283" s="20"/>
      <c r="IT283" s="20"/>
      <c r="IU283" s="20"/>
      <c r="IV283" s="20"/>
    </row>
    <row r="284" spans="1:256" s="21" customFormat="1" ht="76.5">
      <c r="A284" s="135"/>
      <c r="B284" s="24">
        <v>263</v>
      </c>
      <c r="C284" s="24">
        <v>547030</v>
      </c>
      <c r="D284" s="25">
        <v>44861</v>
      </c>
      <c r="E284" s="26"/>
      <c r="F284" s="26">
        <v>138408</v>
      </c>
      <c r="G284" s="26">
        <v>31613</v>
      </c>
      <c r="H284" s="27">
        <v>3</v>
      </c>
      <c r="I284" s="27"/>
      <c r="J284" s="27">
        <v>3</v>
      </c>
      <c r="K284" s="27">
        <v>3</v>
      </c>
      <c r="L284" s="27" t="s">
        <v>793</v>
      </c>
      <c r="M284" s="27" t="s">
        <v>1280</v>
      </c>
      <c r="N284" s="27" t="s">
        <v>1281</v>
      </c>
      <c r="O284" s="27"/>
      <c r="P284" s="27" t="s">
        <v>1282</v>
      </c>
      <c r="Q284" s="27" t="s">
        <v>1282</v>
      </c>
      <c r="R284" s="27" t="s">
        <v>1282</v>
      </c>
      <c r="S284" s="27" t="s">
        <v>64</v>
      </c>
      <c r="T284" s="27"/>
      <c r="U284" s="28">
        <v>1</v>
      </c>
      <c r="V284" s="27"/>
      <c r="W284" s="27"/>
      <c r="X284" s="27" t="s">
        <v>65</v>
      </c>
      <c r="Y284" s="29"/>
      <c r="Z284" s="30">
        <v>2</v>
      </c>
      <c r="AA284" s="31"/>
      <c r="AB284" s="30">
        <f>+Z284+1</f>
        <v>3</v>
      </c>
      <c r="AC284" s="31"/>
      <c r="AD284" s="30">
        <f>+Z284*2</f>
        <v>4</v>
      </c>
      <c r="AE284" s="27"/>
      <c r="AF284" s="27"/>
      <c r="AG284" s="27"/>
      <c r="AH284" s="27"/>
      <c r="AI284" s="28">
        <f>109.8+45.99/2</f>
        <v>132.79499999999999</v>
      </c>
      <c r="AJ284" s="32"/>
      <c r="AK284" s="33">
        <v>802.8</v>
      </c>
      <c r="AL284" s="33">
        <f>+(109.8+45.99)/AK284</f>
        <v>0.19405829596412555</v>
      </c>
      <c r="AM284" s="33">
        <f>+AI284/AK284</f>
        <v>0.16541479820627802</v>
      </c>
      <c r="AN284" s="33"/>
      <c r="AO284" s="33">
        <f>2400000+((11*33123+5*26491+4*19871)/21*AI284)</f>
        <v>6044223.6257142853</v>
      </c>
      <c r="AP284" s="34">
        <v>135595.75</v>
      </c>
      <c r="AQ284" s="33" t="s">
        <v>71</v>
      </c>
      <c r="AR284" s="34" t="s">
        <v>1283</v>
      </c>
      <c r="AS284" s="35">
        <v>44900</v>
      </c>
      <c r="AT284" s="36"/>
      <c r="AU284" s="134" t="s">
        <v>1284</v>
      </c>
      <c r="AV284" s="19"/>
      <c r="AW284" s="19"/>
      <c r="AX284" s="19"/>
      <c r="AY284" s="19"/>
      <c r="AZ284" s="19"/>
      <c r="BA284" s="19"/>
      <c r="BB284" s="19"/>
      <c r="BC284" s="19"/>
      <c r="BD284" s="19"/>
      <c r="BE284" s="19"/>
      <c r="BF284" s="19"/>
      <c r="BG284" s="20"/>
      <c r="BH284" s="20"/>
      <c r="BI284" s="20"/>
      <c r="BJ284" s="20"/>
      <c r="BK284" s="20"/>
      <c r="BL284" s="20"/>
      <c r="BM284" s="20"/>
      <c r="BN284" s="20"/>
      <c r="BO284" s="20"/>
      <c r="BP284" s="20"/>
      <c r="BQ284" s="20"/>
      <c r="BR284" s="20"/>
      <c r="BS284" s="20"/>
      <c r="BT284" s="20"/>
      <c r="BU284" s="20"/>
      <c r="BV284" s="20"/>
      <c r="IP284" s="20"/>
      <c r="IQ284" s="20"/>
      <c r="IR284" s="20"/>
      <c r="IS284" s="20"/>
      <c r="IT284" s="20"/>
      <c r="IU284" s="20"/>
      <c r="IV284" s="20"/>
    </row>
    <row r="285" spans="1:256" s="21" customFormat="1" ht="76.5">
      <c r="A285" s="135"/>
      <c r="B285" s="24">
        <v>269</v>
      </c>
      <c r="C285" s="24">
        <v>545915</v>
      </c>
      <c r="D285" s="25">
        <v>44837</v>
      </c>
      <c r="E285" s="26">
        <v>61157</v>
      </c>
      <c r="F285" s="26">
        <v>169063</v>
      </c>
      <c r="G285" s="26">
        <v>34009</v>
      </c>
      <c r="H285" s="27">
        <v>247</v>
      </c>
      <c r="I285" s="27"/>
      <c r="J285" s="27">
        <v>5</v>
      </c>
      <c r="K285" s="27">
        <v>4</v>
      </c>
      <c r="L285" s="27" t="s">
        <v>129</v>
      </c>
      <c r="M285" s="27" t="s">
        <v>241</v>
      </c>
      <c r="N285" s="27" t="s">
        <v>1285</v>
      </c>
      <c r="O285" s="27"/>
      <c r="P285" s="27" t="s">
        <v>166</v>
      </c>
      <c r="Q285" s="27" t="s">
        <v>166</v>
      </c>
      <c r="R285" s="27" t="s">
        <v>166</v>
      </c>
      <c r="S285" s="27" t="s">
        <v>1286</v>
      </c>
      <c r="T285" s="27"/>
      <c r="U285" s="28">
        <v>4</v>
      </c>
      <c r="V285" s="27"/>
      <c r="W285" s="27"/>
      <c r="X285" s="27" t="s">
        <v>77</v>
      </c>
      <c r="Y285" s="29"/>
      <c r="Z285" s="30">
        <f>1+1+1+1</f>
        <v>4</v>
      </c>
      <c r="AA285" s="31"/>
      <c r="AB285" s="30">
        <f>+Z285+1+1</f>
        <v>6</v>
      </c>
      <c r="AC285" s="31"/>
      <c r="AD285" s="30">
        <f>+Z285*2</f>
        <v>8</v>
      </c>
      <c r="AE285" s="27"/>
      <c r="AF285" s="27"/>
      <c r="AG285" s="27"/>
      <c r="AH285" s="27"/>
      <c r="AI285" s="28">
        <f>129.17+97.91/2</f>
        <v>178.125</v>
      </c>
      <c r="AJ285" s="32"/>
      <c r="AK285" s="33">
        <v>864</v>
      </c>
      <c r="AL285" s="33">
        <f>+(129.17+97.91)/AK285</f>
        <v>0.26282407407407404</v>
      </c>
      <c r="AM285" s="33">
        <f>+AI285/AK285</f>
        <v>0.20616319444444445</v>
      </c>
      <c r="AN285" s="33">
        <f>+(12+6+4+5)/(6+2+1+1)</f>
        <v>2.7</v>
      </c>
      <c r="AO285" s="33">
        <f>+(3*33123+26491*7+2*19871+13249*8)/20*AI285</f>
        <v>3834496.875</v>
      </c>
      <c r="AP285" s="34">
        <v>15559.86</v>
      </c>
      <c r="AQ285" s="33" t="s">
        <v>71</v>
      </c>
      <c r="AR285" s="34" t="s">
        <v>1287</v>
      </c>
      <c r="AS285" s="35">
        <v>44910</v>
      </c>
      <c r="AT285" s="36"/>
      <c r="AU285" s="134" t="s">
        <v>1288</v>
      </c>
      <c r="AV285" s="19"/>
      <c r="AW285" s="19"/>
      <c r="AX285" s="19"/>
      <c r="AY285" s="19"/>
      <c r="AZ285" s="19"/>
      <c r="BA285" s="19"/>
      <c r="BB285" s="19"/>
      <c r="BC285" s="19"/>
      <c r="BD285" s="19"/>
      <c r="BE285" s="19"/>
      <c r="BF285" s="19"/>
      <c r="BG285" s="20"/>
      <c r="BH285" s="20"/>
      <c r="BI285" s="20"/>
      <c r="BJ285" s="20"/>
      <c r="BK285" s="20"/>
      <c r="BL285" s="20"/>
      <c r="BM285" s="20"/>
      <c r="BN285" s="20"/>
      <c r="BO285" s="20"/>
      <c r="BP285" s="20"/>
      <c r="BQ285" s="20"/>
      <c r="BR285" s="20"/>
      <c r="BS285" s="20"/>
      <c r="BT285" s="20"/>
      <c r="BU285" s="20"/>
      <c r="BV285" s="20"/>
      <c r="IP285" s="20"/>
      <c r="IQ285" s="20"/>
      <c r="IR285" s="20"/>
      <c r="IS285" s="20"/>
      <c r="IT285" s="20"/>
      <c r="IU285" s="20"/>
      <c r="IV285" s="20"/>
    </row>
    <row r="286" spans="1:256" s="21" customFormat="1" ht="38.25">
      <c r="A286" s="135"/>
      <c r="B286" s="24">
        <v>264</v>
      </c>
      <c r="C286" s="24" t="s">
        <v>1289</v>
      </c>
      <c r="D286" s="25">
        <v>44816</v>
      </c>
      <c r="E286" s="26">
        <v>46897</v>
      </c>
      <c r="F286" s="26">
        <v>149883</v>
      </c>
      <c r="G286" s="26">
        <v>32290</v>
      </c>
      <c r="H286" s="27">
        <v>137</v>
      </c>
      <c r="I286" s="27"/>
      <c r="J286" s="27">
        <v>1</v>
      </c>
      <c r="K286" s="27">
        <v>2</v>
      </c>
      <c r="L286" s="27" t="s">
        <v>337</v>
      </c>
      <c r="M286" s="27" t="s">
        <v>1290</v>
      </c>
      <c r="N286" s="27" t="s">
        <v>561</v>
      </c>
      <c r="O286" s="27" t="s">
        <v>1291</v>
      </c>
      <c r="P286" s="27" t="s">
        <v>1292</v>
      </c>
      <c r="Q286" s="27" t="s">
        <v>1292</v>
      </c>
      <c r="R286" s="27" t="s">
        <v>1292</v>
      </c>
      <c r="S286" s="27" t="s">
        <v>563</v>
      </c>
      <c r="T286" s="27"/>
      <c r="U286" s="28">
        <v>1</v>
      </c>
      <c r="V286" s="27"/>
      <c r="W286" s="27"/>
      <c r="X286" s="27" t="s">
        <v>441</v>
      </c>
      <c r="Y286" s="29"/>
      <c r="Z286" s="30"/>
      <c r="AA286" s="31"/>
      <c r="AB286" s="30"/>
      <c r="AC286" s="31"/>
      <c r="AD286" s="30"/>
      <c r="AE286" s="27"/>
      <c r="AF286" s="27"/>
      <c r="AG286" s="27"/>
      <c r="AH286" s="27"/>
      <c r="AI286" s="28"/>
      <c r="AJ286" s="32">
        <v>600</v>
      </c>
      <c r="AK286" s="33">
        <v>2025</v>
      </c>
      <c r="AL286" s="33">
        <f>+AJ286/AK286</f>
        <v>0.29629629629629628</v>
      </c>
      <c r="AM286" s="33">
        <f>+AL286</f>
        <v>0.29629629629629628</v>
      </c>
      <c r="AN286" s="33"/>
      <c r="AO286" s="33">
        <v>14417345</v>
      </c>
      <c r="AP286" s="34">
        <v>53738.239999999998</v>
      </c>
      <c r="AQ286" s="33" t="s">
        <v>71</v>
      </c>
      <c r="AR286" s="34" t="s">
        <v>1293</v>
      </c>
      <c r="AS286" s="35">
        <v>44908</v>
      </c>
      <c r="AT286" s="36"/>
      <c r="AU286" s="134" t="s">
        <v>1294</v>
      </c>
      <c r="AV286" s="19"/>
      <c r="AW286" s="19"/>
      <c r="AX286" s="19"/>
      <c r="AY286" s="19"/>
      <c r="AZ286" s="19"/>
      <c r="BA286" s="19"/>
      <c r="BB286" s="19"/>
      <c r="BC286" s="19"/>
      <c r="BD286" s="19"/>
      <c r="BE286" s="19"/>
      <c r="BF286" s="19"/>
      <c r="BG286" s="20"/>
      <c r="BH286" s="20"/>
      <c r="BI286" s="20"/>
      <c r="BJ286" s="20"/>
      <c r="BK286" s="20"/>
      <c r="BL286" s="20"/>
      <c r="BM286" s="20"/>
      <c r="BN286" s="20"/>
      <c r="BO286" s="20"/>
      <c r="BP286" s="20"/>
      <c r="BQ286" s="20"/>
      <c r="BR286" s="20"/>
      <c r="BS286" s="20"/>
      <c r="BT286" s="20"/>
      <c r="BU286" s="20"/>
      <c r="BV286" s="20"/>
      <c r="IP286" s="20"/>
      <c r="IQ286" s="20"/>
      <c r="IR286" s="20"/>
      <c r="IS286" s="20"/>
      <c r="IT286" s="20"/>
      <c r="IU286" s="20"/>
      <c r="IV286" s="20"/>
    </row>
    <row r="287" spans="1:256" s="21" customFormat="1" ht="76.5">
      <c r="A287" s="135"/>
      <c r="B287" s="24">
        <v>266</v>
      </c>
      <c r="C287" s="24">
        <v>546898</v>
      </c>
      <c r="D287" s="25">
        <v>44859</v>
      </c>
      <c r="E287" s="26">
        <v>43762</v>
      </c>
      <c r="F287" s="26">
        <v>141459</v>
      </c>
      <c r="G287" s="26">
        <v>32003</v>
      </c>
      <c r="H287" s="27">
        <v>227</v>
      </c>
      <c r="I287" s="27"/>
      <c r="J287" s="27">
        <v>4</v>
      </c>
      <c r="K287" s="27">
        <v>1</v>
      </c>
      <c r="L287" s="27" t="s">
        <v>417</v>
      </c>
      <c r="M287" s="27" t="s">
        <v>1295</v>
      </c>
      <c r="N287" s="27" t="s">
        <v>1296</v>
      </c>
      <c r="O287" s="27"/>
      <c r="P287" s="27" t="s">
        <v>1282</v>
      </c>
      <c r="Q287" s="27" t="s">
        <v>1282</v>
      </c>
      <c r="R287" s="27" t="s">
        <v>1282</v>
      </c>
      <c r="S287" s="27" t="s">
        <v>100</v>
      </c>
      <c r="T287" s="27"/>
      <c r="U287" s="28">
        <v>1</v>
      </c>
      <c r="V287" s="27"/>
      <c r="W287" s="27"/>
      <c r="X287" s="27" t="s">
        <v>1297</v>
      </c>
      <c r="Y287" s="29"/>
      <c r="Z287" s="30">
        <v>2</v>
      </c>
      <c r="AA287" s="31"/>
      <c r="AB287" s="30">
        <f>+Z287+1+1</f>
        <v>4</v>
      </c>
      <c r="AC287" s="31"/>
      <c r="AD287" s="30">
        <f>+Z287*2</f>
        <v>4</v>
      </c>
      <c r="AE287" s="27"/>
      <c r="AF287" s="27"/>
      <c r="AG287" s="27"/>
      <c r="AH287" s="27"/>
      <c r="AI287" s="28">
        <f>160.47+73.73/2</f>
        <v>197.33500000000001</v>
      </c>
      <c r="AJ287" s="32"/>
      <c r="AK287" s="33">
        <v>2153.8000000000002</v>
      </c>
      <c r="AL287" s="33">
        <f>+(160.47+73.73)/AK287</f>
        <v>0.10873804438666541</v>
      </c>
      <c r="AM287" s="33">
        <f>+AI287/AK287</f>
        <v>9.1621784752530411E-2</v>
      </c>
      <c r="AN287" s="33"/>
      <c r="AO287" s="33">
        <f>+(12*33123+8*26491+19871*3)/23*AI287</f>
        <v>5740020.4215217391</v>
      </c>
      <c r="AP287" s="34">
        <v>21143.55</v>
      </c>
      <c r="AQ287" s="33" t="s">
        <v>71</v>
      </c>
      <c r="AR287" s="34" t="s">
        <v>1298</v>
      </c>
      <c r="AS287" s="35">
        <v>44909</v>
      </c>
      <c r="AT287" s="36"/>
      <c r="AU287" s="134" t="s">
        <v>1299</v>
      </c>
      <c r="AV287" s="19"/>
      <c r="AW287" s="19"/>
      <c r="AX287" s="19"/>
      <c r="AY287" s="19"/>
      <c r="AZ287" s="19"/>
      <c r="BA287" s="19"/>
      <c r="BB287" s="19"/>
      <c r="BC287" s="19"/>
      <c r="BD287" s="19"/>
      <c r="BE287" s="19"/>
      <c r="BF287" s="19"/>
      <c r="BG287" s="20"/>
      <c r="BH287" s="20"/>
      <c r="BI287" s="20"/>
      <c r="BJ287" s="20"/>
      <c r="BK287" s="20"/>
      <c r="BL287" s="20"/>
      <c r="BM287" s="20"/>
      <c r="BN287" s="20"/>
      <c r="BO287" s="20"/>
      <c r="BP287" s="20"/>
      <c r="BQ287" s="20"/>
      <c r="BR287" s="20"/>
      <c r="BS287" s="20"/>
      <c r="BT287" s="20"/>
      <c r="BU287" s="20"/>
      <c r="BV287" s="20"/>
      <c r="IP287" s="20"/>
      <c r="IQ287" s="20"/>
      <c r="IR287" s="20"/>
      <c r="IS287" s="20"/>
      <c r="IT287" s="20"/>
      <c r="IU287" s="20"/>
      <c r="IV287" s="20"/>
    </row>
    <row r="288" spans="1:256" s="21" customFormat="1" ht="76.5">
      <c r="A288" s="135"/>
      <c r="B288" s="24">
        <v>268</v>
      </c>
      <c r="C288" s="24">
        <v>533506</v>
      </c>
      <c r="D288" s="25">
        <v>44428</v>
      </c>
      <c r="E288" s="26">
        <v>32522</v>
      </c>
      <c r="F288" s="26">
        <v>131361</v>
      </c>
      <c r="G288" s="26">
        <v>6888</v>
      </c>
      <c r="H288" s="27"/>
      <c r="I288" s="27"/>
      <c r="J288" s="27">
        <v>2</v>
      </c>
      <c r="K288" s="27">
        <v>10</v>
      </c>
      <c r="L288" s="27" t="s">
        <v>38</v>
      </c>
      <c r="M288" s="27" t="s">
        <v>1300</v>
      </c>
      <c r="N288" s="27" t="s">
        <v>1301</v>
      </c>
      <c r="O288" s="27"/>
      <c r="P288" s="27" t="s">
        <v>317</v>
      </c>
      <c r="Q288" s="27"/>
      <c r="R288" s="27"/>
      <c r="S288" s="27"/>
      <c r="T288" s="27">
        <f>1+1+1</f>
        <v>3</v>
      </c>
      <c r="U288" s="28"/>
      <c r="V288" s="27"/>
      <c r="W288" s="27"/>
      <c r="X288" s="27" t="s">
        <v>1302</v>
      </c>
      <c r="Y288" s="29">
        <f>3+1</f>
        <v>4</v>
      </c>
      <c r="Z288" s="30"/>
      <c r="AA288" s="31">
        <f>+Y288+1+1</f>
        <v>6</v>
      </c>
      <c r="AB288" s="30"/>
      <c r="AC288" s="31">
        <f>+Y288*2</f>
        <v>8</v>
      </c>
      <c r="AD288" s="30"/>
      <c r="AE288" s="27"/>
      <c r="AF288" s="27"/>
      <c r="AG288" s="27"/>
      <c r="AH288" s="27">
        <f>146.46+30.32/2</f>
        <v>161.62</v>
      </c>
      <c r="AI288" s="28"/>
      <c r="AJ288" s="32"/>
      <c r="AK288" s="33">
        <v>300</v>
      </c>
      <c r="AL288" s="33">
        <f>+(146.46+30.32)/AK288</f>
        <v>0.58926666666666672</v>
      </c>
      <c r="AM288" s="33">
        <f>+AH288/AK288</f>
        <v>0.5387333333333334</v>
      </c>
      <c r="AN288" s="33"/>
      <c r="AO288" s="33">
        <f>+(6*33123+26491*4+5*19871+5*13249)/20*AH288</f>
        <v>3800510.4619999998</v>
      </c>
      <c r="AP288" s="34">
        <v>55678.92</v>
      </c>
      <c r="AQ288" s="33" t="s">
        <v>71</v>
      </c>
      <c r="AR288" s="34" t="s">
        <v>1303</v>
      </c>
      <c r="AS288" s="35">
        <v>44909</v>
      </c>
      <c r="AT288" s="36"/>
      <c r="AU288" s="134">
        <v>44432</v>
      </c>
      <c r="AV288" s="19"/>
      <c r="AW288" s="19"/>
      <c r="AX288" s="19"/>
      <c r="AY288" s="19"/>
      <c r="AZ288" s="19"/>
      <c r="BA288" s="19"/>
      <c r="BB288" s="19"/>
      <c r="BC288" s="19"/>
      <c r="BD288" s="19"/>
      <c r="BE288" s="19"/>
      <c r="BF288" s="19"/>
      <c r="BG288" s="20"/>
      <c r="BH288" s="20"/>
      <c r="BI288" s="20"/>
      <c r="BJ288" s="20"/>
      <c r="BK288" s="20"/>
      <c r="BL288" s="20"/>
      <c r="BM288" s="20"/>
      <c r="BN288" s="20"/>
      <c r="BO288" s="20"/>
      <c r="BP288" s="20"/>
      <c r="BQ288" s="20"/>
      <c r="BR288" s="20"/>
      <c r="BS288" s="20"/>
      <c r="BT288" s="20"/>
      <c r="BU288" s="20"/>
      <c r="BV288" s="20"/>
      <c r="IP288" s="20"/>
      <c r="IQ288" s="20"/>
      <c r="IR288" s="20"/>
      <c r="IS288" s="20"/>
      <c r="IT288" s="20"/>
      <c r="IU288" s="20"/>
      <c r="IV288" s="20"/>
    </row>
    <row r="289" spans="1:256" s="21" customFormat="1" ht="89.25">
      <c r="A289" s="135"/>
      <c r="B289" s="24">
        <v>272</v>
      </c>
      <c r="C289" s="24">
        <v>547452</v>
      </c>
      <c r="D289" s="25">
        <v>44873</v>
      </c>
      <c r="E289" s="26">
        <v>26459</v>
      </c>
      <c r="F289" s="26">
        <v>106752</v>
      </c>
      <c r="G289" s="26">
        <v>3817</v>
      </c>
      <c r="H289" s="27"/>
      <c r="I289" s="27"/>
      <c r="J289" s="27">
        <v>752</v>
      </c>
      <c r="K289" s="27">
        <v>5</v>
      </c>
      <c r="L289" s="27" t="s">
        <v>60</v>
      </c>
      <c r="M289" s="27" t="s">
        <v>1304</v>
      </c>
      <c r="N289" s="27" t="s">
        <v>1305</v>
      </c>
      <c r="O289" s="27"/>
      <c r="P289" s="27" t="s">
        <v>456</v>
      </c>
      <c r="Q289" s="27" t="s">
        <v>456</v>
      </c>
      <c r="R289" s="27" t="s">
        <v>456</v>
      </c>
      <c r="S289" s="27" t="s">
        <v>897</v>
      </c>
      <c r="T289" s="27"/>
      <c r="U289" s="28">
        <v>1</v>
      </c>
      <c r="V289" s="27">
        <f>1+1+1+1</f>
        <v>4</v>
      </c>
      <c r="W289" s="27"/>
      <c r="X289" s="27" t="s">
        <v>77</v>
      </c>
      <c r="Y289" s="29">
        <f>2+1+1+3</f>
        <v>7</v>
      </c>
      <c r="Z289" s="30">
        <v>1</v>
      </c>
      <c r="AA289" s="31">
        <f>+Y289+1+1+1+1</f>
        <v>11</v>
      </c>
      <c r="AB289" s="30">
        <f>+Z289+1</f>
        <v>2</v>
      </c>
      <c r="AC289" s="31">
        <f>+Y289*2</f>
        <v>14</v>
      </c>
      <c r="AD289" s="30">
        <f>+Z289*2</f>
        <v>2</v>
      </c>
      <c r="AE289" s="27">
        <f>200.11+33/2</f>
        <v>216.61</v>
      </c>
      <c r="AF289" s="27"/>
      <c r="AG289" s="27">
        <v>10.93</v>
      </c>
      <c r="AH289" s="27"/>
      <c r="AI289" s="28">
        <f>29.23+2.97/2</f>
        <v>30.715</v>
      </c>
      <c r="AJ289" s="32"/>
      <c r="AK289" s="33">
        <v>599.16</v>
      </c>
      <c r="AL289" s="33">
        <v>0.27</v>
      </c>
      <c r="AM289" s="33">
        <f>+(AE289+AG289+AI289)/AK289</f>
        <v>0.43102843981574207</v>
      </c>
      <c r="AN289" s="33"/>
      <c r="AO289" s="33">
        <f>+(2*33123+26491*3+7*19871+13249*8)/20*(AI289+AG289)</f>
        <v>813759.95799999998</v>
      </c>
      <c r="AP289" s="34">
        <v>5216.7299999999996</v>
      </c>
      <c r="AQ289" s="33" t="s">
        <v>1306</v>
      </c>
      <c r="AR289" s="34" t="s">
        <v>1307</v>
      </c>
      <c r="AS289" s="35">
        <v>44911</v>
      </c>
      <c r="AT289" s="36"/>
      <c r="AU289" s="134">
        <v>44874</v>
      </c>
      <c r="AV289" s="19"/>
      <c r="AW289" s="19"/>
      <c r="AX289" s="19"/>
      <c r="AY289" s="19"/>
      <c r="AZ289" s="19"/>
      <c r="BA289" s="19"/>
      <c r="BB289" s="19"/>
      <c r="BC289" s="19"/>
      <c r="BD289" s="19"/>
      <c r="BE289" s="19"/>
      <c r="BF289" s="19"/>
      <c r="BG289" s="20"/>
      <c r="BH289" s="20"/>
      <c r="BI289" s="20"/>
      <c r="BJ289" s="20"/>
      <c r="BK289" s="20"/>
      <c r="BL289" s="20"/>
      <c r="BM289" s="20"/>
      <c r="BN289" s="20"/>
      <c r="BO289" s="20"/>
      <c r="BP289" s="20"/>
      <c r="BQ289" s="20"/>
      <c r="BR289" s="20"/>
      <c r="BS289" s="20"/>
      <c r="BT289" s="20"/>
      <c r="BU289" s="20"/>
      <c r="BV289" s="20"/>
      <c r="IP289" s="20"/>
      <c r="IQ289" s="20"/>
      <c r="IR289" s="20"/>
      <c r="IS289" s="20"/>
      <c r="IT289" s="20"/>
      <c r="IU289" s="20"/>
      <c r="IV289" s="20"/>
    </row>
    <row r="290" spans="1:256" s="21" customFormat="1" ht="51">
      <c r="A290" s="135"/>
      <c r="B290" s="24">
        <v>267</v>
      </c>
      <c r="C290" s="24" t="s">
        <v>989</v>
      </c>
      <c r="D290" s="25">
        <v>44833</v>
      </c>
      <c r="E290" s="26">
        <v>52700</v>
      </c>
      <c r="F290" s="26">
        <v>162455</v>
      </c>
      <c r="G290" s="26">
        <v>21266</v>
      </c>
      <c r="H290" s="27"/>
      <c r="I290" s="27"/>
      <c r="J290" s="27">
        <v>644</v>
      </c>
      <c r="K290" s="27">
        <v>8</v>
      </c>
      <c r="L290" s="27" t="s">
        <v>1308</v>
      </c>
      <c r="M290" s="27" t="s">
        <v>1309</v>
      </c>
      <c r="N290" s="27" t="s">
        <v>991</v>
      </c>
      <c r="O290" s="27"/>
      <c r="P290" s="27" t="s">
        <v>1026</v>
      </c>
      <c r="Q290" s="27"/>
      <c r="R290" s="27"/>
      <c r="S290" s="27"/>
      <c r="T290" s="27"/>
      <c r="U290" s="28">
        <v>4</v>
      </c>
      <c r="V290" s="27"/>
      <c r="W290" s="27"/>
      <c r="X290" s="27" t="s">
        <v>77</v>
      </c>
      <c r="Y290" s="29"/>
      <c r="Z290" s="30">
        <f>1+1+1+1</f>
        <v>4</v>
      </c>
      <c r="AA290" s="31"/>
      <c r="AB290" s="30">
        <f>+Z290+1+1+1+1</f>
        <v>8</v>
      </c>
      <c r="AC290" s="31"/>
      <c r="AD290" s="30">
        <f>+Z290*2</f>
        <v>8</v>
      </c>
      <c r="AE290" s="27"/>
      <c r="AF290" s="27"/>
      <c r="AG290" s="27"/>
      <c r="AH290" s="27"/>
      <c r="AI290" s="28">
        <f>106.06+106.06</f>
        <v>212.12</v>
      </c>
      <c r="AJ290" s="32"/>
      <c r="AK290" s="33">
        <v>300</v>
      </c>
      <c r="AL290" s="33">
        <f>106.06/AK290</f>
        <v>0.35353333333333337</v>
      </c>
      <c r="AM290" s="33">
        <f>+AI290/AK290</f>
        <v>0.70706666666666673</v>
      </c>
      <c r="AN290" s="33"/>
      <c r="AO290" s="33">
        <f>+(2*33123+26491*9+10*19871+4*13249)/25*AI290</f>
        <v>4720696.6607999997</v>
      </c>
      <c r="AP290" s="34">
        <v>21949.09</v>
      </c>
      <c r="AQ290" s="33" t="s">
        <v>51</v>
      </c>
      <c r="AR290" s="34" t="s">
        <v>1310</v>
      </c>
      <c r="AS290" s="35">
        <v>44909</v>
      </c>
      <c r="AT290" s="36"/>
      <c r="AU290" s="134" t="s">
        <v>1311</v>
      </c>
      <c r="AV290" s="19"/>
      <c r="AW290" s="19"/>
      <c r="AX290" s="19"/>
      <c r="AY290" s="19"/>
      <c r="AZ290" s="19"/>
      <c r="BA290" s="19"/>
      <c r="BB290" s="19"/>
      <c r="BC290" s="19"/>
      <c r="BD290" s="19"/>
      <c r="BE290" s="19"/>
      <c r="BF290" s="19"/>
      <c r="BG290" s="20"/>
      <c r="BH290" s="20"/>
      <c r="BI290" s="20"/>
      <c r="BJ290" s="20"/>
      <c r="BK290" s="20"/>
      <c r="BL290" s="20"/>
      <c r="BM290" s="20"/>
      <c r="BN290" s="20"/>
      <c r="BO290" s="20"/>
      <c r="BP290" s="20"/>
      <c r="BQ290" s="20"/>
      <c r="BR290" s="20"/>
      <c r="BS290" s="20"/>
      <c r="BT290" s="20"/>
      <c r="BU290" s="20"/>
      <c r="BV290" s="20"/>
      <c r="IP290" s="20"/>
      <c r="IQ290" s="20"/>
      <c r="IR290" s="20"/>
      <c r="IS290" s="20"/>
      <c r="IT290" s="20"/>
      <c r="IU290" s="20"/>
      <c r="IV290" s="20"/>
    </row>
    <row r="291" spans="1:256" s="199" customFormat="1" ht="38.25">
      <c r="A291" s="192"/>
      <c r="B291" s="40">
        <v>277</v>
      </c>
      <c r="C291" s="40" t="s">
        <v>1312</v>
      </c>
      <c r="D291" s="193">
        <v>44826</v>
      </c>
      <c r="E291" s="194">
        <v>42642</v>
      </c>
      <c r="F291" s="194">
        <v>917</v>
      </c>
      <c r="G291" s="194">
        <v>4517</v>
      </c>
      <c r="H291" s="194"/>
      <c r="I291" s="194"/>
      <c r="J291" s="194">
        <v>83</v>
      </c>
      <c r="K291" s="194">
        <v>1</v>
      </c>
      <c r="L291" s="194" t="s">
        <v>88</v>
      </c>
      <c r="M291" s="194" t="s">
        <v>1313</v>
      </c>
      <c r="N291" s="194" t="s">
        <v>1314</v>
      </c>
      <c r="O291" s="194"/>
      <c r="P291" s="194" t="s">
        <v>1315</v>
      </c>
      <c r="Q291" s="194" t="s">
        <v>1315</v>
      </c>
      <c r="R291" s="194" t="s">
        <v>1315</v>
      </c>
      <c r="S291" s="194"/>
      <c r="T291" s="194"/>
      <c r="U291" s="195">
        <v>3</v>
      </c>
      <c r="V291" s="194"/>
      <c r="W291" s="194"/>
      <c r="X291" s="194" t="s">
        <v>77</v>
      </c>
      <c r="Y291" s="194"/>
      <c r="Z291" s="196">
        <f>1+1+1</f>
        <v>3</v>
      </c>
      <c r="AA291" s="197"/>
      <c r="AB291" s="196">
        <f>+Z291+1+1+1</f>
        <v>6</v>
      </c>
      <c r="AC291" s="197"/>
      <c r="AD291" s="196">
        <f>+Z291*2</f>
        <v>6</v>
      </c>
      <c r="AE291" s="36"/>
      <c r="AF291" s="36"/>
      <c r="AG291" s="36"/>
      <c r="AH291" s="36"/>
      <c r="AI291" s="195">
        <f>208.8+57.85/2</f>
        <v>237.72500000000002</v>
      </c>
      <c r="AJ291" s="195"/>
      <c r="AK291" s="194">
        <v>244.07</v>
      </c>
      <c r="AL291" s="194">
        <v>0.55000000000000004</v>
      </c>
      <c r="AM291" s="194">
        <f>+AI291/AK291</f>
        <v>0.97400335969189178</v>
      </c>
      <c r="AN291" s="194">
        <f>+(8+12+4+5)/(4+4+1+1)</f>
        <v>2.9</v>
      </c>
      <c r="AO291" s="194">
        <f>+(5*33123+26491*5+7*19871+13249*5)/22*AI291</f>
        <v>5439709.8954545455</v>
      </c>
      <c r="AP291" s="194">
        <v>35323.620000000003</v>
      </c>
      <c r="AQ291" s="194" t="s">
        <v>51</v>
      </c>
      <c r="AR291" s="194" t="s">
        <v>1316</v>
      </c>
      <c r="AS291" s="193">
        <v>44923</v>
      </c>
      <c r="AT291" s="194"/>
      <c r="AU291" s="198" t="s">
        <v>1317</v>
      </c>
    </row>
    <row r="292" spans="1:256" s="199" customFormat="1" ht="51">
      <c r="A292" s="192"/>
      <c r="B292" s="40">
        <v>270</v>
      </c>
      <c r="C292" s="40">
        <v>534749</v>
      </c>
      <c r="D292" s="193">
        <v>44011</v>
      </c>
      <c r="E292" s="194">
        <v>22228</v>
      </c>
      <c r="F292" s="194">
        <v>111243</v>
      </c>
      <c r="G292" s="194">
        <v>5056</v>
      </c>
      <c r="H292" s="194"/>
      <c r="I292" s="194"/>
      <c r="J292" s="194">
        <v>376</v>
      </c>
      <c r="K292" s="194">
        <v>8</v>
      </c>
      <c r="L292" s="194" t="s">
        <v>38</v>
      </c>
      <c r="M292" s="194" t="s">
        <v>1318</v>
      </c>
      <c r="N292" s="194" t="s">
        <v>1319</v>
      </c>
      <c r="O292" s="194"/>
      <c r="P292" s="194" t="s">
        <v>143</v>
      </c>
      <c r="Q292" s="194"/>
      <c r="R292" s="194"/>
      <c r="S292" s="194"/>
      <c r="T292" s="194">
        <f>1+1</f>
        <v>2</v>
      </c>
      <c r="U292" s="195"/>
      <c r="V292" s="194"/>
      <c r="W292" s="194"/>
      <c r="X292" s="194" t="s">
        <v>151</v>
      </c>
      <c r="Y292" s="194">
        <v>1</v>
      </c>
      <c r="Z292" s="196"/>
      <c r="AA292" s="197">
        <f>+Y292+1</f>
        <v>2</v>
      </c>
      <c r="AB292" s="196"/>
      <c r="AC292" s="197">
        <f>+Y292*2</f>
        <v>2</v>
      </c>
      <c r="AD292" s="196"/>
      <c r="AE292" s="36"/>
      <c r="AF292" s="36"/>
      <c r="AG292" s="36">
        <f>7.45*9+5.85*2.13/2+8.66*3.23/2</f>
        <v>87.266149999999996</v>
      </c>
      <c r="AH292" s="36">
        <f>6.35*8.66</f>
        <v>54.991</v>
      </c>
      <c r="AI292" s="195"/>
      <c r="AJ292" s="195"/>
      <c r="AK292" s="194">
        <v>201.18</v>
      </c>
      <c r="AL292" s="194">
        <f>+(122.04+40.43)/AK292</f>
        <v>0.80758524704244949</v>
      </c>
      <c r="AM292" s="194">
        <f>+(AG292+AH292)/AK292</f>
        <v>0.70711377870563674</v>
      </c>
      <c r="AN292" s="194"/>
      <c r="AO292" s="194">
        <f>+(AH292*19871)+((5*33123+4*26491+4*19871+13249*7)/20*AG292)</f>
        <v>3029188.2093449999</v>
      </c>
      <c r="AP292" s="194">
        <v>50678.58</v>
      </c>
      <c r="AQ292" s="194" t="s">
        <v>51</v>
      </c>
      <c r="AR292" s="194" t="s">
        <v>1320</v>
      </c>
      <c r="AS292" s="193">
        <v>44911</v>
      </c>
      <c r="AT292" s="194"/>
      <c r="AU292" s="200" t="s">
        <v>1321</v>
      </c>
    </row>
    <row r="293" spans="1:256" s="21" customFormat="1" ht="102">
      <c r="A293" s="135"/>
      <c r="B293" s="24">
        <v>273</v>
      </c>
      <c r="C293" s="24">
        <v>541423</v>
      </c>
      <c r="D293" s="25">
        <v>44659</v>
      </c>
      <c r="E293" s="26">
        <v>8790</v>
      </c>
      <c r="F293" s="26">
        <v>104119</v>
      </c>
      <c r="G293" s="26">
        <v>3367</v>
      </c>
      <c r="H293" s="27"/>
      <c r="I293" s="27"/>
      <c r="J293" s="27">
        <v>755</v>
      </c>
      <c r="K293" s="27">
        <v>10</v>
      </c>
      <c r="L293" s="27" t="s">
        <v>1322</v>
      </c>
      <c r="M293" s="27" t="s">
        <v>1323</v>
      </c>
      <c r="N293" s="27" t="s">
        <v>1324</v>
      </c>
      <c r="O293" s="27"/>
      <c r="P293" s="27" t="s">
        <v>1325</v>
      </c>
      <c r="Q293" s="27"/>
      <c r="R293" s="27"/>
      <c r="S293" s="27"/>
      <c r="T293" s="27">
        <v>1</v>
      </c>
      <c r="U293" s="28"/>
      <c r="V293" s="27"/>
      <c r="W293" s="27"/>
      <c r="X293" s="27" t="s">
        <v>1326</v>
      </c>
      <c r="Y293" s="29">
        <v>1</v>
      </c>
      <c r="Z293" s="30"/>
      <c r="AA293" s="31">
        <f>+Y293+1</f>
        <v>2</v>
      </c>
      <c r="AB293" s="30"/>
      <c r="AC293" s="31">
        <f>+Y293*2</f>
        <v>2</v>
      </c>
      <c r="AD293" s="30"/>
      <c r="AE293" s="27"/>
      <c r="AF293" s="27"/>
      <c r="AG293" s="27">
        <f>95.38+7.9/2+3.18/2</f>
        <v>100.92</v>
      </c>
      <c r="AH293" s="27">
        <f>112.6/2+19.21</f>
        <v>75.509999999999991</v>
      </c>
      <c r="AI293" s="28"/>
      <c r="AJ293" s="32"/>
      <c r="AK293" s="33">
        <v>440.7</v>
      </c>
      <c r="AL293" s="33">
        <f>95.38+7.9+3.18+112.6+19.21</f>
        <v>238.27</v>
      </c>
      <c r="AM293" s="33">
        <f>+(AG293+AH293)/AK293</f>
        <v>0.40034036759700481</v>
      </c>
      <c r="AN293" s="33">
        <f>+(6+28)/(2+7)</f>
        <v>3.7777777777777777</v>
      </c>
      <c r="AO293" s="33">
        <f>+((8*33123+26491*5+19871*6+13249*2)/21*AG293)+(AH293*26491)</f>
        <v>4610621.598571429</v>
      </c>
      <c r="AP293" s="34">
        <v>66862.84</v>
      </c>
      <c r="AQ293" s="33" t="s">
        <v>605</v>
      </c>
      <c r="AR293" s="34" t="s">
        <v>1327</v>
      </c>
      <c r="AS293" s="35">
        <v>44911</v>
      </c>
      <c r="AT293" s="36"/>
      <c r="AU293" s="134">
        <v>44663</v>
      </c>
      <c r="AV293" s="19"/>
      <c r="AW293" s="19"/>
      <c r="AX293" s="19"/>
      <c r="AY293" s="19"/>
      <c r="AZ293" s="19"/>
      <c r="BA293" s="19"/>
      <c r="BB293" s="19"/>
      <c r="BC293" s="19"/>
      <c r="BD293" s="19"/>
      <c r="BE293" s="19"/>
      <c r="BF293" s="19"/>
      <c r="BG293" s="20"/>
      <c r="BH293" s="20"/>
      <c r="BI293" s="20"/>
      <c r="BJ293" s="20"/>
      <c r="BK293" s="20"/>
      <c r="BL293" s="20"/>
      <c r="BM293" s="20"/>
      <c r="BN293" s="20"/>
      <c r="BO293" s="20"/>
      <c r="BP293" s="20"/>
      <c r="BQ293" s="20"/>
      <c r="BR293" s="20"/>
      <c r="BS293" s="20"/>
      <c r="BT293" s="20"/>
      <c r="BU293" s="20"/>
      <c r="BV293" s="20"/>
      <c r="IP293" s="20"/>
      <c r="IQ293" s="20"/>
      <c r="IR293" s="20"/>
      <c r="IS293" s="20"/>
      <c r="IT293" s="20"/>
      <c r="IU293" s="20"/>
      <c r="IV293" s="20"/>
    </row>
    <row r="294" spans="1:256" s="21" customFormat="1" ht="38.25">
      <c r="A294" s="135"/>
      <c r="B294" s="40">
        <v>271</v>
      </c>
      <c r="C294" s="40" t="s">
        <v>1328</v>
      </c>
      <c r="D294" s="201">
        <v>44869</v>
      </c>
      <c r="E294" s="71">
        <v>15808</v>
      </c>
      <c r="F294" s="71">
        <v>1936</v>
      </c>
      <c r="G294" s="71">
        <v>146</v>
      </c>
      <c r="H294" s="72"/>
      <c r="I294" s="72"/>
      <c r="J294" s="72">
        <v>143</v>
      </c>
      <c r="K294" s="72">
        <v>8</v>
      </c>
      <c r="L294" s="72" t="s">
        <v>31</v>
      </c>
      <c r="M294" s="72" t="s">
        <v>1329</v>
      </c>
      <c r="N294" s="72" t="s">
        <v>1330</v>
      </c>
      <c r="O294" s="72"/>
      <c r="P294" s="72" t="s">
        <v>860</v>
      </c>
      <c r="Q294" s="72"/>
      <c r="R294" s="72"/>
      <c r="S294" s="72"/>
      <c r="T294" s="72">
        <v>1</v>
      </c>
      <c r="U294" s="73"/>
      <c r="V294" s="72"/>
      <c r="W294" s="72"/>
      <c r="X294" s="72" t="s">
        <v>186</v>
      </c>
      <c r="Y294" s="74"/>
      <c r="Z294" s="75"/>
      <c r="AA294" s="76"/>
      <c r="AB294" s="75"/>
      <c r="AC294" s="76"/>
      <c r="AD294" s="75"/>
      <c r="AE294" s="72"/>
      <c r="AF294" s="72">
        <f>108.77+22.57+2.2/2-AH294</f>
        <v>90</v>
      </c>
      <c r="AG294" s="72"/>
      <c r="AH294" s="72">
        <f>18.77+22.57+2.2/2</f>
        <v>42.440000000000005</v>
      </c>
      <c r="AI294" s="73"/>
      <c r="AJ294" s="77"/>
      <c r="AK294" s="78">
        <v>141.63</v>
      </c>
      <c r="AL294" s="78">
        <v>0.78</v>
      </c>
      <c r="AM294" s="78">
        <f>+(AF294+AH294)/AK294</f>
        <v>0.93511261738332274</v>
      </c>
      <c r="AN294" s="78"/>
      <c r="AO294" s="78">
        <f>+AH294*26491</f>
        <v>1124278.04</v>
      </c>
      <c r="AP294" s="79">
        <v>61906.35</v>
      </c>
      <c r="AQ294" s="78" t="s">
        <v>71</v>
      </c>
      <c r="AR294" s="79" t="s">
        <v>1331</v>
      </c>
      <c r="AS294" s="80">
        <v>44923</v>
      </c>
      <c r="AT294" s="81"/>
      <c r="AU294" s="202">
        <v>44908</v>
      </c>
      <c r="AV294" s="19"/>
      <c r="AW294" s="19"/>
      <c r="AX294" s="19"/>
      <c r="AY294" s="19"/>
      <c r="AZ294" s="19"/>
      <c r="BA294" s="19"/>
      <c r="BB294" s="19"/>
      <c r="BC294" s="19"/>
      <c r="BD294" s="19"/>
      <c r="BE294" s="19"/>
      <c r="BF294" s="19"/>
      <c r="BG294" s="20"/>
      <c r="BH294" s="20"/>
      <c r="BI294" s="20"/>
      <c r="BJ294" s="20"/>
      <c r="BK294" s="20"/>
      <c r="BL294" s="20"/>
      <c r="BM294" s="20"/>
      <c r="BN294" s="20"/>
      <c r="BO294" s="20"/>
      <c r="BP294" s="20"/>
      <c r="BQ294" s="20"/>
      <c r="BR294" s="20"/>
      <c r="BS294" s="20"/>
      <c r="BT294" s="20"/>
      <c r="BU294" s="20"/>
      <c r="BV294" s="20"/>
      <c r="IP294" s="20"/>
      <c r="IQ294" s="20"/>
      <c r="IR294" s="20"/>
      <c r="IS294" s="20"/>
      <c r="IT294" s="20"/>
      <c r="IU294" s="20"/>
      <c r="IV294" s="20"/>
    </row>
    <row r="295" spans="1:256" s="21" customFormat="1" ht="51">
      <c r="A295" s="135"/>
      <c r="B295" s="24">
        <v>278</v>
      </c>
      <c r="C295" s="24" t="s">
        <v>1332</v>
      </c>
      <c r="D295" s="25">
        <v>44840</v>
      </c>
      <c r="E295" s="26">
        <v>-17219</v>
      </c>
      <c r="F295" s="26">
        <v>103976</v>
      </c>
      <c r="G295" s="26">
        <v>1122</v>
      </c>
      <c r="H295" s="27"/>
      <c r="I295" s="27"/>
      <c r="J295" s="27">
        <v>215</v>
      </c>
      <c r="K295" s="27">
        <v>1</v>
      </c>
      <c r="L295" s="27" t="s">
        <v>211</v>
      </c>
      <c r="M295" s="27" t="s">
        <v>1333</v>
      </c>
      <c r="N295" s="27" t="s">
        <v>1334</v>
      </c>
      <c r="O295" s="27"/>
      <c r="P295" s="27" t="s">
        <v>132</v>
      </c>
      <c r="Q295" s="27" t="s">
        <v>132</v>
      </c>
      <c r="R295" s="27" t="s">
        <v>132</v>
      </c>
      <c r="S295" s="27" t="s">
        <v>100</v>
      </c>
      <c r="T295" s="27"/>
      <c r="U295" s="28">
        <v>4</v>
      </c>
      <c r="V295" s="27"/>
      <c r="W295" s="27"/>
      <c r="X295" s="27" t="s">
        <v>77</v>
      </c>
      <c r="Y295" s="29"/>
      <c r="Z295" s="30">
        <f>3*U295</f>
        <v>12</v>
      </c>
      <c r="AA295" s="31"/>
      <c r="AB295" s="30">
        <f>+Z295+U295</f>
        <v>16</v>
      </c>
      <c r="AC295" s="31"/>
      <c r="AD295" s="30">
        <f>+Z295*2</f>
        <v>24</v>
      </c>
      <c r="AE295" s="27"/>
      <c r="AF295" s="27"/>
      <c r="AG295" s="27"/>
      <c r="AH295" s="27"/>
      <c r="AI295" s="28">
        <f>+(211+211)</f>
        <v>422</v>
      </c>
      <c r="AJ295" s="32"/>
      <c r="AK295" s="33">
        <v>392.39</v>
      </c>
      <c r="AL295" s="33">
        <f>211/AK295</f>
        <v>0.53773031932516124</v>
      </c>
      <c r="AM295" s="33">
        <f>+AI295/AK295</f>
        <v>1.0754606386503225</v>
      </c>
      <c r="AN295" s="33"/>
      <c r="AO295" s="33">
        <f>+(6*33123+26491*9+19871*5)/20*AI295</f>
        <v>11320403.199999999</v>
      </c>
      <c r="AP295" s="34">
        <v>42572.14</v>
      </c>
      <c r="AQ295" s="33" t="s">
        <v>71</v>
      </c>
      <c r="AR295" s="34" t="s">
        <v>1335</v>
      </c>
      <c r="AS295" s="35">
        <v>44923</v>
      </c>
      <c r="AT295" s="35"/>
      <c r="AU295" s="134" t="s">
        <v>1336</v>
      </c>
      <c r="AV295" s="19"/>
      <c r="AW295" s="19"/>
      <c r="AX295" s="19"/>
      <c r="AY295" s="19"/>
      <c r="AZ295" s="19"/>
      <c r="BA295" s="19"/>
      <c r="BB295" s="19"/>
      <c r="BC295" s="19"/>
      <c r="BD295" s="19"/>
      <c r="BE295" s="19"/>
      <c r="BF295" s="19"/>
      <c r="BG295" s="20"/>
      <c r="BH295" s="20"/>
      <c r="BI295" s="20"/>
      <c r="BJ295" s="20"/>
      <c r="BK295" s="20"/>
      <c r="BL295" s="20"/>
      <c r="BM295" s="20"/>
      <c r="BN295" s="20"/>
      <c r="BO295" s="20"/>
      <c r="BP295" s="20"/>
      <c r="BQ295" s="20"/>
      <c r="BR295" s="20"/>
      <c r="BS295" s="20"/>
      <c r="BT295" s="20"/>
      <c r="BU295" s="20"/>
      <c r="BV295" s="20"/>
      <c r="IP295" s="20"/>
      <c r="IQ295" s="20"/>
      <c r="IR295" s="20"/>
      <c r="IS295" s="20"/>
      <c r="IT295" s="20"/>
      <c r="IU295" s="20"/>
      <c r="IV295" s="20"/>
    </row>
    <row r="296" spans="1:256" s="21" customFormat="1" ht="38.25">
      <c r="A296" s="135"/>
      <c r="B296" s="24">
        <v>275</v>
      </c>
      <c r="C296" s="24" t="s">
        <v>1337</v>
      </c>
      <c r="D296" s="25">
        <v>44881</v>
      </c>
      <c r="E296" s="26">
        <v>49379</v>
      </c>
      <c r="F296" s="26">
        <v>159603</v>
      </c>
      <c r="G296" s="26">
        <v>32652</v>
      </c>
      <c r="H296" s="27">
        <v>308</v>
      </c>
      <c r="I296" s="27"/>
      <c r="J296" s="27"/>
      <c r="K296" s="27">
        <v>12</v>
      </c>
      <c r="L296" s="27" t="s">
        <v>129</v>
      </c>
      <c r="M296" s="27" t="s">
        <v>225</v>
      </c>
      <c r="N296" s="27" t="s">
        <v>1338</v>
      </c>
      <c r="O296" s="27"/>
      <c r="P296" s="27" t="s">
        <v>120</v>
      </c>
      <c r="Q296" s="27" t="s">
        <v>120</v>
      </c>
      <c r="R296" s="27" t="s">
        <v>120</v>
      </c>
      <c r="S296" s="27" t="s">
        <v>100</v>
      </c>
      <c r="T296" s="27"/>
      <c r="U296" s="28">
        <v>1</v>
      </c>
      <c r="V296" s="27"/>
      <c r="W296" s="27"/>
      <c r="X296" s="27" t="s">
        <v>65</v>
      </c>
      <c r="Y296" s="29"/>
      <c r="Z296" s="30">
        <v>2</v>
      </c>
      <c r="AA296" s="31"/>
      <c r="AB296" s="30">
        <f>+Z296+1</f>
        <v>3</v>
      </c>
      <c r="AC296" s="31"/>
      <c r="AD296" s="30">
        <f>+Z296*2</f>
        <v>4</v>
      </c>
      <c r="AE296" s="27"/>
      <c r="AF296" s="27"/>
      <c r="AG296" s="27"/>
      <c r="AH296" s="27"/>
      <c r="AI296" s="28">
        <v>62.42</v>
      </c>
      <c r="AJ296" s="32"/>
      <c r="AK296" s="33">
        <v>6824.65</v>
      </c>
      <c r="AL296" s="33">
        <f>+AI296/AK296</f>
        <v>9.1462565845867559E-3</v>
      </c>
      <c r="AM296" s="33">
        <f>+AL296</f>
        <v>9.1462565845867559E-3</v>
      </c>
      <c r="AN296" s="33"/>
      <c r="AO296" s="33">
        <f>+(4*26491+8*19871+13249*8)/20*AI296</f>
        <v>1157653.804</v>
      </c>
      <c r="AP296" s="34">
        <v>7551.87</v>
      </c>
      <c r="AQ296" s="33" t="s">
        <v>71</v>
      </c>
      <c r="AR296" s="34" t="s">
        <v>1339</v>
      </c>
      <c r="AS296" s="35">
        <v>44914</v>
      </c>
      <c r="AT296" s="36"/>
      <c r="AU296" s="134">
        <v>44911</v>
      </c>
      <c r="AV296" s="19"/>
      <c r="AW296" s="19"/>
      <c r="AX296" s="19"/>
      <c r="AY296" s="19"/>
      <c r="AZ296" s="19"/>
      <c r="BA296" s="19"/>
      <c r="BB296" s="19"/>
      <c r="BC296" s="19"/>
      <c r="BD296" s="19"/>
      <c r="BE296" s="19"/>
      <c r="BF296" s="19"/>
      <c r="BG296" s="20"/>
      <c r="BH296" s="20"/>
      <c r="BI296" s="20"/>
      <c r="BJ296" s="20"/>
      <c r="BK296" s="20"/>
      <c r="BL296" s="20"/>
      <c r="BM296" s="20"/>
      <c r="BN296" s="20"/>
      <c r="BO296" s="20"/>
      <c r="BP296" s="20"/>
      <c r="BQ296" s="20"/>
      <c r="BR296" s="20"/>
      <c r="BS296" s="20"/>
      <c r="BT296" s="20"/>
      <c r="BU296" s="20"/>
      <c r="BV296" s="20"/>
      <c r="IP296" s="20"/>
      <c r="IQ296" s="20"/>
      <c r="IR296" s="20"/>
      <c r="IS296" s="20"/>
      <c r="IT296" s="20"/>
      <c r="IU296" s="20"/>
      <c r="IV296" s="20"/>
    </row>
    <row r="297" spans="1:256" s="21" customFormat="1" ht="76.5">
      <c r="A297" s="203"/>
      <c r="B297" s="24">
        <v>546001</v>
      </c>
      <c r="C297" s="25">
        <v>44839</v>
      </c>
      <c r="D297" s="63" t="s">
        <v>979</v>
      </c>
      <c r="E297" s="26">
        <v>51694</v>
      </c>
      <c r="F297" s="26">
        <v>142377</v>
      </c>
      <c r="G297" s="26">
        <v>32146</v>
      </c>
      <c r="H297" s="27">
        <v>3</v>
      </c>
      <c r="I297" s="27"/>
      <c r="J297" s="27">
        <v>4</v>
      </c>
      <c r="K297" s="27">
        <v>18</v>
      </c>
      <c r="L297" s="27" t="s">
        <v>1340</v>
      </c>
      <c r="M297" s="27" t="s">
        <v>1280</v>
      </c>
      <c r="N297" s="27" t="s">
        <v>1341</v>
      </c>
      <c r="O297" s="27"/>
      <c r="P297" s="27" t="s">
        <v>548</v>
      </c>
      <c r="Q297" s="27" t="s">
        <v>548</v>
      </c>
      <c r="R297" s="27" t="s">
        <v>548</v>
      </c>
      <c r="S297" s="27" t="s">
        <v>100</v>
      </c>
      <c r="T297" s="27"/>
      <c r="U297" s="28">
        <v>1</v>
      </c>
      <c r="V297" s="27"/>
      <c r="W297" s="27"/>
      <c r="X297" s="27" t="s">
        <v>65</v>
      </c>
      <c r="Y297" s="29"/>
      <c r="Z297" s="30">
        <v>3</v>
      </c>
      <c r="AA297" s="31"/>
      <c r="AB297" s="30">
        <f>+Z297+1</f>
        <v>4</v>
      </c>
      <c r="AC297" s="31"/>
      <c r="AD297" s="30">
        <f>+Z297*2</f>
        <v>6</v>
      </c>
      <c r="AE297" s="27"/>
      <c r="AF297" s="27"/>
      <c r="AG297" s="27"/>
      <c r="AH297" s="27"/>
      <c r="AI297" s="28">
        <f>152+77.7/2</f>
        <v>190.85</v>
      </c>
      <c r="AJ297" s="32"/>
      <c r="AK297" s="33">
        <v>884.37</v>
      </c>
      <c r="AL297" s="33">
        <f>+(152+77.7)/AK297</f>
        <v>0.25973291721790653</v>
      </c>
      <c r="AM297" s="33">
        <f>+AI297/AK297</f>
        <v>0.21580334023089884</v>
      </c>
      <c r="AN297" s="33"/>
      <c r="AO297" s="33"/>
      <c r="AP297" s="34"/>
      <c r="AQ297" s="33" t="s">
        <v>51</v>
      </c>
      <c r="AR297" s="34" t="s">
        <v>1342</v>
      </c>
      <c r="AS297" s="35"/>
      <c r="AT297" s="36"/>
      <c r="AU297" s="134" t="s">
        <v>1288</v>
      </c>
      <c r="AV297" s="19"/>
      <c r="AW297" s="19"/>
      <c r="AX297" s="19"/>
      <c r="AY297" s="19"/>
      <c r="AZ297" s="19"/>
      <c r="BA297" s="19"/>
      <c r="BB297" s="19"/>
      <c r="BC297" s="19"/>
      <c r="BD297" s="19"/>
      <c r="BE297" s="19"/>
      <c r="BF297" s="19"/>
      <c r="BG297" s="20"/>
      <c r="BH297" s="20"/>
      <c r="BI297" s="20"/>
      <c r="BJ297" s="20"/>
      <c r="BK297" s="20"/>
      <c r="BL297" s="20"/>
      <c r="BM297" s="20"/>
      <c r="BN297" s="20"/>
      <c r="BO297" s="20"/>
      <c r="BP297" s="20"/>
      <c r="BQ297" s="20"/>
      <c r="BR297" s="20"/>
      <c r="BS297" s="20"/>
      <c r="BT297" s="20"/>
      <c r="BU297" s="20"/>
      <c r="BV297" s="20"/>
      <c r="IP297" s="20"/>
      <c r="IQ297" s="20"/>
      <c r="IR297" s="20"/>
      <c r="IS297" s="20"/>
      <c r="IT297" s="20"/>
      <c r="IU297" s="20"/>
      <c r="IV297" s="20"/>
    </row>
    <row r="298" spans="1:256" s="21" customFormat="1" ht="63.75">
      <c r="A298" s="135"/>
      <c r="B298" s="161">
        <v>274</v>
      </c>
      <c r="C298" s="161">
        <v>547978</v>
      </c>
      <c r="D298" s="25">
        <v>44888</v>
      </c>
      <c r="E298" s="71">
        <v>46529</v>
      </c>
      <c r="F298" s="71">
        <v>149488</v>
      </c>
      <c r="G298" s="71">
        <v>9157</v>
      </c>
      <c r="H298" s="72"/>
      <c r="I298" s="72"/>
      <c r="J298" s="72">
        <v>87</v>
      </c>
      <c r="K298" s="72">
        <v>17</v>
      </c>
      <c r="L298" s="72" t="s">
        <v>88</v>
      </c>
      <c r="M298" s="72" t="s">
        <v>1343</v>
      </c>
      <c r="N298" s="72" t="s">
        <v>1344</v>
      </c>
      <c r="O298" s="72"/>
      <c r="P298" s="72" t="s">
        <v>63</v>
      </c>
      <c r="Q298" s="72"/>
      <c r="R298" s="72"/>
      <c r="S298" s="72"/>
      <c r="T298" s="72">
        <v>1</v>
      </c>
      <c r="U298" s="73"/>
      <c r="V298" s="72"/>
      <c r="W298" s="72"/>
      <c r="X298" s="72" t="s">
        <v>151</v>
      </c>
      <c r="Y298" s="74">
        <v>4</v>
      </c>
      <c r="Z298" s="75"/>
      <c r="AA298" s="76">
        <f>+Y298+1</f>
        <v>5</v>
      </c>
      <c r="AB298" s="75"/>
      <c r="AC298" s="76">
        <f>+Y298*2</f>
        <v>8</v>
      </c>
      <c r="AD298" s="75"/>
      <c r="AE298" s="72"/>
      <c r="AF298" s="72">
        <v>923.95</v>
      </c>
      <c r="AG298" s="72"/>
      <c r="AH298" s="72">
        <v>22.56</v>
      </c>
      <c r="AI298" s="73"/>
      <c r="AJ298" s="77"/>
      <c r="AK298" s="78">
        <v>618.66</v>
      </c>
      <c r="AL298" s="78">
        <v>0.8</v>
      </c>
      <c r="AM298" s="78">
        <v>1.53</v>
      </c>
      <c r="AN298" s="78"/>
      <c r="AO298" s="78">
        <v>3983576.83</v>
      </c>
      <c r="AP298" s="79">
        <v>60882.73</v>
      </c>
      <c r="AQ298" s="78" t="s">
        <v>36</v>
      </c>
      <c r="AR298" s="79" t="s">
        <v>1345</v>
      </c>
      <c r="AS298" s="80">
        <v>44914</v>
      </c>
      <c r="AT298" s="81"/>
      <c r="AU298" s="204">
        <v>44897</v>
      </c>
      <c r="AV298" s="19"/>
      <c r="AW298" s="19"/>
      <c r="AX298" s="19"/>
      <c r="AY298" s="19"/>
      <c r="AZ298" s="19"/>
      <c r="BA298" s="19"/>
      <c r="BB298" s="19"/>
      <c r="BC298" s="19"/>
      <c r="BD298" s="19"/>
      <c r="BE298" s="19"/>
      <c r="BF298" s="19"/>
      <c r="BG298" s="20"/>
      <c r="BH298" s="20"/>
      <c r="BI298" s="20"/>
      <c r="BJ298" s="20"/>
      <c r="BK298" s="20"/>
      <c r="BL298" s="20"/>
      <c r="BM298" s="20"/>
      <c r="BN298" s="20"/>
      <c r="BO298" s="20"/>
      <c r="BP298" s="20"/>
      <c r="BQ298" s="20"/>
      <c r="BR298" s="20"/>
      <c r="BS298" s="20"/>
      <c r="BT298" s="20"/>
      <c r="BU298" s="20"/>
      <c r="BV298" s="20"/>
      <c r="IP298" s="20"/>
      <c r="IQ298" s="20"/>
      <c r="IR298" s="20"/>
      <c r="IS298" s="20"/>
      <c r="IT298" s="20"/>
      <c r="IU298" s="20"/>
      <c r="IV298" s="20"/>
    </row>
    <row r="299" spans="1:256" s="21" customFormat="1" ht="51">
      <c r="A299" s="135"/>
      <c r="B299" s="24">
        <v>281</v>
      </c>
      <c r="C299" s="24" t="s">
        <v>1346</v>
      </c>
      <c r="D299" s="25">
        <v>44847</v>
      </c>
      <c r="E299" s="26">
        <v>60766</v>
      </c>
      <c r="F299" s="26">
        <v>168767</v>
      </c>
      <c r="G299" s="26">
        <v>33968</v>
      </c>
      <c r="H299" s="27">
        <v>327</v>
      </c>
      <c r="I299" s="27"/>
      <c r="J299" s="27">
        <v>5</v>
      </c>
      <c r="K299" s="27">
        <v>15</v>
      </c>
      <c r="L299" s="27" t="s">
        <v>74</v>
      </c>
      <c r="M299" s="27" t="s">
        <v>642</v>
      </c>
      <c r="N299" s="27" t="s">
        <v>1347</v>
      </c>
      <c r="O299" s="27"/>
      <c r="P299" s="27" t="s">
        <v>860</v>
      </c>
      <c r="Q299" s="27"/>
      <c r="R299" s="27"/>
      <c r="S299" s="27"/>
      <c r="T299" s="27">
        <v>1</v>
      </c>
      <c r="U299" s="28"/>
      <c r="V299" s="27"/>
      <c r="W299" s="27"/>
      <c r="X299" s="27" t="s">
        <v>65</v>
      </c>
      <c r="Y299" s="29"/>
      <c r="Z299" s="30"/>
      <c r="AA299" s="31"/>
      <c r="AB299" s="30"/>
      <c r="AC299" s="31"/>
      <c r="AD299" s="30"/>
      <c r="AE299" s="27"/>
      <c r="AF299" s="27"/>
      <c r="AG299" s="27">
        <f>44.06+3.93/2</f>
        <v>46.025000000000006</v>
      </c>
      <c r="AH299" s="27"/>
      <c r="AI299" s="28"/>
      <c r="AJ299" s="32"/>
      <c r="AK299" s="33">
        <v>374.6</v>
      </c>
      <c r="AL299" s="33">
        <f>+(44.06+3.93)/AK299</f>
        <v>0.12810998398291509</v>
      </c>
      <c r="AM299" s="33">
        <f>+AG299/AK299</f>
        <v>0.12286438868126001</v>
      </c>
      <c r="AN299" s="33"/>
      <c r="AO299" s="33">
        <f>+(33123+6*26491+4*19871+13249*9)/20*AG299</f>
        <v>899314.69250000012</v>
      </c>
      <c r="AP299" s="34">
        <v>15901.6</v>
      </c>
      <c r="AQ299" s="33" t="s">
        <v>71</v>
      </c>
      <c r="AR299" s="34" t="s">
        <v>1348</v>
      </c>
      <c r="AS299" s="35">
        <v>44924</v>
      </c>
      <c r="AT299" s="36"/>
      <c r="AU299" s="134">
        <v>44906</v>
      </c>
      <c r="AV299" s="19"/>
      <c r="AW299" s="19"/>
      <c r="AX299" s="19"/>
      <c r="AY299" s="19"/>
      <c r="AZ299" s="19"/>
      <c r="BA299" s="19"/>
      <c r="BB299" s="19"/>
      <c r="BC299" s="19"/>
      <c r="BD299" s="19"/>
      <c r="BE299" s="19"/>
      <c r="BF299" s="19"/>
      <c r="BG299" s="20"/>
      <c r="BH299" s="20"/>
      <c r="BI299" s="20"/>
      <c r="BJ299" s="20"/>
      <c r="BK299" s="20"/>
      <c r="BL299" s="20"/>
      <c r="BM299" s="20"/>
      <c r="BN299" s="20"/>
      <c r="BO299" s="20"/>
      <c r="BP299" s="20"/>
      <c r="BQ299" s="20"/>
      <c r="BR299" s="20"/>
      <c r="BS299" s="20"/>
      <c r="BT299" s="20"/>
      <c r="BU299" s="20"/>
      <c r="BV299" s="20"/>
      <c r="IP299" s="20"/>
      <c r="IQ299" s="20"/>
      <c r="IR299" s="20"/>
      <c r="IS299" s="20"/>
      <c r="IT299" s="20"/>
      <c r="IU299" s="20"/>
      <c r="IV299" s="20"/>
    </row>
    <row r="300" spans="1:256" s="21" customFormat="1" ht="76.5">
      <c r="A300" s="135"/>
      <c r="B300" s="205">
        <v>279</v>
      </c>
      <c r="C300" s="205">
        <v>548403</v>
      </c>
      <c r="D300" s="206">
        <v>44897</v>
      </c>
      <c r="E300" s="26">
        <v>24130</v>
      </c>
      <c r="F300" s="26">
        <v>117725</v>
      </c>
      <c r="G300" s="26">
        <v>5399</v>
      </c>
      <c r="H300" s="27"/>
      <c r="I300" s="27"/>
      <c r="J300" s="102">
        <v>545</v>
      </c>
      <c r="K300" s="27">
        <v>11</v>
      </c>
      <c r="L300" s="102" t="s">
        <v>38</v>
      </c>
      <c r="M300" s="27" t="s">
        <v>1349</v>
      </c>
      <c r="N300" s="27" t="s">
        <v>1350</v>
      </c>
      <c r="O300" s="27"/>
      <c r="P300" s="27" t="s">
        <v>41</v>
      </c>
      <c r="Q300" s="27"/>
      <c r="R300" s="27"/>
      <c r="S300" s="27"/>
      <c r="T300" s="27">
        <v>2</v>
      </c>
      <c r="U300" s="28"/>
      <c r="V300" s="27"/>
      <c r="W300" s="27"/>
      <c r="X300" s="27" t="s">
        <v>77</v>
      </c>
      <c r="Y300" s="29">
        <f>2+3</f>
        <v>5</v>
      </c>
      <c r="Z300" s="30"/>
      <c r="AA300" s="31">
        <f>1+1+Y300</f>
        <v>7</v>
      </c>
      <c r="AB300" s="30"/>
      <c r="AC300" s="31">
        <f>+Y300*2</f>
        <v>10</v>
      </c>
      <c r="AD300" s="30"/>
      <c r="AE300" s="27">
        <f>162.38+18.38/2</f>
        <v>171.57</v>
      </c>
      <c r="AF300" s="27"/>
      <c r="AG300" s="27">
        <f>13.09+24.59/2</f>
        <v>25.384999999999998</v>
      </c>
      <c r="AH300" s="27"/>
      <c r="AI300" s="28"/>
      <c r="AJ300" s="32"/>
      <c r="AK300" s="33">
        <v>480</v>
      </c>
      <c r="AL300" s="33">
        <f>+(162.38+18.38+13.09+24.59)/AK300</f>
        <v>0.45508333333333334</v>
      </c>
      <c r="AM300" s="33">
        <f>+(AE300+AG300)/AK300</f>
        <v>0.41032291666666665</v>
      </c>
      <c r="AN300" s="33">
        <f>+(3+16+5+18)/(1+4+1+3)</f>
        <v>4.666666666666667</v>
      </c>
      <c r="AO300" s="33">
        <f>56348+((13*13249+5*19871+2*26491)/20*AG300)</f>
        <v>468313.54949999996</v>
      </c>
      <c r="AP300" s="34">
        <v>6307.17</v>
      </c>
      <c r="AQ300" s="33" t="s">
        <v>1351</v>
      </c>
      <c r="AR300" s="34" t="s">
        <v>1352</v>
      </c>
      <c r="AS300" s="35">
        <v>44924</v>
      </c>
      <c r="AT300" s="36"/>
      <c r="AU300" s="134">
        <v>44902</v>
      </c>
      <c r="AV300" s="19"/>
      <c r="AW300" s="19"/>
      <c r="AX300" s="19"/>
      <c r="AY300" s="19"/>
      <c r="AZ300" s="19"/>
      <c r="BA300" s="19"/>
      <c r="BB300" s="19"/>
      <c r="BC300" s="19"/>
      <c r="BD300" s="19"/>
      <c r="BE300" s="19"/>
      <c r="BF300" s="19"/>
      <c r="BG300" s="20"/>
      <c r="BH300" s="20"/>
      <c r="BI300" s="20"/>
      <c r="BJ300" s="20"/>
      <c r="BK300" s="20"/>
      <c r="BL300" s="20"/>
      <c r="BM300" s="20"/>
      <c r="BN300" s="20"/>
      <c r="BO300" s="20"/>
      <c r="BP300" s="20"/>
      <c r="BQ300" s="20"/>
      <c r="BR300" s="20"/>
      <c r="BS300" s="20"/>
      <c r="BT300" s="20"/>
      <c r="BU300" s="20"/>
      <c r="BV300" s="20"/>
      <c r="IP300" s="20"/>
      <c r="IQ300" s="20"/>
      <c r="IR300" s="20"/>
      <c r="IS300" s="20"/>
      <c r="IT300" s="20"/>
      <c r="IU300" s="20"/>
      <c r="IV300" s="20"/>
    </row>
    <row r="301" spans="1:256" s="21" customFormat="1" ht="89.25">
      <c r="A301" s="135"/>
      <c r="B301" s="205">
        <v>280</v>
      </c>
      <c r="C301" s="205">
        <v>548352</v>
      </c>
      <c r="D301" s="206">
        <v>44895</v>
      </c>
      <c r="E301" s="26">
        <v>16202</v>
      </c>
      <c r="F301" s="26">
        <v>106607</v>
      </c>
      <c r="G301" s="26">
        <v>3799</v>
      </c>
      <c r="H301" s="27"/>
      <c r="I301" s="27"/>
      <c r="J301" s="102">
        <v>574</v>
      </c>
      <c r="K301" s="27">
        <v>6</v>
      </c>
      <c r="L301" s="102" t="s">
        <v>88</v>
      </c>
      <c r="M301" s="27" t="s">
        <v>1353</v>
      </c>
      <c r="N301" s="27" t="s">
        <v>1354</v>
      </c>
      <c r="O301" s="27"/>
      <c r="P301" s="27" t="s">
        <v>137</v>
      </c>
      <c r="Q301" s="27"/>
      <c r="R301" s="27"/>
      <c r="S301" s="27"/>
      <c r="T301" s="27">
        <v>2</v>
      </c>
      <c r="U301" s="28"/>
      <c r="V301" s="27"/>
      <c r="W301" s="27"/>
      <c r="X301" s="27" t="s">
        <v>77</v>
      </c>
      <c r="Y301" s="29">
        <f>2+1</f>
        <v>3</v>
      </c>
      <c r="Z301" s="30"/>
      <c r="AA301" s="31">
        <f>+Y301+1</f>
        <v>4</v>
      </c>
      <c r="AB301" s="30"/>
      <c r="AC301" s="31">
        <f>+Y301*2</f>
        <v>6</v>
      </c>
      <c r="AD301" s="30"/>
      <c r="AE301" s="27"/>
      <c r="AF301" s="27"/>
      <c r="AG301" s="27">
        <f>33.3+13.78/2+14.53/2+71.7+10.9/2</f>
        <v>124.605</v>
      </c>
      <c r="AH301" s="27"/>
      <c r="AI301" s="28"/>
      <c r="AJ301" s="32"/>
      <c r="AK301" s="33">
        <v>602.78</v>
      </c>
      <c r="AL301" s="33">
        <f>+(33.3+13.78+14.53+71.7+10.9)/AK301</f>
        <v>0.23924151431699794</v>
      </c>
      <c r="AM301" s="33">
        <f>+AG301/AK301</f>
        <v>0.2067172102591327</v>
      </c>
      <c r="AN301" s="33"/>
      <c r="AO301" s="34">
        <f>+((33123+9*26491+19871*6+4*13249)/20*(71.7+10.9/2))+((10*19871+13249*9)/19*(33.3+13.78/2+14.53/2))</f>
        <v>2505944.088157895</v>
      </c>
      <c r="AP301" s="34">
        <v>26021.29</v>
      </c>
      <c r="AQ301" s="33" t="s">
        <v>71</v>
      </c>
      <c r="AR301" s="34" t="s">
        <v>1355</v>
      </c>
      <c r="AS301" s="35">
        <v>44924</v>
      </c>
      <c r="AT301" s="36"/>
      <c r="AU301" s="134">
        <v>44912</v>
      </c>
      <c r="AV301" s="19"/>
      <c r="AW301" s="19"/>
      <c r="AX301" s="19"/>
      <c r="AY301" s="19"/>
      <c r="AZ301" s="19"/>
      <c r="BA301" s="19"/>
      <c r="BB301" s="19"/>
      <c r="BC301" s="19"/>
      <c r="BD301" s="19"/>
      <c r="BE301" s="19"/>
      <c r="BF301" s="19"/>
      <c r="BG301" s="20"/>
      <c r="BH301" s="20"/>
      <c r="BI301" s="20"/>
      <c r="BJ301" s="20"/>
      <c r="BK301" s="20"/>
      <c r="BL301" s="20"/>
      <c r="BM301" s="20"/>
      <c r="BN301" s="20"/>
      <c r="BO301" s="20"/>
      <c r="BP301" s="20"/>
      <c r="BQ301" s="20"/>
      <c r="BR301" s="20"/>
      <c r="BS301" s="20"/>
      <c r="BT301" s="20"/>
      <c r="BU301" s="20"/>
      <c r="BV301" s="20"/>
      <c r="IP301" s="20"/>
      <c r="IQ301" s="20"/>
      <c r="IR301" s="20"/>
      <c r="IS301" s="20"/>
      <c r="IT301" s="20"/>
      <c r="IU301" s="20"/>
      <c r="IV301" s="20"/>
    </row>
    <row r="302" spans="1:256" s="21" customFormat="1" ht="76.5">
      <c r="A302" s="135"/>
      <c r="B302" s="24" t="s">
        <v>1356</v>
      </c>
      <c r="C302" s="25">
        <v>44778</v>
      </c>
      <c r="D302" s="63" t="s">
        <v>979</v>
      </c>
      <c r="E302" s="26">
        <v>57657</v>
      </c>
      <c r="F302" s="26">
        <v>119099</v>
      </c>
      <c r="G302" s="26">
        <v>5839</v>
      </c>
      <c r="H302" s="27"/>
      <c r="I302" s="27"/>
      <c r="J302" s="27">
        <v>280</v>
      </c>
      <c r="K302" s="27">
        <v>1</v>
      </c>
      <c r="L302" s="27" t="s">
        <v>46</v>
      </c>
      <c r="M302" s="27" t="s">
        <v>1357</v>
      </c>
      <c r="N302" s="27"/>
      <c r="O302" s="27" t="s">
        <v>1358</v>
      </c>
      <c r="P302" s="27" t="s">
        <v>317</v>
      </c>
      <c r="Q302" s="27" t="s">
        <v>317</v>
      </c>
      <c r="R302" s="27" t="s">
        <v>317</v>
      </c>
      <c r="S302" s="27" t="s">
        <v>100</v>
      </c>
      <c r="T302" s="27"/>
      <c r="U302" s="28">
        <v>1</v>
      </c>
      <c r="V302" s="27"/>
      <c r="W302" s="27"/>
      <c r="X302" s="27" t="s">
        <v>1359</v>
      </c>
      <c r="Y302" s="29"/>
      <c r="Z302" s="30"/>
      <c r="AA302" s="31"/>
      <c r="AB302" s="30"/>
      <c r="AC302" s="31"/>
      <c r="AD302" s="30"/>
      <c r="AE302" s="27"/>
      <c r="AF302" s="27"/>
      <c r="AG302" s="27"/>
      <c r="AH302" s="27"/>
      <c r="AI302" s="28"/>
      <c r="AJ302" s="32">
        <f>70+38.2</f>
        <v>108.2</v>
      </c>
      <c r="AK302" s="33">
        <v>250</v>
      </c>
      <c r="AL302" s="33">
        <f>70/AK302</f>
        <v>0.28000000000000003</v>
      </c>
      <c r="AM302" s="33">
        <f>+AJ302/AK302</f>
        <v>0.43280000000000002</v>
      </c>
      <c r="AN302" s="33"/>
      <c r="AO302" s="33"/>
      <c r="AP302" s="34"/>
      <c r="AQ302" s="33" t="s">
        <v>71</v>
      </c>
      <c r="AR302" s="34" t="s">
        <v>1360</v>
      </c>
      <c r="AS302" s="35"/>
      <c r="AT302" s="36"/>
      <c r="AU302" s="134" t="s">
        <v>1294</v>
      </c>
      <c r="AV302" s="19"/>
      <c r="AW302" s="19"/>
      <c r="AX302" s="19"/>
      <c r="AY302" s="19"/>
      <c r="AZ302" s="19"/>
      <c r="BA302" s="19"/>
      <c r="BB302" s="19"/>
      <c r="BC302" s="19"/>
      <c r="BD302" s="19"/>
      <c r="BE302" s="19"/>
      <c r="BF302" s="19"/>
      <c r="BG302" s="20"/>
      <c r="BH302" s="20"/>
      <c r="BI302" s="20"/>
      <c r="BJ302" s="20"/>
      <c r="BK302" s="20"/>
      <c r="BL302" s="20"/>
      <c r="BM302" s="20"/>
      <c r="BN302" s="20"/>
      <c r="BO302" s="20"/>
      <c r="BP302" s="20"/>
      <c r="BQ302" s="20"/>
      <c r="BR302" s="20"/>
      <c r="BS302" s="20"/>
      <c r="BT302" s="20"/>
      <c r="BU302" s="20"/>
      <c r="BV302" s="20"/>
      <c r="IP302" s="20"/>
      <c r="IQ302" s="20"/>
      <c r="IR302" s="20"/>
      <c r="IS302" s="20"/>
      <c r="IT302" s="20"/>
      <c r="IU302" s="20"/>
      <c r="IV302" s="20"/>
    </row>
    <row r="303" spans="1:256" s="21" customFormat="1" ht="25.5">
      <c r="A303" s="135"/>
      <c r="B303" s="24">
        <v>288</v>
      </c>
      <c r="C303" s="24">
        <v>546930</v>
      </c>
      <c r="D303" s="25">
        <v>44860</v>
      </c>
      <c r="E303" s="26">
        <v>56837</v>
      </c>
      <c r="F303" s="26"/>
      <c r="G303" s="26">
        <v>5277</v>
      </c>
      <c r="H303" s="27"/>
      <c r="I303" s="27"/>
      <c r="J303" s="27">
        <v>345</v>
      </c>
      <c r="K303" s="27">
        <v>6</v>
      </c>
      <c r="L303" s="27" t="s">
        <v>46</v>
      </c>
      <c r="M303" s="27" t="s">
        <v>1361</v>
      </c>
      <c r="N303" s="27" t="s">
        <v>1362</v>
      </c>
      <c r="O303" s="27" t="s">
        <v>1363</v>
      </c>
      <c r="P303" s="27" t="s">
        <v>1206</v>
      </c>
      <c r="Q303" s="27"/>
      <c r="R303" s="27"/>
      <c r="S303" s="27"/>
      <c r="T303" s="27"/>
      <c r="U303" s="28"/>
      <c r="V303" s="27">
        <v>1</v>
      </c>
      <c r="W303" s="27"/>
      <c r="X303" s="27" t="s">
        <v>1364</v>
      </c>
      <c r="Y303" s="29"/>
      <c r="Z303" s="30"/>
      <c r="AA303" s="31"/>
      <c r="AB303" s="30"/>
      <c r="AC303" s="31"/>
      <c r="AD303" s="30"/>
      <c r="AE303" s="27"/>
      <c r="AF303" s="27">
        <f>276.46+592.68/2+227.96</f>
        <v>800.76</v>
      </c>
      <c r="AG303" s="27"/>
      <c r="AH303" s="27"/>
      <c r="AI303" s="28"/>
      <c r="AJ303" s="32"/>
      <c r="AK303" s="33">
        <v>2006.79</v>
      </c>
      <c r="AL303" s="33">
        <v>0.43</v>
      </c>
      <c r="AM303" s="33">
        <v>0.4</v>
      </c>
      <c r="AN303" s="33"/>
      <c r="AO303" s="33"/>
      <c r="AP303" s="34">
        <v>2309</v>
      </c>
      <c r="AQ303" s="33" t="s">
        <v>71</v>
      </c>
      <c r="AR303" s="34" t="s">
        <v>1365</v>
      </c>
      <c r="AS303" s="35">
        <v>44925</v>
      </c>
      <c r="AT303" s="36"/>
      <c r="AU303" s="134">
        <v>44865</v>
      </c>
      <c r="AV303" s="19"/>
      <c r="AW303" s="19"/>
      <c r="AX303" s="19"/>
      <c r="AY303" s="19"/>
      <c r="AZ303" s="19"/>
      <c r="BA303" s="19"/>
      <c r="BB303" s="19"/>
      <c r="BC303" s="19"/>
      <c r="BD303" s="19"/>
      <c r="BE303" s="19"/>
      <c r="BF303" s="19"/>
      <c r="BG303" s="20"/>
      <c r="BH303" s="20"/>
      <c r="BI303" s="20"/>
      <c r="BJ303" s="20"/>
      <c r="BK303" s="20"/>
      <c r="BL303" s="20"/>
      <c r="BM303" s="20"/>
      <c r="BN303" s="20"/>
      <c r="BO303" s="20"/>
      <c r="BP303" s="20"/>
      <c r="BQ303" s="20"/>
      <c r="BR303" s="20"/>
      <c r="BS303" s="20"/>
      <c r="BT303" s="20"/>
      <c r="BU303" s="20"/>
      <c r="BV303" s="20"/>
      <c r="IP303" s="20"/>
      <c r="IQ303" s="20"/>
      <c r="IR303" s="20"/>
      <c r="IS303" s="20"/>
      <c r="IT303" s="20"/>
      <c r="IU303" s="20"/>
      <c r="IV303" s="20"/>
    </row>
    <row r="304" spans="1:256" s="21" customFormat="1" ht="63.75">
      <c r="A304" s="135"/>
      <c r="B304" s="161">
        <v>287</v>
      </c>
      <c r="C304" s="133">
        <v>548739</v>
      </c>
      <c r="D304" s="207">
        <v>44911</v>
      </c>
      <c r="E304" s="71">
        <v>46730</v>
      </c>
      <c r="F304" s="71">
        <v>148737</v>
      </c>
      <c r="G304" s="71">
        <v>30323</v>
      </c>
      <c r="H304" s="72">
        <v>354</v>
      </c>
      <c r="I304" s="72"/>
      <c r="J304" s="72">
        <v>2</v>
      </c>
      <c r="K304" s="72">
        <v>5</v>
      </c>
      <c r="L304" s="72" t="s">
        <v>1366</v>
      </c>
      <c r="M304" s="72" t="s">
        <v>1367</v>
      </c>
      <c r="N304" s="72" t="s">
        <v>1368</v>
      </c>
      <c r="O304" s="72"/>
      <c r="P304" s="72" t="s">
        <v>137</v>
      </c>
      <c r="Q304" s="72" t="s">
        <v>137</v>
      </c>
      <c r="R304" s="72" t="s">
        <v>137</v>
      </c>
      <c r="S304" s="72" t="s">
        <v>100</v>
      </c>
      <c r="T304" s="72"/>
      <c r="U304" s="73"/>
      <c r="V304" s="72">
        <v>1</v>
      </c>
      <c r="W304" s="72"/>
      <c r="X304" s="72" t="s">
        <v>186</v>
      </c>
      <c r="Y304" s="74"/>
      <c r="Z304" s="75"/>
      <c r="AA304" s="76"/>
      <c r="AB304" s="75"/>
      <c r="AC304" s="76"/>
      <c r="AD304" s="75"/>
      <c r="AE304" s="72"/>
      <c r="AF304" s="72">
        <f>180.63+9.08/2</f>
        <v>185.17</v>
      </c>
      <c r="AG304" s="72"/>
      <c r="AH304" s="72">
        <f>62.42+4.53/2+4.52+2.55/2+66.65</f>
        <v>137.13</v>
      </c>
      <c r="AI304" s="73"/>
      <c r="AJ304" s="77"/>
      <c r="AK304" s="78">
        <v>967.52</v>
      </c>
      <c r="AL304" s="78">
        <f>+(185.15+11.63)/AK304</f>
        <v>0.2033859765172813</v>
      </c>
      <c r="AM304" s="78">
        <v>0.33</v>
      </c>
      <c r="AN304" s="78"/>
      <c r="AO304" s="78">
        <f>+AH304*26491</f>
        <v>3632710.83</v>
      </c>
      <c r="AP304" s="79">
        <v>52653.55</v>
      </c>
      <c r="AQ304" s="78" t="s">
        <v>71</v>
      </c>
      <c r="AR304" s="79" t="s">
        <v>1369</v>
      </c>
      <c r="AS304" s="80">
        <v>44925</v>
      </c>
      <c r="AT304" s="81"/>
      <c r="AU304" s="204">
        <v>44917</v>
      </c>
      <c r="AV304" s="19"/>
      <c r="AW304" s="19"/>
      <c r="AX304" s="19"/>
      <c r="AY304" s="19"/>
      <c r="AZ304" s="19"/>
      <c r="BA304" s="19"/>
      <c r="BB304" s="19"/>
      <c r="BC304" s="19"/>
      <c r="BD304" s="19"/>
      <c r="BE304" s="19"/>
      <c r="BF304" s="19"/>
      <c r="BG304" s="20"/>
      <c r="BH304" s="20"/>
      <c r="BI304" s="20"/>
      <c r="BJ304" s="20"/>
      <c r="BK304" s="20"/>
      <c r="BL304" s="20"/>
      <c r="BM304" s="20"/>
      <c r="BN304" s="20"/>
      <c r="BO304" s="20"/>
      <c r="BP304" s="20"/>
      <c r="BQ304" s="20"/>
      <c r="BR304" s="20"/>
      <c r="BS304" s="20"/>
      <c r="BT304" s="20"/>
      <c r="BU304" s="20"/>
      <c r="BV304" s="20"/>
      <c r="IP304" s="20"/>
      <c r="IQ304" s="20"/>
      <c r="IR304" s="20"/>
      <c r="IS304" s="20"/>
      <c r="IT304" s="20"/>
      <c r="IU304" s="20"/>
      <c r="IV304" s="20"/>
    </row>
    <row r="305" spans="1:256" s="21" customFormat="1" ht="76.5">
      <c r="A305" s="135"/>
      <c r="B305" s="64">
        <v>282</v>
      </c>
      <c r="C305" s="64">
        <v>539788</v>
      </c>
      <c r="D305" s="66">
        <v>44600</v>
      </c>
      <c r="E305" s="26">
        <v>9075</v>
      </c>
      <c r="F305" s="26">
        <v>123</v>
      </c>
      <c r="G305" s="26">
        <v>4392</v>
      </c>
      <c r="H305" s="27"/>
      <c r="I305" s="27"/>
      <c r="J305" s="27"/>
      <c r="K305" s="27">
        <v>140</v>
      </c>
      <c r="L305" s="27">
        <v>18</v>
      </c>
      <c r="M305" s="27" t="s">
        <v>1370</v>
      </c>
      <c r="N305" s="27" t="s">
        <v>1371</v>
      </c>
      <c r="O305" s="27"/>
      <c r="P305" s="27" t="s">
        <v>115</v>
      </c>
      <c r="Q305" s="27" t="s">
        <v>115</v>
      </c>
      <c r="R305" s="27" t="s">
        <v>115</v>
      </c>
      <c r="S305" s="27" t="s">
        <v>100</v>
      </c>
      <c r="T305" s="27"/>
      <c r="U305" s="28">
        <v>1</v>
      </c>
      <c r="V305" s="27"/>
      <c r="W305" s="27"/>
      <c r="X305" s="27" t="s">
        <v>65</v>
      </c>
      <c r="Y305" s="29"/>
      <c r="Z305" s="30">
        <v>3</v>
      </c>
      <c r="AA305" s="31"/>
      <c r="AB305" s="30">
        <f>+Z305+2</f>
        <v>5</v>
      </c>
      <c r="AC305" s="31"/>
      <c r="AD305" s="30">
        <f>+Z305*2</f>
        <v>6</v>
      </c>
      <c r="AE305" s="27"/>
      <c r="AF305" s="27"/>
      <c r="AG305" s="27"/>
      <c r="AH305" s="27"/>
      <c r="AI305" s="28">
        <f>133.44+57.86/2+84.29+6.86/2</f>
        <v>250.09000000000003</v>
      </c>
      <c r="AJ305" s="32"/>
      <c r="AK305" s="33">
        <v>547.83299999999997</v>
      </c>
      <c r="AL305" s="33">
        <f>+(133.44+57.86)/AK305</f>
        <v>0.3491940062026202</v>
      </c>
      <c r="AM305" s="33">
        <f>+AI305/AK305</f>
        <v>0.45650773137069151</v>
      </c>
      <c r="AN305" s="33"/>
      <c r="AO305" s="33">
        <f>+(5*33123+26491*5+7*19871+13249*4)/21*AI305</f>
        <v>5837374.5080952384</v>
      </c>
      <c r="AP305" s="34">
        <v>22215.73</v>
      </c>
      <c r="AQ305" s="33" t="s">
        <v>71</v>
      </c>
      <c r="AR305" s="34" t="s">
        <v>1372</v>
      </c>
      <c r="AS305" s="35">
        <v>44925</v>
      </c>
      <c r="AT305" s="36"/>
      <c r="AU305" s="43" t="s">
        <v>1373</v>
      </c>
      <c r="AV305" s="19"/>
      <c r="AW305" s="19"/>
      <c r="AX305" s="19"/>
      <c r="AY305" s="19"/>
      <c r="AZ305" s="19"/>
      <c r="BA305" s="19"/>
      <c r="BB305" s="19"/>
      <c r="BC305" s="19"/>
      <c r="BD305" s="19"/>
      <c r="BE305" s="19"/>
      <c r="BF305" s="19"/>
      <c r="BG305" s="20"/>
      <c r="BH305" s="20"/>
      <c r="BI305" s="20"/>
      <c r="BJ305" s="20"/>
      <c r="BK305" s="20"/>
      <c r="BL305" s="20"/>
      <c r="BM305" s="20"/>
      <c r="BN305" s="20"/>
      <c r="BO305" s="20"/>
      <c r="BP305" s="20"/>
      <c r="BQ305" s="20"/>
      <c r="BR305" s="20"/>
      <c r="BS305" s="20"/>
      <c r="BT305" s="20"/>
      <c r="BU305" s="20"/>
      <c r="BV305" s="20"/>
      <c r="IP305" s="20"/>
      <c r="IQ305" s="20"/>
      <c r="IR305" s="20"/>
      <c r="IS305" s="20"/>
      <c r="IT305" s="20"/>
      <c r="IU305" s="20"/>
      <c r="IV305" s="20"/>
    </row>
    <row r="306" spans="1:256" s="21" customFormat="1" ht="76.5">
      <c r="A306" s="135"/>
      <c r="B306" s="161">
        <v>283</v>
      </c>
      <c r="C306" s="25" t="s">
        <v>1374</v>
      </c>
      <c r="D306" s="207">
        <v>44874</v>
      </c>
      <c r="E306" s="71">
        <v>28027</v>
      </c>
      <c r="F306" s="71">
        <v>1742</v>
      </c>
      <c r="G306" s="71">
        <v>1016</v>
      </c>
      <c r="H306" s="72"/>
      <c r="I306" s="72"/>
      <c r="J306" s="72">
        <v>128</v>
      </c>
      <c r="K306" s="72">
        <v>18</v>
      </c>
      <c r="L306" s="72" t="s">
        <v>31</v>
      </c>
      <c r="M306" s="72" t="s">
        <v>1375</v>
      </c>
      <c r="N306" s="72"/>
      <c r="O306" s="72" t="s">
        <v>1376</v>
      </c>
      <c r="P306" s="27" t="s">
        <v>115</v>
      </c>
      <c r="Q306" s="27" t="s">
        <v>115</v>
      </c>
      <c r="R306" s="27" t="s">
        <v>115</v>
      </c>
      <c r="S306" s="72" t="s">
        <v>100</v>
      </c>
      <c r="T306" s="72"/>
      <c r="U306" s="73">
        <v>1</v>
      </c>
      <c r="V306" s="72"/>
      <c r="W306" s="72"/>
      <c r="X306" s="72" t="s">
        <v>30</v>
      </c>
      <c r="Y306" s="74"/>
      <c r="Z306" s="75"/>
      <c r="AA306" s="76"/>
      <c r="AB306" s="75"/>
      <c r="AC306" s="76"/>
      <c r="AD306" s="75"/>
      <c r="AE306" s="72"/>
      <c r="AF306" s="72">
        <v>270.64999999999998</v>
      </c>
      <c r="AG306" s="72"/>
      <c r="AH306" s="72">
        <v>28.21</v>
      </c>
      <c r="AI306" s="73"/>
      <c r="AJ306" s="77"/>
      <c r="AK306" s="78">
        <v>496.71</v>
      </c>
      <c r="AL306" s="78"/>
      <c r="AM306" s="78"/>
      <c r="AN306" s="78"/>
      <c r="AO306" s="78">
        <v>297189.65000000002</v>
      </c>
      <c r="AP306" s="79">
        <v>6528.32</v>
      </c>
      <c r="AQ306" s="78" t="s">
        <v>71</v>
      </c>
      <c r="AR306" s="79" t="s">
        <v>1377</v>
      </c>
      <c r="AS306" s="80">
        <v>44925</v>
      </c>
      <c r="AT306" s="81"/>
      <c r="AU306" s="204">
        <v>44909</v>
      </c>
      <c r="AV306" s="19"/>
      <c r="AW306" s="19"/>
      <c r="AX306" s="19"/>
      <c r="AY306" s="19"/>
      <c r="AZ306" s="19"/>
      <c r="BA306" s="19"/>
      <c r="BB306" s="19"/>
      <c r="BC306" s="19"/>
      <c r="BD306" s="19"/>
      <c r="BE306" s="19"/>
      <c r="BF306" s="19"/>
      <c r="BG306" s="20"/>
      <c r="BH306" s="20"/>
      <c r="BI306" s="20"/>
      <c r="BJ306" s="20"/>
      <c r="BK306" s="20"/>
      <c r="BL306" s="20"/>
      <c r="BM306" s="20"/>
      <c r="BN306" s="20"/>
      <c r="BO306" s="20"/>
      <c r="BP306" s="20"/>
      <c r="BQ306" s="20"/>
      <c r="BR306" s="20"/>
      <c r="BS306" s="20"/>
      <c r="BT306" s="20"/>
      <c r="BU306" s="20"/>
      <c r="BV306" s="20"/>
      <c r="IP306" s="20"/>
      <c r="IQ306" s="20"/>
      <c r="IR306" s="20"/>
      <c r="IS306" s="20"/>
      <c r="IT306" s="20"/>
      <c r="IU306" s="20"/>
      <c r="IV306" s="20"/>
    </row>
    <row r="307" spans="1:256" s="21" customFormat="1" ht="102">
      <c r="A307" s="135"/>
      <c r="B307" s="24">
        <v>284</v>
      </c>
      <c r="C307" s="24">
        <v>532591</v>
      </c>
      <c r="D307" s="25">
        <v>44392</v>
      </c>
      <c r="E307" s="26">
        <v>58125</v>
      </c>
      <c r="F307" s="26">
        <v>136688</v>
      </c>
      <c r="G307" s="26">
        <v>7858</v>
      </c>
      <c r="H307" s="27"/>
      <c r="I307" s="27"/>
      <c r="J307" s="27">
        <v>668</v>
      </c>
      <c r="K307" s="27">
        <v>1</v>
      </c>
      <c r="L307" s="27" t="s">
        <v>60</v>
      </c>
      <c r="M307" s="27" t="s">
        <v>1378</v>
      </c>
      <c r="N307" s="27" t="s">
        <v>1379</v>
      </c>
      <c r="O307" s="27"/>
      <c r="P307" s="27" t="s">
        <v>143</v>
      </c>
      <c r="Q307" s="27"/>
      <c r="R307" s="27"/>
      <c r="S307" s="27"/>
      <c r="T307" s="27">
        <f>2+3</f>
        <v>5</v>
      </c>
      <c r="U307" s="28"/>
      <c r="V307" s="27"/>
      <c r="W307" s="27"/>
      <c r="X307" s="27" t="s">
        <v>395</v>
      </c>
      <c r="Y307" s="29">
        <f>2+1</f>
        <v>3</v>
      </c>
      <c r="Z307" s="30"/>
      <c r="AA307" s="31">
        <f>+Y307+1+1</f>
        <v>5</v>
      </c>
      <c r="AB307" s="30"/>
      <c r="AC307" s="31">
        <f>+Y307*2</f>
        <v>6</v>
      </c>
      <c r="AD307" s="30">
        <f>+Z307*2</f>
        <v>0</v>
      </c>
      <c r="AE307" s="27"/>
      <c r="AF307" s="27"/>
      <c r="AG307" s="27">
        <f>42.51+15.21+7.36/2+3.58/2+42.51+15.21+3.58/2</f>
        <v>122.7</v>
      </c>
      <c r="AH307" s="27">
        <f>5.9+78.87+19.05+2.51</f>
        <v>106.33000000000001</v>
      </c>
      <c r="AI307" s="28"/>
      <c r="AJ307" s="32"/>
      <c r="AK307" s="33">
        <v>118.8</v>
      </c>
      <c r="AL307" s="33">
        <f>+(106.33/AK307)</f>
        <v>0.89503367003367007</v>
      </c>
      <c r="AM307" s="33">
        <f>+(AG307+AH307)/AK307</f>
        <v>1.9278619528619532</v>
      </c>
      <c r="AN307" s="33"/>
      <c r="AO307" s="33">
        <f>+((5.9+78.87+19.05+2.51)*26491+((7*33123+4*26491+13971*6+5*13249)/22*(42.51+15.21+7.36/2+3.58/2+42.51+15.21+3.58/2)))</f>
        <v>5537917.0845454549</v>
      </c>
      <c r="AP307" s="34">
        <v>83965.27</v>
      </c>
      <c r="AQ307" s="33" t="s">
        <v>51</v>
      </c>
      <c r="AR307" s="34" t="s">
        <v>1380</v>
      </c>
      <c r="AS307" s="35">
        <v>44925</v>
      </c>
      <c r="AT307" s="36"/>
      <c r="AU307" s="134">
        <v>44399</v>
      </c>
      <c r="AV307" s="19"/>
      <c r="AW307" s="19"/>
      <c r="AX307" s="19"/>
      <c r="AY307" s="19"/>
      <c r="AZ307" s="19"/>
      <c r="BA307" s="19"/>
      <c r="BB307" s="19"/>
      <c r="BC307" s="19"/>
      <c r="BD307" s="19"/>
      <c r="BE307" s="19"/>
      <c r="BF307" s="19"/>
      <c r="BG307" s="20"/>
      <c r="BH307" s="20"/>
      <c r="BI307" s="20"/>
      <c r="BJ307" s="20"/>
      <c r="BK307" s="20"/>
      <c r="BL307" s="20"/>
      <c r="BM307" s="20"/>
      <c r="BN307" s="20"/>
      <c r="BO307" s="20"/>
      <c r="BP307" s="20"/>
      <c r="BQ307" s="20"/>
      <c r="BR307" s="20"/>
      <c r="BS307" s="20"/>
      <c r="BT307" s="20"/>
      <c r="BU307" s="20"/>
      <c r="BV307" s="20"/>
      <c r="IP307" s="20"/>
      <c r="IQ307" s="20"/>
      <c r="IR307" s="20"/>
      <c r="IS307" s="20"/>
      <c r="IT307" s="20"/>
      <c r="IU307" s="20"/>
      <c r="IV307" s="20"/>
    </row>
    <row r="308" spans="1:256" s="21" customFormat="1" ht="76.5">
      <c r="A308" s="135"/>
      <c r="B308" s="24">
        <v>285</v>
      </c>
      <c r="C308" s="24" t="s">
        <v>1381</v>
      </c>
      <c r="D308" s="25">
        <v>44862</v>
      </c>
      <c r="E308" s="26">
        <v>59780</v>
      </c>
      <c r="F308" s="26">
        <v>167996</v>
      </c>
      <c r="G308" s="26">
        <v>10447</v>
      </c>
      <c r="H308" s="27"/>
      <c r="I308" s="27"/>
      <c r="J308" s="27">
        <v>715</v>
      </c>
      <c r="K308" s="27">
        <v>1</v>
      </c>
      <c r="L308" s="27" t="s">
        <v>88</v>
      </c>
      <c r="M308" s="27" t="s">
        <v>1382</v>
      </c>
      <c r="N308" s="27" t="s">
        <v>1383</v>
      </c>
      <c r="O308" s="27"/>
      <c r="P308" s="27" t="s">
        <v>1384</v>
      </c>
      <c r="Q308" s="27"/>
      <c r="R308" s="27"/>
      <c r="S308" s="27"/>
      <c r="T308" s="27">
        <f>1+2</f>
        <v>3</v>
      </c>
      <c r="U308" s="28"/>
      <c r="V308" s="27"/>
      <c r="W308" s="27"/>
      <c r="X308" s="27" t="s">
        <v>77</v>
      </c>
      <c r="Y308" s="29">
        <f>3+2+2</f>
        <v>7</v>
      </c>
      <c r="Z308" s="30"/>
      <c r="AA308" s="31">
        <f>+Y308+1+1+2</f>
        <v>11</v>
      </c>
      <c r="AB308" s="30"/>
      <c r="AC308" s="31">
        <f>+Y308*2</f>
        <v>14</v>
      </c>
      <c r="AD308" s="30"/>
      <c r="AE308" s="27"/>
      <c r="AF308" s="27"/>
      <c r="AG308" s="27">
        <f>126.9+3.3/2+12.89+68.1/2+26.66/2+85.3+6.9/2</f>
        <v>277.57</v>
      </c>
      <c r="AH308" s="27"/>
      <c r="AI308" s="28"/>
      <c r="AJ308" s="32"/>
      <c r="AK308" s="33">
        <v>425.12</v>
      </c>
      <c r="AL308" s="33">
        <f>+(68.1+12.88+125.9+3.3)/AK308</f>
        <v>0.49440158073014678</v>
      </c>
      <c r="AM308" s="33">
        <f>+AG308/AK308</f>
        <v>0.65292152803914183</v>
      </c>
      <c r="AN308" s="33">
        <f>+(2+24+4+12)/(1+8+1+2)</f>
        <v>3.5</v>
      </c>
      <c r="AO308" s="33">
        <f>+(2*33123+4*26491+4*19871+9*13249)/19*AG308</f>
        <v>5418969.8921052637</v>
      </c>
      <c r="AP308" s="34">
        <v>54633.75</v>
      </c>
      <c r="AQ308" s="33" t="s">
        <v>71</v>
      </c>
      <c r="AR308" s="34" t="s">
        <v>1385</v>
      </c>
      <c r="AS308" s="35">
        <v>44925</v>
      </c>
      <c r="AT308" s="36"/>
      <c r="AU308" s="134">
        <v>44911</v>
      </c>
      <c r="AV308" s="19"/>
      <c r="AW308" s="19"/>
      <c r="AX308" s="19"/>
      <c r="AY308" s="19"/>
      <c r="AZ308" s="19"/>
      <c r="BA308" s="19"/>
      <c r="BB308" s="19"/>
      <c r="BC308" s="19"/>
      <c r="BD308" s="19"/>
      <c r="BE308" s="19"/>
      <c r="BF308" s="19"/>
      <c r="BG308" s="20"/>
      <c r="BH308" s="20"/>
      <c r="BI308" s="20"/>
      <c r="BJ308" s="20"/>
      <c r="BK308" s="20"/>
      <c r="BL308" s="20"/>
      <c r="BM308" s="20"/>
      <c r="BN308" s="20"/>
      <c r="BO308" s="20"/>
      <c r="BP308" s="20"/>
      <c r="BQ308" s="20"/>
      <c r="BR308" s="20"/>
      <c r="BS308" s="20"/>
      <c r="BT308" s="20"/>
      <c r="BU308" s="20"/>
      <c r="BV308" s="20"/>
      <c r="IP308" s="20"/>
      <c r="IQ308" s="20"/>
      <c r="IR308" s="20"/>
      <c r="IS308" s="20"/>
      <c r="IT308" s="20"/>
      <c r="IU308" s="20"/>
      <c r="IV308" s="20"/>
    </row>
    <row r="309" spans="1:256" s="21" customFormat="1" ht="51">
      <c r="A309" s="135"/>
      <c r="B309" s="161">
        <v>286</v>
      </c>
      <c r="C309" s="133">
        <v>544199</v>
      </c>
      <c r="D309" s="207">
        <v>44771</v>
      </c>
      <c r="E309" s="71">
        <v>57129</v>
      </c>
      <c r="F309" s="71">
        <v>50850</v>
      </c>
      <c r="G309" s="71">
        <v>2803</v>
      </c>
      <c r="H309" s="72"/>
      <c r="I309" s="72"/>
      <c r="J309" s="72">
        <v>507</v>
      </c>
      <c r="K309" s="72">
        <v>5</v>
      </c>
      <c r="L309" s="72" t="s">
        <v>1386</v>
      </c>
      <c r="M309" s="72" t="s">
        <v>195</v>
      </c>
      <c r="N309" s="72" t="s">
        <v>1387</v>
      </c>
      <c r="O309" s="72"/>
      <c r="P309" s="72" t="s">
        <v>166</v>
      </c>
      <c r="Q309" s="72" t="s">
        <v>166</v>
      </c>
      <c r="R309" s="72" t="s">
        <v>166</v>
      </c>
      <c r="S309" s="72" t="s">
        <v>185</v>
      </c>
      <c r="T309" s="72">
        <v>1</v>
      </c>
      <c r="U309" s="73">
        <v>1</v>
      </c>
      <c r="V309" s="72"/>
      <c r="W309" s="72"/>
      <c r="X309" s="72" t="s">
        <v>151</v>
      </c>
      <c r="Y309" s="74">
        <v>2</v>
      </c>
      <c r="Z309" s="75"/>
      <c r="AA309" s="76">
        <f>+Y309+1</f>
        <v>3</v>
      </c>
      <c r="AB309" s="75"/>
      <c r="AC309" s="76">
        <f>+Y309*2</f>
        <v>4</v>
      </c>
      <c r="AD309" s="75"/>
      <c r="AE309" s="72"/>
      <c r="AF309" s="72"/>
      <c r="AG309" s="72"/>
      <c r="AH309" s="72"/>
      <c r="AI309" s="73"/>
      <c r="AJ309" s="77">
        <f>180.07+44.89/2+59.12</f>
        <v>261.63499999999999</v>
      </c>
      <c r="AK309" s="78">
        <v>378</v>
      </c>
      <c r="AL309" s="78">
        <v>0.75</v>
      </c>
      <c r="AM309" s="78">
        <v>0.87</v>
      </c>
      <c r="AN309" s="78"/>
      <c r="AO309" s="78">
        <f>+(591711.64)</f>
        <v>591711.64</v>
      </c>
      <c r="AP309" s="79">
        <v>51253.73</v>
      </c>
      <c r="AQ309" s="78" t="s">
        <v>71</v>
      </c>
      <c r="AR309" s="79" t="s">
        <v>1388</v>
      </c>
      <c r="AS309" s="80">
        <v>44925</v>
      </c>
      <c r="AT309" s="81"/>
      <c r="AU309" s="204">
        <v>44781</v>
      </c>
      <c r="AV309" s="19"/>
      <c r="AW309" s="19"/>
      <c r="AX309" s="19"/>
      <c r="AY309" s="19"/>
      <c r="AZ309" s="19"/>
      <c r="BA309" s="19"/>
      <c r="BB309" s="19"/>
      <c r="BC309" s="19"/>
      <c r="BD309" s="19"/>
      <c r="BE309" s="19"/>
      <c r="BF309" s="19"/>
      <c r="BG309" s="20"/>
      <c r="BH309" s="20"/>
      <c r="BI309" s="20"/>
      <c r="BJ309" s="20"/>
      <c r="BK309" s="20"/>
      <c r="BL309" s="20"/>
      <c r="BM309" s="20"/>
      <c r="BN309" s="20"/>
      <c r="BO309" s="20"/>
      <c r="BP309" s="20"/>
      <c r="BQ309" s="20"/>
      <c r="BR309" s="20"/>
      <c r="BS309" s="20"/>
      <c r="BT309" s="20"/>
      <c r="BU309" s="20"/>
      <c r="BV309" s="20"/>
      <c r="IP309" s="20"/>
      <c r="IQ309" s="20"/>
      <c r="IR309" s="20"/>
      <c r="IS309" s="20"/>
      <c r="IT309" s="20"/>
      <c r="IU309" s="20"/>
      <c r="IV309" s="20"/>
    </row>
    <row r="310" spans="1:256" s="208" customFormat="1" ht="12.75">
      <c r="A310" s="209"/>
      <c r="B310" s="199"/>
      <c r="C310" s="210"/>
      <c r="N310" s="211"/>
      <c r="AP310" s="213"/>
      <c r="AU310" s="212"/>
    </row>
    <row r="311" spans="1:256" s="208" customFormat="1" ht="12.75">
      <c r="A311" s="209"/>
      <c r="B311" s="199"/>
      <c r="C311" s="210"/>
      <c r="N311" s="211"/>
      <c r="AP311" s="213"/>
      <c r="AU311" s="212"/>
    </row>
    <row r="312" spans="1:256" s="208" customFormat="1" ht="12.75">
      <c r="A312" s="209"/>
      <c r="B312" s="199"/>
      <c r="C312" s="210"/>
      <c r="N312" s="211"/>
      <c r="AP312" s="213"/>
      <c r="AU312" s="212"/>
    </row>
    <row r="313" spans="1:256" s="208" customFormat="1" ht="12.75">
      <c r="A313" s="209"/>
      <c r="B313" s="199"/>
      <c r="C313" s="210"/>
      <c r="N313" s="211"/>
      <c r="AP313" s="213"/>
      <c r="AU313" s="212"/>
    </row>
    <row r="314" spans="1:256" s="208" customFormat="1" ht="12.75">
      <c r="A314" s="209"/>
      <c r="B314" s="199"/>
      <c r="C314" s="210"/>
      <c r="N314" s="211"/>
      <c r="AP314" s="213"/>
      <c r="AU314" s="212"/>
    </row>
    <row r="315" spans="1:256" s="208" customFormat="1" ht="12.75">
      <c r="A315" s="209"/>
      <c r="B315" s="199"/>
      <c r="C315" s="210"/>
      <c r="N315" s="211"/>
      <c r="AP315" s="213"/>
      <c r="AU315" s="212"/>
    </row>
    <row r="316" spans="1:256" s="208" customFormat="1" ht="12.75">
      <c r="A316" s="209"/>
      <c r="B316" s="199"/>
      <c r="C316" s="210"/>
      <c r="N316" s="211"/>
      <c r="AP316" s="213"/>
      <c r="AU316" s="212"/>
    </row>
    <row r="317" spans="1:256" s="208" customFormat="1" ht="12.75">
      <c r="A317" s="209"/>
      <c r="B317" s="199"/>
      <c r="C317" s="210"/>
      <c r="N317" s="211"/>
      <c r="AP317" s="213"/>
      <c r="AU317" s="212"/>
    </row>
    <row r="318" spans="1:256" s="208" customFormat="1" ht="12.75">
      <c r="A318" s="209"/>
      <c r="B318" s="199"/>
      <c r="C318" s="210"/>
      <c r="N318" s="211"/>
      <c r="AP318" s="213"/>
      <c r="AU318" s="212"/>
    </row>
    <row r="319" spans="1:256" s="208" customFormat="1" ht="12.75">
      <c r="A319" s="209"/>
      <c r="B319" s="199"/>
      <c r="C319" s="210"/>
      <c r="N319" s="211"/>
      <c r="AP319" s="213"/>
      <c r="AU319" s="212"/>
    </row>
    <row r="320" spans="1:256" s="208" customFormat="1" ht="12.75">
      <c r="A320" s="209"/>
      <c r="B320" s="199"/>
      <c r="C320" s="210"/>
      <c r="N320" s="211"/>
      <c r="AP320" s="213"/>
      <c r="AU320" s="212"/>
    </row>
    <row r="321" spans="1:47" s="208" customFormat="1" ht="12.75">
      <c r="A321" s="209"/>
      <c r="B321" s="199"/>
      <c r="C321" s="210"/>
      <c r="N321" s="211"/>
      <c r="AP321" s="213"/>
      <c r="AU321" s="212"/>
    </row>
    <row r="322" spans="1:47" s="208" customFormat="1" ht="12.75">
      <c r="A322" s="214"/>
      <c r="B322" s="199"/>
      <c r="C322" s="210"/>
      <c r="N322" s="211"/>
      <c r="AP322" s="213"/>
      <c r="AU322" s="212"/>
    </row>
    <row r="323" spans="1:47" s="208" customFormat="1" ht="12.75">
      <c r="A323" s="214"/>
      <c r="B323" s="199"/>
      <c r="C323" s="210"/>
      <c r="N323" s="211"/>
      <c r="AP323" s="213"/>
      <c r="AU323" s="212"/>
    </row>
  </sheetData>
  <pageMargins left="0.78749999999999998" right="0.78749999999999998" top="1.1513888888888899" bottom="1.1513888888888899" header="0.78749999999999998" footer="0.78749999999999998"/>
  <pageSetup paperSize="9" firstPageNumber="0" orientation="portrait" horizontalDpi="300" verticalDpi="300" r:id="rId1"/>
  <headerFooter>
    <oddHeader>&amp;C&amp;"Times New Roman1,Normal"&amp;12&amp;A</oddHeader>
    <oddFooter>&amp;C&amp;"Times New Roman1,Normal"&amp;12Página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Pamela</cp:lastModifiedBy>
  <dcterms:created xsi:type="dcterms:W3CDTF">2025-10-06T02:46:21Z</dcterms:created>
  <dcterms:modified xsi:type="dcterms:W3CDTF">2025-10-06T02:49:01Z</dcterms:modified>
</cp:coreProperties>
</file>