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375" windowWidth="28275" windowHeight="11550"/>
  </bookViews>
  <sheets>
    <sheet name="2021" sheetId="1" r:id="rId1"/>
  </sheets>
  <definedNames>
    <definedName name="_xlnm._FilterDatabase" localSheetId="0" hidden="1">'2021'!$1:$1</definedName>
  </definedNames>
  <calcPr calcId="125725"/>
</workbook>
</file>

<file path=xl/calcChain.xml><?xml version="1.0" encoding="utf-8"?>
<calcChain xmlns="http://schemas.openxmlformats.org/spreadsheetml/2006/main">
  <c r="AO229" i="1"/>
  <c r="AL229"/>
  <c r="AG229"/>
  <c r="AE229"/>
  <c r="Y229"/>
  <c r="AA229" s="1"/>
  <c r="AN228"/>
  <c r="AL228"/>
  <c r="AG228"/>
  <c r="AM228" s="1"/>
  <c r="AC228"/>
  <c r="AA228"/>
  <c r="AL227"/>
  <c r="AI227"/>
  <c r="AO227" s="1"/>
  <c r="AD227"/>
  <c r="AB227"/>
  <c r="AO226"/>
  <c r="AM226"/>
  <c r="AL226"/>
  <c r="Z226"/>
  <c r="AD226" s="1"/>
  <c r="AL225"/>
  <c r="AI225"/>
  <c r="AO225" s="1"/>
  <c r="AD225"/>
  <c r="AB225"/>
  <c r="AO224"/>
  <c r="AM224"/>
  <c r="AL224"/>
  <c r="AL223"/>
  <c r="AI223"/>
  <c r="AO223" s="1"/>
  <c r="AD223"/>
  <c r="AB223"/>
  <c r="AH222"/>
  <c r="AG222"/>
  <c r="AE222"/>
  <c r="Y222"/>
  <c r="AA222" s="1"/>
  <c r="T222"/>
  <c r="AN221"/>
  <c r="AL221"/>
  <c r="AH221"/>
  <c r="AG221" s="1"/>
  <c r="AM221" s="1"/>
  <c r="Y221"/>
  <c r="AA221" s="1"/>
  <c r="T221"/>
  <c r="AL220"/>
  <c r="AG220"/>
  <c r="AM220" s="1"/>
  <c r="Y220"/>
  <c r="AA220" s="1"/>
  <c r="AJ219"/>
  <c r="AO219" s="1"/>
  <c r="AL218"/>
  <c r="AI218"/>
  <c r="AO218" s="1"/>
  <c r="Z218"/>
  <c r="AD218" s="1"/>
  <c r="U218"/>
  <c r="AL217"/>
  <c r="AH217"/>
  <c r="AG217" s="1"/>
  <c r="AM217" s="1"/>
  <c r="Y217"/>
  <c r="AA217" s="1"/>
  <c r="T217"/>
  <c r="AL216"/>
  <c r="AG216"/>
  <c r="AM216" s="1"/>
  <c r="AO215"/>
  <c r="AN215"/>
  <c r="AL215"/>
  <c r="AE215"/>
  <c r="AM215" s="1"/>
  <c r="Y215"/>
  <c r="AC215" s="1"/>
  <c r="T215"/>
  <c r="AL214"/>
  <c r="AG214"/>
  <c r="AM214" s="1"/>
  <c r="AC214"/>
  <c r="AA214"/>
  <c r="AN213"/>
  <c r="AL213"/>
  <c r="AI213"/>
  <c r="AO213" s="1"/>
  <c r="AD213"/>
  <c r="AB213"/>
  <c r="AL212"/>
  <c r="AG212"/>
  <c r="AE212" s="1"/>
  <c r="AM212" s="1"/>
  <c r="Y212"/>
  <c r="AA212" s="1"/>
  <c r="AL211"/>
  <c r="AG211"/>
  <c r="AM211" s="1"/>
  <c r="AC211"/>
  <c r="AA211"/>
  <c r="AO210"/>
  <c r="AM210"/>
  <c r="AL210"/>
  <c r="Z210"/>
  <c r="AB210" s="1"/>
  <c r="AL209"/>
  <c r="AG209"/>
  <c r="AM209" s="1"/>
  <c r="Y209"/>
  <c r="AA209" s="1"/>
  <c r="AN208"/>
  <c r="AL208"/>
  <c r="AG208"/>
  <c r="AM208" s="1"/>
  <c r="AN207"/>
  <c r="AL207"/>
  <c r="AI207"/>
  <c r="AO207" s="1"/>
  <c r="AD207"/>
  <c r="AB207"/>
  <c r="AL206"/>
  <c r="AG206"/>
  <c r="AM206" s="1"/>
  <c r="Y206"/>
  <c r="AC206" s="1"/>
  <c r="AO205"/>
  <c r="AN205"/>
  <c r="AL205"/>
  <c r="AM205" s="1"/>
  <c r="AD205"/>
  <c r="AB205"/>
  <c r="AO204"/>
  <c r="AN204"/>
  <c r="AM204"/>
  <c r="AL204"/>
  <c r="AD204"/>
  <c r="AB204"/>
  <c r="AN203"/>
  <c r="AL203"/>
  <c r="AI203"/>
  <c r="AM203" s="1"/>
  <c r="AD203"/>
  <c r="AB203"/>
  <c r="AL202"/>
  <c r="AG202"/>
  <c r="AO202" s="1"/>
  <c r="AE202"/>
  <c r="AC202"/>
  <c r="AA202"/>
  <c r="AL201"/>
  <c r="AI201"/>
  <c r="AM201" s="1"/>
  <c r="AD201"/>
  <c r="AB201"/>
  <c r="AL200"/>
  <c r="AG200"/>
  <c r="AM200" s="1"/>
  <c r="Y200"/>
  <c r="AC200" s="1"/>
  <c r="AM199"/>
  <c r="AL199"/>
  <c r="AL198"/>
  <c r="AG198"/>
  <c r="AM198" s="1"/>
  <c r="AC198"/>
  <c r="AA198"/>
  <c r="AN197"/>
  <c r="AL197"/>
  <c r="AI197"/>
  <c r="AM197" s="1"/>
  <c r="AD197"/>
  <c r="AB197"/>
  <c r="AL196"/>
  <c r="AG196"/>
  <c r="AM196" s="1"/>
  <c r="Y196"/>
  <c r="AA196" s="1"/>
  <c r="AL195"/>
  <c r="AI195"/>
  <c r="AM195" s="1"/>
  <c r="AD195"/>
  <c r="AB195"/>
  <c r="AL194"/>
  <c r="AG194"/>
  <c r="AM194" s="1"/>
  <c r="Y194"/>
  <c r="AA194" s="1"/>
  <c r="T194"/>
  <c r="AO193"/>
  <c r="AL193"/>
  <c r="AI193"/>
  <c r="AM193" s="1"/>
  <c r="AD193"/>
  <c r="AB193"/>
  <c r="AO192"/>
  <c r="AL192"/>
  <c r="AE192"/>
  <c r="AM192" s="1"/>
  <c r="AC192"/>
  <c r="AA192"/>
  <c r="AO191"/>
  <c r="AN191"/>
  <c r="AM191"/>
  <c r="AL191"/>
  <c r="AD191"/>
  <c r="AB191"/>
  <c r="AL190"/>
  <c r="AG190"/>
  <c r="AO190" s="1"/>
  <c r="AC190"/>
  <c r="AA190"/>
  <c r="AL189"/>
  <c r="AH189"/>
  <c r="AG189"/>
  <c r="AC189"/>
  <c r="AA189"/>
  <c r="T189"/>
  <c r="AN188"/>
  <c r="AL188"/>
  <c r="AI188"/>
  <c r="AO188" s="1"/>
  <c r="Z188"/>
  <c r="AB188" s="1"/>
  <c r="AN187"/>
  <c r="AL187"/>
  <c r="AI187"/>
  <c r="AM187" s="1"/>
  <c r="U187"/>
  <c r="Z187" s="1"/>
  <c r="AL186"/>
  <c r="AH186"/>
  <c r="AM186" s="1"/>
  <c r="AL185"/>
  <c r="AG185"/>
  <c r="AM185" s="1"/>
  <c r="Y185"/>
  <c r="AA185" s="1"/>
  <c r="AL184"/>
  <c r="AG184"/>
  <c r="AO184" s="1"/>
  <c r="Y184"/>
  <c r="AA184" s="1"/>
  <c r="AL183"/>
  <c r="AG183"/>
  <c r="AM183" s="1"/>
  <c r="Y183"/>
  <c r="AA183" s="1"/>
  <c r="T183"/>
  <c r="AO182"/>
  <c r="AL182"/>
  <c r="AI182"/>
  <c r="AM182" s="1"/>
  <c r="Z182"/>
  <c r="AB182" s="1"/>
  <c r="AO181"/>
  <c r="AL181"/>
  <c r="AM181" s="1"/>
  <c r="AC181"/>
  <c r="AA181"/>
  <c r="AL180"/>
  <c r="AG180"/>
  <c r="AM180" s="1"/>
  <c r="Y180"/>
  <c r="AA180" s="1"/>
  <c r="T180"/>
  <c r="AN179"/>
  <c r="AL179"/>
  <c r="AG179"/>
  <c r="AO179" s="1"/>
  <c r="AD179"/>
  <c r="AB179"/>
  <c r="AL178"/>
  <c r="AJ178"/>
  <c r="AM178" s="1"/>
  <c r="AO177"/>
  <c r="AN177"/>
  <c r="AM177"/>
  <c r="AL177"/>
  <c r="AI177"/>
  <c r="AD177"/>
  <c r="AB177"/>
  <c r="AL176"/>
  <c r="AI176"/>
  <c r="AM176" s="1"/>
  <c r="AO175"/>
  <c r="AL175"/>
  <c r="AJ175"/>
  <c r="AE175"/>
  <c r="Y175"/>
  <c r="AC175" s="1"/>
  <c r="AL174"/>
  <c r="AE174"/>
  <c r="AM174" s="1"/>
  <c r="AC174"/>
  <c r="AA174"/>
  <c r="AO173"/>
  <c r="AH173"/>
  <c r="AG173"/>
  <c r="AF173"/>
  <c r="AE173" s="1"/>
  <c r="Y173"/>
  <c r="AA173" s="1"/>
  <c r="T173"/>
  <c r="AL172"/>
  <c r="AG172"/>
  <c r="AO172" s="1"/>
  <c r="Y172"/>
  <c r="AA172" s="1"/>
  <c r="AL171"/>
  <c r="AI171"/>
  <c r="AM171" s="1"/>
  <c r="AD171"/>
  <c r="AB171"/>
  <c r="AN170"/>
  <c r="AL170"/>
  <c r="AG170"/>
  <c r="AM170" s="1"/>
  <c r="AC170"/>
  <c r="AA170"/>
  <c r="AL169"/>
  <c r="AI169"/>
  <c r="AM169" s="1"/>
  <c r="AD169"/>
  <c r="AB169"/>
  <c r="AN168"/>
  <c r="AL168"/>
  <c r="AI168"/>
  <c r="AM168" s="1"/>
  <c r="AD168"/>
  <c r="AC168"/>
  <c r="AB168"/>
  <c r="AA168"/>
  <c r="AN167"/>
  <c r="AM167"/>
  <c r="AL167"/>
  <c r="AN165"/>
  <c r="AL165"/>
  <c r="AG165"/>
  <c r="AM165" s="1"/>
  <c r="AC165"/>
  <c r="AA165"/>
  <c r="AN164"/>
  <c r="AL164"/>
  <c r="AG164"/>
  <c r="AM164" s="1"/>
  <c r="AC164"/>
  <c r="AA164"/>
  <c r="AL163"/>
  <c r="AI163"/>
  <c r="AO163" s="1"/>
  <c r="AB163"/>
  <c r="Z163"/>
  <c r="AD163" s="1"/>
  <c r="AN162"/>
  <c r="AL162"/>
  <c r="AI162"/>
  <c r="AM162" s="1"/>
  <c r="AD162"/>
  <c r="AB162"/>
  <c r="AO161"/>
  <c r="AN161"/>
  <c r="AL161"/>
  <c r="AE161"/>
  <c r="AM161" s="1"/>
  <c r="AD161"/>
  <c r="AC161"/>
  <c r="AB161"/>
  <c r="AA161"/>
  <c r="AO160"/>
  <c r="AN160"/>
  <c r="AM160"/>
  <c r="AL160"/>
  <c r="AD160"/>
  <c r="AB160"/>
  <c r="AN159"/>
  <c r="AL159"/>
  <c r="AI159"/>
  <c r="AO159" s="1"/>
  <c r="AD159"/>
  <c r="AB159"/>
  <c r="AL158"/>
  <c r="AG158"/>
  <c r="AO158" s="1"/>
  <c r="AC158"/>
  <c r="AA158"/>
  <c r="AN157"/>
  <c r="AL157"/>
  <c r="AI157"/>
  <c r="AO157" s="1"/>
  <c r="Z157"/>
  <c r="AB157" s="1"/>
  <c r="AH156"/>
  <c r="AL156" s="1"/>
  <c r="AM155"/>
  <c r="AL155"/>
  <c r="AI155"/>
  <c r="AD155"/>
  <c r="AB155"/>
  <c r="AL154"/>
  <c r="AI154"/>
  <c r="AM154" s="1"/>
  <c r="AD154"/>
  <c r="AB154"/>
  <c r="AN153"/>
  <c r="AD153"/>
  <c r="AO152"/>
  <c r="AN152"/>
  <c r="AL152"/>
  <c r="AF152"/>
  <c r="AE152" s="1"/>
  <c r="AM152" s="1"/>
  <c r="Y152"/>
  <c r="AC152" s="1"/>
  <c r="T152"/>
  <c r="AO151"/>
  <c r="AN151"/>
  <c r="AL151"/>
  <c r="AG151"/>
  <c r="AM151" s="1"/>
  <c r="AC151"/>
  <c r="AA151"/>
  <c r="T151"/>
  <c r="AO150"/>
  <c r="AN150"/>
  <c r="AL150"/>
  <c r="AE150"/>
  <c r="AM150" s="1"/>
  <c r="AC150"/>
  <c r="AA150"/>
  <c r="AL149"/>
  <c r="AF149"/>
  <c r="AE149"/>
  <c r="AC149"/>
  <c r="AA149"/>
  <c r="AN148"/>
  <c r="AK148"/>
  <c r="AL148" s="1"/>
  <c r="AG148"/>
  <c r="AO148" s="1"/>
  <c r="AC148"/>
  <c r="AA148"/>
  <c r="AO147"/>
  <c r="AM147"/>
  <c r="AL147"/>
  <c r="AC147"/>
  <c r="AA147"/>
  <c r="AO146"/>
  <c r="AL146"/>
  <c r="AE146"/>
  <c r="AM146" s="1"/>
  <c r="Y146"/>
  <c r="AA146" s="1"/>
  <c r="AN145"/>
  <c r="AL145"/>
  <c r="AI145"/>
  <c r="AM145" s="1"/>
  <c r="Z145"/>
  <c r="AB145" s="1"/>
  <c r="AL144"/>
  <c r="AH144"/>
  <c r="AG144" s="1"/>
  <c r="AE144"/>
  <c r="Y144"/>
  <c r="AA144" s="1"/>
  <c r="T144"/>
  <c r="AO143"/>
  <c r="AM143"/>
  <c r="AL143"/>
  <c r="AC143"/>
  <c r="AA143"/>
  <c r="AO142"/>
  <c r="AN142"/>
  <c r="AI142"/>
  <c r="AE142"/>
  <c r="AD142"/>
  <c r="AC142"/>
  <c r="AB142"/>
  <c r="AA142"/>
  <c r="AN141"/>
  <c r="AL141"/>
  <c r="AJ141"/>
  <c r="AO141" s="1"/>
  <c r="AE141"/>
  <c r="AC141"/>
  <c r="AA141"/>
  <c r="AN140"/>
  <c r="AL140"/>
  <c r="AG140"/>
  <c r="AO140" s="1"/>
  <c r="AC140"/>
  <c r="AA140"/>
  <c r="T140"/>
  <c r="AL139"/>
  <c r="AH139"/>
  <c r="AM139" s="1"/>
  <c r="AL138"/>
  <c r="AG138"/>
  <c r="AO138" s="1"/>
  <c r="AE138"/>
  <c r="AI137"/>
  <c r="AO137" s="1"/>
  <c r="AE137"/>
  <c r="AC137"/>
  <c r="AA137"/>
  <c r="Z137"/>
  <c r="AB137" s="1"/>
  <c r="AL136"/>
  <c r="AI136"/>
  <c r="AM136" s="1"/>
  <c r="AC136"/>
  <c r="AA136"/>
  <c r="AN135"/>
  <c r="AL135"/>
  <c r="AG135"/>
  <c r="AO135" s="1"/>
  <c r="AE135"/>
  <c r="Y135"/>
  <c r="AA135" s="1"/>
  <c r="AL134"/>
  <c r="AG134"/>
  <c r="AO134" s="1"/>
  <c r="AC134"/>
  <c r="AA134"/>
  <c r="AL133"/>
  <c r="AI133"/>
  <c r="AG133"/>
  <c r="AD133"/>
  <c r="AC133"/>
  <c r="AA133"/>
  <c r="AL132"/>
  <c r="AI132"/>
  <c r="AO132" s="1"/>
  <c r="AD132"/>
  <c r="AB132"/>
  <c r="AN131"/>
  <c r="AM131"/>
  <c r="AL131"/>
  <c r="AI131"/>
  <c r="AO131" s="1"/>
  <c r="Z131"/>
  <c r="AB131" s="1"/>
  <c r="U131"/>
  <c r="AI130"/>
  <c r="AO130" s="1"/>
  <c r="AE130"/>
  <c r="AD130"/>
  <c r="AC130"/>
  <c r="AB130"/>
  <c r="AA130"/>
  <c r="AL129"/>
  <c r="AI129"/>
  <c r="AM129" s="1"/>
  <c r="AD129"/>
  <c r="AB129"/>
  <c r="AL128"/>
  <c r="AG128"/>
  <c r="AM128" s="1"/>
  <c r="AD128"/>
  <c r="AC128"/>
  <c r="AA128"/>
  <c r="AO127"/>
  <c r="AM127"/>
  <c r="AL127"/>
  <c r="Y127"/>
  <c r="AA127" s="1"/>
  <c r="AG126"/>
  <c r="AO126" s="1"/>
  <c r="AE126"/>
  <c r="Y126"/>
  <c r="AA126" s="1"/>
  <c r="T126"/>
  <c r="AO125"/>
  <c r="AN125"/>
  <c r="AM125"/>
  <c r="AL125"/>
  <c r="AN124"/>
  <c r="AL124"/>
  <c r="AE124"/>
  <c r="AG124" s="1"/>
  <c r="T124"/>
  <c r="AL123"/>
  <c r="AJ123"/>
  <c r="AM123" s="1"/>
  <c r="AN122"/>
  <c r="AG122"/>
  <c r="AO122" s="1"/>
  <c r="AC122"/>
  <c r="AA122"/>
  <c r="AL121"/>
  <c r="AI121"/>
  <c r="AM121" s="1"/>
  <c r="AO120"/>
  <c r="AM120"/>
  <c r="AL120"/>
  <c r="AD120"/>
  <c r="AH119"/>
  <c r="AL118"/>
  <c r="AI118"/>
  <c r="AO118" s="1"/>
  <c r="AD118"/>
  <c r="AB118"/>
  <c r="AM117"/>
  <c r="AL117"/>
  <c r="AN116"/>
  <c r="AL116"/>
  <c r="AG116"/>
  <c r="AO116" s="1"/>
  <c r="AE116"/>
  <c r="AA116"/>
  <c r="AO114"/>
  <c r="AM114"/>
  <c r="AL114"/>
  <c r="AN113"/>
  <c r="AL113"/>
  <c r="AG113"/>
  <c r="AM113" s="1"/>
  <c r="Y113"/>
  <c r="AC113" s="1"/>
  <c r="AL112"/>
  <c r="AI112"/>
  <c r="AO112" s="1"/>
  <c r="AD112"/>
  <c r="AB112"/>
  <c r="AI111"/>
  <c r="AL111" s="1"/>
  <c r="AG111"/>
  <c r="AE111"/>
  <c r="AD111"/>
  <c r="AB111"/>
  <c r="Y111"/>
  <c r="AA111" s="1"/>
  <c r="AN110"/>
  <c r="AL110"/>
  <c r="AE110"/>
  <c r="AI110" s="1"/>
  <c r="AO110" s="1"/>
  <c r="AD110"/>
  <c r="AC110"/>
  <c r="AB110"/>
  <c r="AA110"/>
  <c r="AN109"/>
  <c r="AL109"/>
  <c r="AI109"/>
  <c r="AM109" s="1"/>
  <c r="AD109"/>
  <c r="AB109"/>
  <c r="AL108"/>
  <c r="AG108"/>
  <c r="AM108" s="1"/>
  <c r="AC108"/>
  <c r="AA108"/>
  <c r="AL107"/>
  <c r="AI107"/>
  <c r="AE107"/>
  <c r="AD107"/>
  <c r="AB107"/>
  <c r="AL106"/>
  <c r="AI106"/>
  <c r="AM106" s="1"/>
  <c r="Z106"/>
  <c r="AB106" s="1"/>
  <c r="AN105"/>
  <c r="AL105"/>
  <c r="AG105"/>
  <c r="AE105"/>
  <c r="T105"/>
  <c r="AO104"/>
  <c r="AM104"/>
  <c r="AL104"/>
  <c r="AL103"/>
  <c r="AI103"/>
  <c r="AM103" s="1"/>
  <c r="AD103"/>
  <c r="AL102"/>
  <c r="AG102"/>
  <c r="AM102" s="1"/>
  <c r="Y102"/>
  <c r="AA102" s="1"/>
  <c r="AL101"/>
  <c r="AI101"/>
  <c r="AG101"/>
  <c r="Z101"/>
  <c r="AB101" s="1"/>
  <c r="AL100"/>
  <c r="AG100"/>
  <c r="AO100" s="1"/>
  <c r="AE100"/>
  <c r="Y100"/>
  <c r="AC100" s="1"/>
  <c r="AL99"/>
  <c r="AJ99"/>
  <c r="AM99" s="1"/>
  <c r="AN98"/>
  <c r="AL98"/>
  <c r="AI98"/>
  <c r="AO98" s="1"/>
  <c r="Z98"/>
  <c r="AB98" s="1"/>
  <c r="AO97"/>
  <c r="AM97"/>
  <c r="AL97"/>
  <c r="AF97"/>
  <c r="AE97"/>
  <c r="Y97"/>
  <c r="AA97" s="1"/>
  <c r="T97"/>
  <c r="AO96"/>
  <c r="AG96"/>
  <c r="Y96"/>
  <c r="AA96" s="1"/>
  <c r="AN95"/>
  <c r="AL95"/>
  <c r="AI95"/>
  <c r="AM95" s="1"/>
  <c r="AD95"/>
  <c r="AB95"/>
  <c r="AO94"/>
  <c r="AM94"/>
  <c r="AL94"/>
  <c r="AL93"/>
  <c r="AH93"/>
  <c r="AO93" s="1"/>
  <c r="AE93"/>
  <c r="T93"/>
  <c r="AN92"/>
  <c r="AL92"/>
  <c r="AI92"/>
  <c r="AM92" s="1"/>
  <c r="AD92"/>
  <c r="AB92"/>
  <c r="AO91"/>
  <c r="AL91"/>
  <c r="AE91"/>
  <c r="AM91" s="1"/>
  <c r="AC91"/>
  <c r="AA91"/>
  <c r="AL90"/>
  <c r="AJ90"/>
  <c r="AM90" s="1"/>
  <c r="AH89"/>
  <c r="AG89"/>
  <c r="AO89" s="1"/>
  <c r="AF89"/>
  <c r="AE89"/>
  <c r="Y89"/>
  <c r="AA89" s="1"/>
  <c r="T89"/>
  <c r="AN88"/>
  <c r="AL88"/>
  <c r="AI88"/>
  <c r="AM88" s="1"/>
  <c r="AD88"/>
  <c r="AB88"/>
  <c r="AL87"/>
  <c r="AI87"/>
  <c r="AO87" s="1"/>
  <c r="AE87"/>
  <c r="AC87"/>
  <c r="AA87"/>
  <c r="AL86"/>
  <c r="AG86"/>
  <c r="AO86" s="1"/>
  <c r="AC86"/>
  <c r="AA86"/>
  <c r="AL85"/>
  <c r="AG85"/>
  <c r="AO85" s="1"/>
  <c r="AC85"/>
  <c r="AA85"/>
  <c r="AE84"/>
  <c r="AM84" s="1"/>
  <c r="AO83"/>
  <c r="AL83"/>
  <c r="AM83" s="1"/>
  <c r="AD83"/>
  <c r="AB83"/>
  <c r="AL82"/>
  <c r="AH82"/>
  <c r="AG82" s="1"/>
  <c r="AO82" s="1"/>
  <c r="AE82"/>
  <c r="AC82"/>
  <c r="AA82"/>
  <c r="V82"/>
  <c r="AN81"/>
  <c r="AL81"/>
  <c r="AG81"/>
  <c r="AO81" s="1"/>
  <c r="Y81"/>
  <c r="AA81" s="1"/>
  <c r="AN80"/>
  <c r="AM80"/>
  <c r="AL80"/>
  <c r="AG80"/>
  <c r="AO80" s="1"/>
  <c r="AE80"/>
  <c r="AC80"/>
  <c r="AA80"/>
  <c r="AN79"/>
  <c r="AL79"/>
  <c r="AI79"/>
  <c r="AO79" s="1"/>
  <c r="AE79"/>
  <c r="AB79"/>
  <c r="AO78"/>
  <c r="AL78"/>
  <c r="AG78"/>
  <c r="AM78" s="1"/>
  <c r="Y78"/>
  <c r="AA78" s="1"/>
  <c r="AO77"/>
  <c r="AL77"/>
  <c r="AI77"/>
  <c r="AG77"/>
  <c r="AC77"/>
  <c r="AA77"/>
  <c r="AO76"/>
  <c r="AL76"/>
  <c r="AI76"/>
  <c r="AM76" s="1"/>
  <c r="AD76"/>
  <c r="AB76"/>
  <c r="AL75"/>
  <c r="AI75"/>
  <c r="AO75" s="1"/>
  <c r="AD75"/>
  <c r="AB75"/>
  <c r="AO74"/>
  <c r="AN74"/>
  <c r="AL74"/>
  <c r="AE74"/>
  <c r="AM74" s="1"/>
  <c r="AD74"/>
  <c r="AC74"/>
  <c r="AB74"/>
  <c r="AA74"/>
  <c r="AO73"/>
  <c r="AG73"/>
  <c r="AL73" s="1"/>
  <c r="Y73"/>
  <c r="AA73" s="1"/>
  <c r="AG72"/>
  <c r="AF72"/>
  <c r="AN71"/>
  <c r="AL71"/>
  <c r="AE71"/>
  <c r="AG71" s="1"/>
  <c r="AO71" s="1"/>
  <c r="AL70"/>
  <c r="AG70"/>
  <c r="AM70" s="1"/>
  <c r="AC70"/>
  <c r="AA70"/>
  <c r="AL69"/>
  <c r="AI69"/>
  <c r="AM69" s="1"/>
  <c r="AD69"/>
  <c r="AB69"/>
  <c r="AL68"/>
  <c r="AI68"/>
  <c r="AM68" s="1"/>
  <c r="AD68"/>
  <c r="AB68"/>
  <c r="AL67"/>
  <c r="AI67"/>
  <c r="AO67" s="1"/>
  <c r="Z67"/>
  <c r="AB67" s="1"/>
  <c r="U67"/>
  <c r="AO66"/>
  <c r="AM66"/>
  <c r="AL66"/>
  <c r="AC66"/>
  <c r="AA66"/>
  <c r="AN65"/>
  <c r="AL65"/>
  <c r="AI65"/>
  <c r="AO65" s="1"/>
  <c r="AD65"/>
  <c r="AB65"/>
  <c r="AO64"/>
  <c r="AL64"/>
  <c r="AM64" s="1"/>
  <c r="AI63"/>
  <c r="AO63" s="1"/>
  <c r="AD63"/>
  <c r="AB63"/>
  <c r="AL62"/>
  <c r="AH62"/>
  <c r="AO62" s="1"/>
  <c r="AO61"/>
  <c r="AM61"/>
  <c r="AL61"/>
  <c r="AM60"/>
  <c r="AI60"/>
  <c r="AL60" s="1"/>
  <c r="AD60"/>
  <c r="AB60"/>
  <c r="AM59"/>
  <c r="AL59"/>
  <c r="AC59"/>
  <c r="AA59"/>
  <c r="T59"/>
  <c r="AJ58"/>
  <c r="AM58" s="1"/>
  <c r="AN57"/>
  <c r="AL57"/>
  <c r="AG57"/>
  <c r="AO57" s="1"/>
  <c r="AC57"/>
  <c r="AA57"/>
  <c r="AN56"/>
  <c r="AM56"/>
  <c r="AL56"/>
  <c r="AI56"/>
  <c r="AO56" s="1"/>
  <c r="AD56"/>
  <c r="AB56"/>
  <c r="AO55"/>
  <c r="AN55"/>
  <c r="AL55"/>
  <c r="AI55"/>
  <c r="AM55" s="1"/>
  <c r="AD55"/>
  <c r="AB55"/>
  <c r="AO54"/>
  <c r="AN54"/>
  <c r="AL54"/>
  <c r="AE54"/>
  <c r="AM54" s="1"/>
  <c r="AD54"/>
  <c r="AC54"/>
  <c r="AB54"/>
  <c r="AA54"/>
  <c r="AH53"/>
  <c r="AO53" s="1"/>
  <c r="AE53"/>
  <c r="T53"/>
  <c r="AN51"/>
  <c r="AM51"/>
  <c r="AL51"/>
  <c r="AI51"/>
  <c r="AO51" s="1"/>
  <c r="AD51"/>
  <c r="AB51"/>
  <c r="AL50"/>
  <c r="AI50"/>
  <c r="AO50" s="1"/>
  <c r="AD50"/>
  <c r="AB50"/>
  <c r="AN49"/>
  <c r="AM49"/>
  <c r="AL49"/>
  <c r="AG49"/>
  <c r="AO49" s="1"/>
  <c r="AE49"/>
  <c r="Y49"/>
  <c r="AC49" s="1"/>
  <c r="T49"/>
  <c r="AN48"/>
  <c r="AL48"/>
  <c r="AG48"/>
  <c r="AO48" s="1"/>
  <c r="Y48"/>
  <c r="AA48" s="1"/>
  <c r="AO47"/>
  <c r="AM47"/>
  <c r="AL47"/>
  <c r="AE47"/>
  <c r="AC47"/>
  <c r="AA47"/>
  <c r="AO46"/>
  <c r="AL46"/>
  <c r="AE46"/>
  <c r="AM46" s="1"/>
  <c r="AA46"/>
  <c r="Y46"/>
  <c r="AC46" s="1"/>
  <c r="AO45"/>
  <c r="AM45"/>
  <c r="AL45"/>
  <c r="AD45"/>
  <c r="AB45"/>
  <c r="AO44"/>
  <c r="AL44"/>
  <c r="AE44"/>
  <c r="AM44" s="1"/>
  <c r="AN43"/>
  <c r="AL43"/>
  <c r="AI43"/>
  <c r="AM43" s="1"/>
  <c r="AD43"/>
  <c r="AB43"/>
  <c r="AN42"/>
  <c r="AL42"/>
  <c r="AI42"/>
  <c r="AO42" s="1"/>
  <c r="AE42"/>
  <c r="AM42" s="1"/>
  <c r="AD42"/>
  <c r="Y42"/>
  <c r="AC42" s="1"/>
  <c r="AN41"/>
  <c r="AL41"/>
  <c r="AI41"/>
  <c r="AO41" s="1"/>
  <c r="AD41"/>
  <c r="AL40"/>
  <c r="AI40"/>
  <c r="AM40" s="1"/>
  <c r="AD40"/>
  <c r="AB40"/>
  <c r="AL39"/>
  <c r="AI39"/>
  <c r="AO39" s="1"/>
  <c r="AE39"/>
  <c r="AN38"/>
  <c r="AL38"/>
  <c r="AG38"/>
  <c r="AO38" s="1"/>
  <c r="AD38"/>
  <c r="AA38"/>
  <c r="Y38"/>
  <c r="AC38" s="1"/>
  <c r="AN37"/>
  <c r="AL37"/>
  <c r="AG37"/>
  <c r="AM37" s="1"/>
  <c r="Y37"/>
  <c r="AC37" s="1"/>
  <c r="AL36"/>
  <c r="AI36"/>
  <c r="AM36" s="1"/>
  <c r="AD36"/>
  <c r="AB36"/>
  <c r="AJ35"/>
  <c r="AH35"/>
  <c r="AN34"/>
  <c r="AL34"/>
  <c r="AG34"/>
  <c r="AM34" s="1"/>
  <c r="AC34"/>
  <c r="AA34"/>
  <c r="AH33"/>
  <c r="AO33" s="1"/>
  <c r="AL32"/>
  <c r="AG32"/>
  <c r="AM32" s="1"/>
  <c r="Y32"/>
  <c r="AC32" s="1"/>
  <c r="T32"/>
  <c r="AN31"/>
  <c r="AL31"/>
  <c r="AI31"/>
  <c r="AO31" s="1"/>
  <c r="AD31"/>
  <c r="AB31"/>
  <c r="AL30"/>
  <c r="AJ30"/>
  <c r="AI30"/>
  <c r="Z30"/>
  <c r="AB30" s="1"/>
  <c r="U30"/>
  <c r="AL29"/>
  <c r="AG29"/>
  <c r="AO29" s="1"/>
  <c r="AC29"/>
  <c r="AA29"/>
  <c r="AL28"/>
  <c r="AG28"/>
  <c r="AM28" s="1"/>
  <c r="AD28"/>
  <c r="AB28"/>
  <c r="AN27"/>
  <c r="AL27"/>
  <c r="AI27"/>
  <c r="AO27" s="1"/>
  <c r="AD27"/>
  <c r="AB27"/>
  <c r="AL26"/>
  <c r="AG26"/>
  <c r="AO26" s="1"/>
  <c r="AE26"/>
  <c r="AM26" s="1"/>
  <c r="AD26"/>
  <c r="AC26"/>
  <c r="AB26"/>
  <c r="AA26"/>
  <c r="AO25"/>
  <c r="AN25"/>
  <c r="AM25"/>
  <c r="AL25"/>
  <c r="AD25"/>
  <c r="AB25"/>
  <c r="AN24"/>
  <c r="AL24"/>
  <c r="AI24"/>
  <c r="AM24" s="1"/>
  <c r="AD24"/>
  <c r="AB24"/>
  <c r="AO23"/>
  <c r="AL23"/>
  <c r="AI23"/>
  <c r="AM23" s="1"/>
  <c r="AD23"/>
  <c r="AB23"/>
  <c r="AO21"/>
  <c r="AM21"/>
  <c r="AL21"/>
  <c r="AF20"/>
  <c r="AH20" s="1"/>
  <c r="AL19"/>
  <c r="AG19"/>
  <c r="AO19" s="1"/>
  <c r="AE19"/>
  <c r="AA19"/>
  <c r="Y19"/>
  <c r="AC19" s="1"/>
  <c r="T19"/>
  <c r="AO18"/>
  <c r="AL18"/>
  <c r="AE18"/>
  <c r="AM18" s="1"/>
  <c r="AC18"/>
  <c r="AA18"/>
  <c r="AO17"/>
  <c r="AG17"/>
  <c r="AL17" s="1"/>
  <c r="AE17"/>
  <c r="AD17"/>
  <c r="AC17"/>
  <c r="AO16"/>
  <c r="AL16"/>
  <c r="AI16"/>
  <c r="AM16" s="1"/>
  <c r="Z16"/>
  <c r="AB16" s="1"/>
  <c r="AL15"/>
  <c r="AH15"/>
  <c r="AM15" s="1"/>
  <c r="AM14"/>
  <c r="AL14"/>
  <c r="AL13"/>
  <c r="AH13"/>
  <c r="AM13" s="1"/>
  <c r="AL12"/>
  <c r="AI12"/>
  <c r="AO12" s="1"/>
  <c r="AD12"/>
  <c r="AB12"/>
  <c r="AO11"/>
  <c r="AN11"/>
  <c r="AM11"/>
  <c r="AL11"/>
  <c r="AI11"/>
  <c r="AD11"/>
  <c r="AL10"/>
  <c r="AH10"/>
  <c r="AO10" s="1"/>
  <c r="AL9"/>
  <c r="AH9"/>
  <c r="AC9"/>
  <c r="AA9"/>
  <c r="AO8"/>
  <c r="AL8"/>
  <c r="AM8" s="1"/>
  <c r="AD8"/>
  <c r="AB8"/>
  <c r="AN7"/>
  <c r="AL7"/>
  <c r="AG7"/>
  <c r="AM7" s="1"/>
  <c r="Y7"/>
  <c r="AA7" s="1"/>
  <c r="T7"/>
  <c r="AN6"/>
  <c r="AL6"/>
  <c r="AG6"/>
  <c r="AO6" s="1"/>
  <c r="AD6"/>
  <c r="AB6"/>
  <c r="AL5"/>
  <c r="AG5"/>
  <c r="Y5"/>
  <c r="AC5" s="1"/>
  <c r="AL4"/>
  <c r="AI4"/>
  <c r="AM4" s="1"/>
  <c r="AD4"/>
  <c r="AB4"/>
  <c r="U4"/>
  <c r="AL3"/>
  <c r="AI3"/>
  <c r="AM3" s="1"/>
  <c r="Z3"/>
  <c r="AF2"/>
  <c r="AM2" s="1"/>
  <c r="AO168" l="1"/>
  <c r="AM137"/>
  <c r="AM130"/>
  <c r="AM93"/>
  <c r="AO58"/>
  <c r="AL58"/>
  <c r="AC111"/>
  <c r="AA152"/>
  <c r="AM72"/>
  <c r="AO36"/>
  <c r="AO165"/>
  <c r="AM189"/>
  <c r="AA215"/>
  <c r="AM10"/>
  <c r="AO84"/>
  <c r="AC196"/>
  <c r="AB226"/>
  <c r="AO176"/>
  <c r="AC185"/>
  <c r="AM33"/>
  <c r="AA100"/>
  <c r="AC222"/>
  <c r="AM29"/>
  <c r="AM50"/>
  <c r="AO69"/>
  <c r="AM38"/>
  <c r="AO139"/>
  <c r="AM105"/>
  <c r="AO200"/>
  <c r="AA175"/>
  <c r="AO109"/>
  <c r="AM133"/>
  <c r="AC172"/>
  <c r="AM135"/>
  <c r="AM17"/>
  <c r="AM67"/>
  <c r="AM39"/>
  <c r="AM184"/>
  <c r="AA113"/>
  <c r="AO129"/>
  <c r="AO196"/>
  <c r="AM213"/>
  <c r="AD131"/>
  <c r="AM163"/>
  <c r="AO186"/>
  <c r="AM100"/>
  <c r="AC173"/>
  <c r="AM202"/>
  <c r="AC102"/>
  <c r="AM188"/>
  <c r="AC217"/>
  <c r="AO228"/>
  <c r="AO162"/>
  <c r="AA206"/>
  <c r="AA37"/>
  <c r="AM141"/>
  <c r="AM207"/>
  <c r="AM227"/>
  <c r="AB187"/>
  <c r="AD187"/>
  <c r="AO15"/>
  <c r="AO60"/>
  <c r="AM98"/>
  <c r="AD101"/>
  <c r="AM118"/>
  <c r="AM134"/>
  <c r="AM175"/>
  <c r="AM218"/>
  <c r="AO40"/>
  <c r="AO108"/>
  <c r="AO203"/>
  <c r="AO102"/>
  <c r="AM179"/>
  <c r="AM27"/>
  <c r="AA49"/>
  <c r="AC78"/>
  <c r="AM138"/>
  <c r="AM140"/>
  <c r="AM144"/>
  <c r="AB218"/>
  <c r="AM35"/>
  <c r="AO4"/>
  <c r="AM31"/>
  <c r="AM158"/>
  <c r="AA42"/>
  <c r="AM65"/>
  <c r="AM73"/>
  <c r="AM81"/>
  <c r="AM107"/>
  <c r="AA200"/>
  <c r="AC48"/>
  <c r="AC73"/>
  <c r="AC97"/>
  <c r="AM126"/>
  <c r="AC135"/>
  <c r="AD188"/>
  <c r="AO206"/>
  <c r="AM222"/>
  <c r="AM225"/>
  <c r="AM79"/>
  <c r="AM101"/>
  <c r="AL126"/>
  <c r="AM89"/>
  <c r="AM116"/>
  <c r="AM229"/>
  <c r="AM6"/>
  <c r="AM19"/>
  <c r="AM48"/>
  <c r="AM82"/>
  <c r="AM87"/>
  <c r="AM112"/>
  <c r="AM148"/>
  <c r="AO217"/>
  <c r="AO13"/>
  <c r="AO43"/>
  <c r="AD98"/>
  <c r="AD137"/>
  <c r="AM53"/>
  <c r="AO24"/>
  <c r="AO32"/>
  <c r="AO37"/>
  <c r="AO68"/>
  <c r="AO88"/>
  <c r="AO101"/>
  <c r="AO3"/>
  <c r="AO70"/>
  <c r="AD106"/>
  <c r="AO113"/>
  <c r="AO187"/>
  <c r="AO189"/>
  <c r="AO216"/>
  <c r="AO7"/>
  <c r="AM41"/>
  <c r="AC127"/>
  <c r="AO169"/>
  <c r="AO185"/>
  <c r="AO197"/>
  <c r="AO208"/>
  <c r="AM12"/>
  <c r="AM20"/>
  <c r="AO34"/>
  <c r="AM57"/>
  <c r="AO99"/>
  <c r="AM149"/>
  <c r="AO164"/>
  <c r="AO171"/>
  <c r="AO195"/>
  <c r="AA32"/>
  <c r="AM62"/>
  <c r="AM77"/>
  <c r="AM85"/>
  <c r="AO92"/>
  <c r="AM111"/>
  <c r="AO156"/>
  <c r="AM124"/>
  <c r="AO124"/>
  <c r="AM5"/>
  <c r="AC7"/>
  <c r="AO30"/>
  <c r="AM63"/>
  <c r="AM75"/>
  <c r="AM86"/>
  <c r="AC96"/>
  <c r="AO123"/>
  <c r="AM132"/>
  <c r="AC146"/>
  <c r="AM159"/>
  <c r="AM172"/>
  <c r="AC180"/>
  <c r="AD182"/>
  <c r="AO183"/>
  <c r="AM190"/>
  <c r="AC194"/>
  <c r="AO209"/>
  <c r="AO211"/>
  <c r="AO220"/>
  <c r="AM223"/>
  <c r="AM30"/>
  <c r="AL63"/>
  <c r="AM157"/>
  <c r="AO221"/>
  <c r="AO28"/>
  <c r="AM71"/>
  <c r="AO95"/>
  <c r="AO111"/>
  <c r="AO133"/>
  <c r="AO145"/>
  <c r="AO214"/>
  <c r="AA5"/>
  <c r="AD16"/>
  <c r="AM110"/>
  <c r="AO128"/>
  <c r="AC144"/>
  <c r="AO154"/>
  <c r="AD157"/>
  <c r="AC183"/>
  <c r="AO201"/>
  <c r="AC209"/>
  <c r="AO212"/>
  <c r="AC220"/>
  <c r="AC229"/>
  <c r="AD3"/>
  <c r="AD30"/>
  <c r="AC89"/>
  <c r="AO222"/>
  <c r="AB3"/>
  <c r="AD145"/>
  <c r="AM156"/>
  <c r="AO180"/>
  <c r="AO194"/>
  <c r="AC221"/>
  <c r="AM9"/>
  <c r="AO72"/>
  <c r="AC81"/>
  <c r="AC184"/>
  <c r="AD210"/>
  <c r="AC212"/>
  <c r="AP190"/>
  <c r="AO5"/>
</calcChain>
</file>

<file path=xl/sharedStrings.xml><?xml version="1.0" encoding="utf-8"?>
<sst xmlns="http://schemas.openxmlformats.org/spreadsheetml/2006/main" count="2255" uniqueCount="1246">
  <si>
    <t>LEGAJO</t>
  </si>
  <si>
    <t>EXPEDIENTE</t>
  </si>
  <si>
    <t>INGRESO</t>
  </si>
  <si>
    <t>Plano de Mensura</t>
  </si>
  <si>
    <t>Partida Provincial</t>
  </si>
  <si>
    <t>Partida Municipal</t>
  </si>
  <si>
    <t>Concesión</t>
  </si>
  <si>
    <t>Ex-Quinta</t>
  </si>
  <si>
    <t>Manzana</t>
  </si>
  <si>
    <t>Parcela</t>
  </si>
  <si>
    <t>Zonificación</t>
  </si>
  <si>
    <t>Ubicación</t>
  </si>
  <si>
    <t>Propietario</t>
  </si>
  <si>
    <t>Nombre del Establecimiento y/o empresa</t>
  </si>
  <si>
    <t>Proyecto</t>
  </si>
  <si>
    <t>Dirección de obra</t>
  </si>
  <si>
    <t>Estructura</t>
  </si>
  <si>
    <t>Constructor</t>
  </si>
  <si>
    <t>RELEVAMIENTO o existente</t>
  </si>
  <si>
    <t>A CONTRUIR / OBRA NUEVA</t>
  </si>
  <si>
    <t>AMPLIACION de obra existente</t>
  </si>
  <si>
    <t>PROYECTADO (no iniciado)</t>
  </si>
  <si>
    <t>Terreno</t>
  </si>
  <si>
    <t>F. O. S.</t>
  </si>
  <si>
    <t>F. O. T.</t>
  </si>
  <si>
    <t>CATEGORIA</t>
  </si>
  <si>
    <t>Monto de la Inversión (estimado y/o declarado)</t>
  </si>
  <si>
    <t>Derechos de edificación</t>
  </si>
  <si>
    <t>Observaciones</t>
  </si>
  <si>
    <t>AVANCE DE OBRA</t>
  </si>
  <si>
    <t>ENERO</t>
  </si>
  <si>
    <t>Urbana 1</t>
  </si>
  <si>
    <t>San Martìn Nº 1315</t>
  </si>
  <si>
    <t>GRUPO MARSO S.R.L.</t>
  </si>
  <si>
    <t>PENDOLA Ofelia</t>
  </si>
  <si>
    <t>Estaciòn de Servicios</t>
  </si>
  <si>
    <t>ARQ.</t>
  </si>
  <si>
    <t>plano conforme de estaciòn de servicio, plano visado 26/03/2018, BAJO Ord 27/10, art 1, punto 2, inc 2, Infraccion art 5, 27, 37 del CE</t>
  </si>
  <si>
    <t xml:space="preserve">inspecciòn </t>
  </si>
  <si>
    <t>Urbana 2</t>
  </si>
  <si>
    <t>Bvard. Gaillard N° 1139</t>
  </si>
  <si>
    <t>LUCIANI Ana María</t>
  </si>
  <si>
    <t>MARONE Leandro E</t>
  </si>
  <si>
    <t>ZIEGLER Carlos D</t>
  </si>
  <si>
    <t>Vivienda multifamiliar</t>
  </si>
  <si>
    <t>M.M.O.</t>
  </si>
  <si>
    <t>vivienda multifamiliar, dos "monoambientes" a construir en PB y una vivienda de un dormitorio (o dos) en PA, cochera cerrada, balcón al fondo, estar comedor cocina, dormitorio, baño, Bajo ord 27/10, art 1, punto 1, inc 9 y punto 2, inc 2, Infraccio  art 5, 27, 37, 178, 226 del CE, infraccion Ord 53/07</t>
  </si>
  <si>
    <t>en etapa de obra gruesa, mampostería hasta alturqa de VE Sup de PB, Inspección 9/9/20</t>
  </si>
  <si>
    <t>Residencial Sur</t>
  </si>
  <si>
    <t>25 de Mayo Nº 184, 186, 190</t>
  </si>
  <si>
    <t>JOHNSTON Alan</t>
  </si>
  <si>
    <t>PACCOT Javier Humberto - BLANC Maximiliano</t>
  </si>
  <si>
    <t>no identificado</t>
  </si>
  <si>
    <t>Vivienda unifamiliar + Local comercial</t>
  </si>
  <si>
    <t>dos locales a construir en PB y vivienda unifamiliaren PA de dos dormitorios, estar cocina comedor lavadero, escritorio integrado al dormitorio principal, balcòn sobre la vìa pùblica, BAJO ORD 77/2020 del HCD</t>
  </si>
  <si>
    <t>inspecciòn 13/10/20, obra no comenzada</t>
  </si>
  <si>
    <t>mail, 526150</t>
  </si>
  <si>
    <t>Piamonte N° 381</t>
  </si>
  <si>
    <t>IRIBARREN Susana Gabriela</t>
  </si>
  <si>
    <t>SOLIS Gustavo</t>
  </si>
  <si>
    <t>dos unidades de vivienda a relevar, cada una con un dormitorio, cocina comedor estar, baño, una se ubica en PB al frente, la otra en PA al fondo sobre las cocheras de PB. Bajo ord 27/10, art 1, punto 2, inc 2, Infracciòn Ord 53/07, Infracciòn art 5, 27, 37, 182, 201, 202, 226, 232 del C.E.</t>
  </si>
  <si>
    <t>inspecciòn 16/12/20</t>
  </si>
  <si>
    <t>MAIL, 526524</t>
  </si>
  <si>
    <t>F. Domichin s/N°</t>
  </si>
  <si>
    <t>CHEVALLET Nicolás Alfredo</t>
  </si>
  <si>
    <t>BARACAT Pamela E</t>
  </si>
  <si>
    <t xml:space="preserve">SALDAÑO María Guadalupe </t>
  </si>
  <si>
    <t>Vivienda unifamiliar</t>
  </si>
  <si>
    <t>relevamiento de cabaña tipo alpina de madera, un dormitorio en PB, cocina, comedor estar, y dormitorio en PA, semicubierto lateral y acceso, BAJO Ord 27/10,art 1, punto 2, inc 2, Infraccion art 5, 27, 37, 144, 151, 176, 178, 201, 227 del C.E.</t>
  </si>
  <si>
    <t>inspección 23/12/20</t>
  </si>
  <si>
    <t>Bvard. Ferrari Nº 769</t>
  </si>
  <si>
    <t>IBALO Miguel</t>
  </si>
  <si>
    <t>MORARD Manuel A</t>
  </si>
  <si>
    <t>ING.</t>
  </si>
  <si>
    <t>relevamiento de vivienda unifamiliar y tres deptos de alquiler, dos de ellos monoambientes y uno con dos dormitorios, baño y cocina comedor, cochera para un vehìculo semicbierta, la vivienda tiene dos dormitorios, baño, cocina comedor estar, lavadero y cochera doble cubierta, en PA una terraza y un pequeño depòsito, BAJO ORD 27/10, art 1, punto 2, inc 2, Infraccion Ord 56/07, art 3, Infraccion Ord 53/07, Infraccion art 5, 27, 37, 144, 176, 178, 179, 181, 182, 201, 202, 232, del C.E.</t>
  </si>
  <si>
    <t>MAIL, 526271</t>
  </si>
  <si>
    <t>Andrade N° 261</t>
  </si>
  <si>
    <t>BLANCO Teresa</t>
  </si>
  <si>
    <t>CHINELATTO Pablo A</t>
  </si>
  <si>
    <t>vivienda existente a demoler, vivienda unifamiliar a construir en PB, dos dormitorios, baño, cocina comedor estar, sin cochera marcada</t>
  </si>
  <si>
    <t>15 - UF 02</t>
  </si>
  <si>
    <t>Centro</t>
  </si>
  <si>
    <t>12 de Abril esq. 25 de Mayo N° 08, 14</t>
  </si>
  <si>
    <t>VALLEJOS ZAMORA Julio Abraham</t>
  </si>
  <si>
    <t>FRANCHINA José</t>
  </si>
  <si>
    <t>Hotel</t>
  </si>
  <si>
    <t>relevamiento de mejoras y refacciones realizadas y en realización en el hotel, en PA., Bajo Ord 27/10, art 1, punto 1, inc 9, Art 1, punto 2, inc 1, 2 y 3- infraccion art 5, 27, 37, 178, 179, 181, 182, 202, 226 del CE, infraccion Ord 62/13, art 19, Ord 56/07, art 3, Ord 53/07</t>
  </si>
  <si>
    <t>inspección 15/10/20, intervención avanzada</t>
  </si>
  <si>
    <t>519865, 527498</t>
  </si>
  <si>
    <t>Avda Paysandú N° 1024</t>
  </si>
  <si>
    <t>BERLINGERI VIERA Ana María</t>
  </si>
  <si>
    <t>BENITEZ Emrique</t>
  </si>
  <si>
    <t>Galpón - Local Comercial</t>
  </si>
  <si>
    <t>relevamiento de galpón en etapa de terminación, uso futuro Panadería, Bajo ord 27/10, art 1, punto 2, inc 2, Infracción art 5, 27, 37, 179, 200, 222, 223 del CE - Sujeto al cumplimiento de los articulos 231, 235, 236, 237, 254, 255, 256, 260, 267 del CE y ART 3.8.3.3 Elaboración y Venta de Pan del CE CABA</t>
  </si>
  <si>
    <t>517818, mail, 527615</t>
  </si>
  <si>
    <t>San Martín Nª 702 esq. Salta N° 46</t>
  </si>
  <si>
    <t>TOTORICA Martín y TOTORICA Jorge</t>
  </si>
  <si>
    <t>TOTORICA Jorge</t>
  </si>
  <si>
    <t>RUIZ DIAZ Marcelo Javier</t>
  </si>
  <si>
    <t>Vivienda y local comercial</t>
  </si>
  <si>
    <t>relevamiento de construcción existente local comercial, cochera y depósito, y local comercial a reacondicionar en PB y vivienda unifamiliar a construir en piso superior, adjunto prefactibilidad Exp. 440239, Bajo ord 27/10, art 1, punto 2, inc 2, Infraccion art 5, 27, 37, 130 ,179, 223 del CE</t>
  </si>
  <si>
    <t>519567, 527719</t>
  </si>
  <si>
    <t>Zona de Quintas</t>
  </si>
  <si>
    <t>Calle Pública S/N° (Loteo Luna)</t>
  </si>
  <si>
    <t>BAEZ Ricardo Rubén y CENTURION Laura Elizabeth</t>
  </si>
  <si>
    <t>MALGOR José Manuel</t>
  </si>
  <si>
    <t>BORDET Germán</t>
  </si>
  <si>
    <t>ING. CIVIL</t>
  </si>
  <si>
    <t>vivienda unifamiliar a construir, en PB,  con dos dormitorios, baño completo, estar cocina comedor, cochera semicubierta</t>
  </si>
  <si>
    <t>obra no comenzada, inspección 20/02/20</t>
  </si>
  <si>
    <t>Prioridad Turìstica</t>
  </si>
  <si>
    <t>A. Peyret Nº 210</t>
  </si>
  <si>
    <t>DE SANTIAGO Alfredo Marcial</t>
  </si>
  <si>
    <t>MALGOR Josè Manuel</t>
  </si>
  <si>
    <t>Local comercial</t>
  </si>
  <si>
    <t>relevamiento de local comercial (restaurante parrilla) tiene antecedente con muchas faltas, Bajo ord 27/10, art 1, punto 2, inc 2 y 3, Infraccion art 5, 27, 37, 129, 176, 179, 181, 182, 194, 201, 202, 207, 223, 233, 235, 246, 247, 258 del CE, Sujeto a la aplicación de los art 237, 238, 246, 247, 250, 261, 266, 267 282, 283, 289, 290 del CE</t>
  </si>
  <si>
    <t>inspección 11/01/21</t>
  </si>
  <si>
    <t>mail, 527841</t>
  </si>
  <si>
    <t>Gral. Paz Nº 32 , 34 (40)</t>
  </si>
  <si>
    <t>BONNIN Claudia Daniela</t>
  </si>
  <si>
    <t>PERNO Rubèn Alberto</t>
  </si>
  <si>
    <t>iNG. CONST.</t>
  </si>
  <si>
    <t>remodelaciòn de local comercial, existente en PB, vivienda transformada en local comercial en PB, Bajo Ord 27/10, art 1, punto 2, inc 2, Infracción art 179, 223, 233 del CE</t>
  </si>
  <si>
    <t>inspección 22/1/21</t>
  </si>
  <si>
    <t>San Martìn Nª 491, 493</t>
  </si>
  <si>
    <t>BESSON de FAVRE Marìa Elena</t>
  </si>
  <si>
    <t>Local Comercial</t>
  </si>
  <si>
    <t>antigua vivienda unifamiliar con planos antecedentes, ahora convertida en local comercial y nuevo local comercial a relevar adosada a èsta., BAJO ORD 27/10, art 1, punto 2, inc 2, Infracciòn art 5, 27, 37, 176, 179, 202, del C..E.</t>
  </si>
  <si>
    <t>inspecciòn 11/1/21</t>
  </si>
  <si>
    <t>525905, MAIL, 527914</t>
  </si>
  <si>
    <t>Residencial Norte</t>
  </si>
  <si>
    <t>Sourigues N° 126, 130, 132, 136</t>
  </si>
  <si>
    <t>CALLERO, Mario Guillermo</t>
  </si>
  <si>
    <t>ZARAGOZA, Víctor Andrés</t>
  </si>
  <si>
    <t>cuatro unidades de vivienda a construir, superficie existente demolida, cada unidad tiene dos dormitorios y baño completo en PA, 3 con balcón, en PB tiene cocina comedor estar, toilete, cochera descubierta, una con dormitorio coin vestidor y baño en pb en la unidad mas proxima a Bolívar</t>
  </si>
  <si>
    <t>inspección 2/12/20, lote baldío</t>
  </si>
  <si>
    <t>mail, 527720</t>
  </si>
  <si>
    <t>Ampliación Actividad Turística Norte</t>
  </si>
  <si>
    <t>Leprati s/N°</t>
  </si>
  <si>
    <t>VILLANOVA Gastón R Y NOLASCO Joaquina María José</t>
  </si>
  <si>
    <t>NOLASCO Joaquina María José</t>
  </si>
  <si>
    <t>MALAGRIDA Gastòn</t>
  </si>
  <si>
    <t>vivienda unifamiliar existente con planos, ampliaciòn y reforma proyectada, pasa de un dormitorio a dos , baño y vestidor, cocina nueva y baño, cochera semicubierta, galerìa / estar, relevamiento de galpòn depòsito familiar pequeño</t>
  </si>
  <si>
    <t>inspecciòn 21/1/21, ampliaciòn y reforma no comenzada</t>
  </si>
  <si>
    <t xml:space="preserve">Urbana </t>
  </si>
  <si>
    <t>Rocamora N° 722</t>
  </si>
  <si>
    <t>GONZALEZ Marisa Rosana</t>
  </si>
  <si>
    <t>SERRANO María Laura y VIOLLAZ Carolina M. E,</t>
  </si>
  <si>
    <t>vivienda unifamliar con antecedentes, todo en PB, tres dormitorios, dos baños completos, estar comedor, cocina, estar, acceso semicubierto, cochera quincho al fondo existente a declarar, con baño y depósito y semicubierto lateral, Bajo Ord 27/10, art 1, punto 2, inc 2, Infraccion art 5, 27, 37, 144, 151, 202, 247 del CE</t>
  </si>
  <si>
    <t>mail, 527997</t>
  </si>
  <si>
    <t>Ampliación Actividad Turística</t>
  </si>
  <si>
    <t>Calle Pública s/N°</t>
  </si>
  <si>
    <t>CARRION Gustavo Martín y otros</t>
  </si>
  <si>
    <t>relevamiento de una unidad de vivienda ubicada en el vértice del lote, en PB cocina comedor estar y baño, en PA dos mini dormitorios, cochera semicubierta con parrilla; vivienda unifamiliar existente declarada, cocina comedor estar, baño completo, cochera semicubierta con parrilla, en pa un dormitorio y una pequeñña sala de estudio, Bajo Ord 27/10, art 1, punto 2, inc 2, Infraccion art 5, 27, 37, 176, 178, 201, 247 del CE</t>
  </si>
  <si>
    <t>inspección 27/1/21</t>
  </si>
  <si>
    <t>FEBRERO</t>
  </si>
  <si>
    <t>Avda. Urquiza Nº 697, 699 esq. Castelli</t>
  </si>
  <si>
    <t>HERNANDEZ Carlos Antonio y Angel Antonio</t>
  </si>
  <si>
    <t>Local comercial + Oficinas</t>
  </si>
  <si>
    <t>relevamiento de ampliaciones y modificiaciones realisadas en locales comerciales y oficinas con planos visados bajo resolucion del HCD 49/2012 excepcionandolo a incumplir FOS y FOT, Bajo Ord 27/10, art 1, punto 2, inc 2 y 3, Infraccion Ord 62/13, art 24, Infraccion Art 5, 27, 37, 130, 179, 223, 233 del CE, incumple resolucion HCD 49/2012</t>
  </si>
  <si>
    <t>M. M. Moreno N° 1186 y F. Gomez Miranda</t>
  </si>
  <si>
    <t>LOPEZ Darío Alberto</t>
  </si>
  <si>
    <t>Galpón / Depósito</t>
  </si>
  <si>
    <t>galpón declarado con planos antecedentes, relevamiento de nuevo galpón construido en la esquina del lote, BAJO ORD 27/10, art 1, punto 2, inc 2 y 3, Infraccion Ord 62/13, art … (FOS), Infraccion art 5, 27, 37, 141, 144, 151, 152, 179, 200, 202, 233, del CE</t>
  </si>
  <si>
    <t>398163, 505019</t>
  </si>
  <si>
    <t>10 y 19</t>
  </si>
  <si>
    <t>Alberdi N° 273</t>
  </si>
  <si>
    <t>Circulo Policial</t>
  </si>
  <si>
    <t>USINGER Norberto E.</t>
  </si>
  <si>
    <t>Sede Social y Hotel</t>
  </si>
  <si>
    <t>relevamiento de modificaciones realizadas en la sede, por ejecución de mensura, ya tiene antecedente visado recientemente.</t>
  </si>
  <si>
    <t>Bvard. Gaillard Nº 1181</t>
  </si>
  <si>
    <t>BATTISTEL Hernàn Maximiliano</t>
  </si>
  <si>
    <t>GOMEZ Erika</t>
  </si>
  <si>
    <t>AGUARA CONSTRUCTORA SA</t>
  </si>
  <si>
    <t xml:space="preserve">Vivienda unifamiliar </t>
  </si>
  <si>
    <t>quincho existente al fondo utilizado como viivenda, vivienda unifamiliar a cosntruir al frente, piscina pequeña existente a declarar, tres dormitorios, uno en suite, vestidor, baño compartimentado, espacio de estudio, baño completo y dos dormitorios en PA; cochera semicubierta para dos vehículos, estar comedor principal, cocina comedor diario, lavadero despensa, toilete, escritorio, Bajo Ord 27/10, art 1, punto 2, inc 2, Infraccion art 5, 18, 27, 37, 179 del CE</t>
  </si>
  <si>
    <t>obra no comenzada, inspección 16/12/20</t>
  </si>
  <si>
    <t>mail, 528175</t>
  </si>
  <si>
    <t>Avda Los Lapachos s/N°</t>
  </si>
  <si>
    <t>CORONEL Fernando Y GARCIA Brenda</t>
  </si>
  <si>
    <t>MARTIN Melisa Paola</t>
  </si>
  <si>
    <t xml:space="preserve">vivienda unifamiliar a construir, 3 dormitorios, uno en suite, con vestidor y baño compartimentado en PA, dos dormitorios en PB, baño completo, acceso, estar comedor y cocina desayunador, Lavadero cubierto, deposito cubierto, Galería semicubierta quincho con parrilla, piscina, cochera semicubierta al frente doble </t>
  </si>
  <si>
    <t>inspección 2/2/21, lote baldío</t>
  </si>
  <si>
    <t>526943, 528352</t>
  </si>
  <si>
    <t>Conte Grand N° 476</t>
  </si>
  <si>
    <t>MALGOR Rafael</t>
  </si>
  <si>
    <t>CHINELLATO Damián</t>
  </si>
  <si>
    <t>AGUARA CONSTRUCTORA S.A.</t>
  </si>
  <si>
    <t>vivienda unifamiliar a construir, un dormitorio en suite, con baño completo y semivestidor, baño completo, gimnasio mini, estar comedor cocina, cochera descubierta</t>
  </si>
  <si>
    <t>inspección 08/1/21, obra no comenzada</t>
  </si>
  <si>
    <t>MAIL, 528443</t>
  </si>
  <si>
    <t>Ampliaciòn Actividad Turìstica Norte</t>
  </si>
  <si>
    <t>Calle Pùblica s/Nº</t>
  </si>
  <si>
    <t>LANDOLFI Antonio Alejandro</t>
  </si>
  <si>
    <t>PERNO Rubèn A</t>
  </si>
  <si>
    <t>ING. Const</t>
  </si>
  <si>
    <t>relevamiento de ampliacion en viviendas multifamiliares, agrega una unidad separada del módulo anterior de 10 unidades, que cuenta con un dormitorio, oficina baño, y espacio designado como Hall, incorpora además las cocheras semicubiertas ejecutadas en el área de retiro, BAJO Ord 27/10, art 1, punto 2, inc 2 y 3, infracción art 5, 27, 37, 202, 247, del CE, Infracción ORd 62/13, art 30, Ord 53/07, art 3 (FOS y FOT Excedidos)</t>
  </si>
  <si>
    <t>mail, 528129</t>
  </si>
  <si>
    <t>Urbano</t>
  </si>
  <si>
    <t>Paso de los Andes N° 269</t>
  </si>
  <si>
    <t>BREM Juan de Dios</t>
  </si>
  <si>
    <t>LEMA Carolina</t>
  </si>
  <si>
    <t>FERRUA Patricio</t>
  </si>
  <si>
    <t>vivienda existente a demoler, vivienda unifamiliar a construir, dos dormitorios, uno en suite con vestidor y baño compartimentado completo compartido con el otro dormitorios, Terraza, lavadero, en PB cochera semicubiert adoble, acceso semicubierto, oficina, baño de servicio, cocina comedor estar, galeria quincho semicubierta</t>
  </si>
  <si>
    <t>Calle Hugo "Pocho" Lapratti s/N°</t>
  </si>
  <si>
    <t>GALLAY Orlando Andrés</t>
  </si>
  <si>
    <t>VIOLLAZ Walter Alberto</t>
  </si>
  <si>
    <t>relevamiento de vivienda, parte realizada con un "cointainer# modificado, tres "dormitorios", baño con ducha, cocina comedor estar semicubierto lateral, piscina pequeña la fondo, BAJO Ord 27/10, art 1, inc 2, infraccion art 5, 27, 37, 176, 178, 179, 181, 182, 194, 232, 236 Del C.E.</t>
  </si>
  <si>
    <t>INSPECCIÓN 16/10/20</t>
  </si>
  <si>
    <t>MAIL, 528555</t>
  </si>
  <si>
    <t>Dominchin s/N°</t>
  </si>
  <si>
    <t>BRAGONI Nélida Beatríz</t>
  </si>
  <si>
    <t>relevamiento de vivienda unifamiliar, planta baja cochera semicubierta, estar cocina comedor, baño completo, dormitorio,y galería semicubierta, en PA dos dormitorios. Bajo ord 27/10, art 1, punto 2, inc 2 y 3, infraccion Ord 62/13, art …, infraccion art 5, 27, 37, 178, 179, 232, 247, 248 del CE</t>
  </si>
  <si>
    <t>inspección, 09/02/21</t>
  </si>
  <si>
    <t>Urbana</t>
  </si>
  <si>
    <t>Bvard. Sanguinetti N° 185, 187, 189 e/ Gouchón y Chacabuco</t>
  </si>
  <si>
    <t>FERNANDEZ CHOQUE Reyna Margarita</t>
  </si>
  <si>
    <t>ORELLANA Nelson</t>
  </si>
  <si>
    <t>ORELLANA Hugo</t>
  </si>
  <si>
    <t>Vivienda multifamiliar + Local comercial</t>
  </si>
  <si>
    <t>dos locales comerciales a construir en PB, y cuatro deptos en plantas superiores, de dos dormitorios cada uno, baño, cocina comedor estar, lavadero semicubierto y balcon</t>
  </si>
  <si>
    <t>inspección 17/11/20, obra no iniciada</t>
  </si>
  <si>
    <t>525026, mail, 528350</t>
  </si>
  <si>
    <t>Camino B. Horne s/Nº</t>
  </si>
  <si>
    <t>FRANCO Marìa Celeste y URBANEJA Roberto Javier</t>
  </si>
  <si>
    <t>vivienda unifamiliar a construir</t>
  </si>
  <si>
    <t>inspecciòn 28/10/20, lote baldìo</t>
  </si>
  <si>
    <t>mail, 524250</t>
  </si>
  <si>
    <t>Maipú N° 270</t>
  </si>
  <si>
    <t>AVEDAÑO Ana Nélida</t>
  </si>
  <si>
    <t>PERNO Rubén Alberto</t>
  </si>
  <si>
    <t>relevamiento de ampliaciones en vivienda unifamiliar de tres dormitorios, baño, depósito, cocina comedor, estar, galeria cerrada y cochera descubierta, vivienda e dos domritiors baño y cocina comedor en PB con cochera semicubierta y en PA viviedda de dos dormitorios, baño cocina comedor y quincho, Bajo ord 27/10, art 1, punto 2, inc 2 y 3, Infraccion Ord 53/07, Ord 62/13, art 16, Infraccion art 5, 27, 37, 178, 179, 223, 226, 233, 248 del CE. La presente visacion de plano no implica autorizacion ni certificacion de las condiciones de la ocupacion de lote colindante, debiendo a la brevedad regularizar la situación</t>
  </si>
  <si>
    <t>MAIL, 527744</t>
  </si>
  <si>
    <t>Bvard. Ferrari Nº 715</t>
  </si>
  <si>
    <t>BOGADO Marìa Elena</t>
  </si>
  <si>
    <t>SOLIS Carlos Gustavo</t>
  </si>
  <si>
    <t>Depòsito - Local comercial</t>
  </si>
  <si>
    <t>plano conforme a obra, relevamiento de ampliaciones sin permiso, local comercial depòsito galpòn, con oficina y baño y entrepiso al frente, Bajo ord 27/10, art 1, punto 2, inc 2, Infraccion art 5, 10, 27, 37, ….. del CE</t>
  </si>
  <si>
    <t>Alberdi Nº 625</t>
  </si>
  <si>
    <t>OTERO Adriana Ofelia</t>
  </si>
  <si>
    <t>GUTIERREZ Fernando Marcelo</t>
  </si>
  <si>
    <t>relevamiento de vivienda unifamiliar de tres dormitorios en PA, con estar intimo y baño compartimentado también en PA, en PB cocina comedor, estar, depósito, cochera semicubierta, BAJO Ord 27/10, art 1, punto 2, inc 2 y 3, Infracción art 5, 27, 37, 151, 176, 179, 182, 202, 247 del CE. Infraccion ORd 29/10, art 1, Ord 62/13, art 12</t>
  </si>
  <si>
    <t>inspección 29/1/21</t>
  </si>
  <si>
    <t>Zona Mixta Complemento Industrial</t>
  </si>
  <si>
    <t>Ruta Nac Nº 135</t>
  </si>
  <si>
    <t>ECHEVERRIA Graciela Marìa</t>
  </si>
  <si>
    <t>CABRERA Noel Javier</t>
  </si>
  <si>
    <t>Galpòn</t>
  </si>
  <si>
    <t>viienda unifamiliar existente, galpones existentes a demoler, galpòn a construir, Bajo Ord 27/10, art 1, punto 2, inc 2, Infraccion art 5, 27, 37 del CE</t>
  </si>
  <si>
    <t>inspecciòn 07/12/20, falta declarar parte de lo existente</t>
  </si>
  <si>
    <t>mail, 525845</t>
  </si>
  <si>
    <t>Tucumàn Nº</t>
  </si>
  <si>
    <t>NAUSCHUETZ Patricia Mar+ia Luz</t>
  </si>
  <si>
    <t>vienda unifamiliar a construir, dos dormitorios, un estudio, baño compartimentado, lavadero, cocina comedor estar, hall de acceso y cochera descubierta. Deberá presentar conforme con los arreglos pedidos de dimensiones de patio</t>
  </si>
  <si>
    <t>inspección 2/12/21, lote baldío</t>
  </si>
  <si>
    <t>mail, 528347</t>
  </si>
  <si>
    <t>Castelli N° 256 esq Tucumán N° ..</t>
  </si>
  <si>
    <t>BLANC Natalia</t>
  </si>
  <si>
    <t>GOMEZ Iris Rocío</t>
  </si>
  <si>
    <t>relevamiento de dos unidades de vivienda, una más antigua en la esquina, con dos dormitorios, baño, cocina, comedor, estar, y otra en ejecución sin terminar, con un dormitorio, baño cocina, estar comedor, BAJO ord 27/10, art 1, punto 2, inc 2 y 3, Infracción Ord 62/13, art 16 (retiro), Infracción art 5, 27, 37, 130, 141, 152, 176, 178, 179, 202 del C.E</t>
  </si>
  <si>
    <t>inspección 12/02/21, depto en terminacion</t>
  </si>
  <si>
    <t>Nùcleo Urbano Ampliado</t>
  </si>
  <si>
    <t>CARRERAS Marìa Florencia y PICCA Petrona Teresa</t>
  </si>
  <si>
    <t>PICAPALO</t>
  </si>
  <si>
    <t>dos unidades de vivienda cabañas "Picapalo" a relevar, dos dormitorios, baño con ducha, cocina comedor, galerìa semicubierta en acceso, no se ve estacionamiento, Bajo Ord 27/0, art 1, punto 2, inc 2, Infraccion Ord 53/07, Infraccion art 5, 27, 37, 178, 179, 182, 201, 202, ... del CE</t>
  </si>
  <si>
    <t>527579, 528998</t>
  </si>
  <si>
    <t>Sauce esq Agua-I</t>
  </si>
  <si>
    <t>RECHACH RICARDO J. y ZBILJZKI CYNTHIA M.</t>
  </si>
  <si>
    <t>JACQUET Ariel</t>
  </si>
  <si>
    <t>PERRON Jorge</t>
  </si>
  <si>
    <t>vivienda multifamiliar</t>
  </si>
  <si>
    <t>departamentos existentes con plano antecedente visado en 2017, ahora se proyecta construir una piscina y un quincho</t>
  </si>
  <si>
    <t>inspecciòn 18/01/21, ampliaciòn no comenzada</t>
  </si>
  <si>
    <t>MARZO</t>
  </si>
  <si>
    <t>MAIL, 529060</t>
  </si>
  <si>
    <t>Chacabico Nº 627</t>
  </si>
  <si>
    <t>NOLASCO Carlos Alberto</t>
  </si>
  <si>
    <t>vivienda unifamiliar a construir, dos dormitorios uno con vestidor, comedor, cocina comedor desayunador, estar, baño compartimentado, despensa, lavadero, cochera semicubierta, al fondo, pequeño taller de uso domestico y semicubierto lateral</t>
  </si>
  <si>
    <t>lote baldío, acopio de materiales, inspección 25/2/21</t>
  </si>
  <si>
    <t>Paso de los Andes N° 824 e/Ramírez y Sanguinetti</t>
  </si>
  <si>
    <t>FARIAS Elsa Esther, BOUVET Elbio Jesús</t>
  </si>
  <si>
    <t>SCHANTON Nelson Román</t>
  </si>
  <si>
    <t>dos viviendas de madera a construir, Picapalos, cabañas, único ambiente en PB,y altillo en PA, Bajo Resolución E-03/2018 , disposicion 01-2019</t>
  </si>
  <si>
    <t>inspección 15/9/20, lote baldío</t>
  </si>
  <si>
    <t>mail, 528840</t>
  </si>
  <si>
    <t>Ampliaciòn Actividad Turìstica Sur</t>
  </si>
  <si>
    <t>Los Bretes</t>
  </si>
  <si>
    <t>LUCIONI Ana Marìa Carolina</t>
  </si>
  <si>
    <t>SALDAÑA Guadalupe y DA SILVA Brian</t>
  </si>
  <si>
    <t>relevamiento de ampliacion de vivienda unifamiliar, tres dormitorios uno con baño privado compartmentado, baño, cocina comedor diario, comedor estar, lavadero, despensa, parrilla en galería semicubierta quincho, toilete exterior, en PA un dormitorio, se agrega un dormitorio en PA y se releva la piscina, BAJO Ord 27/10, art 1, punto 2, inc 2, punto 1, inc 9,  Infracción art 5, 27, 37 del CE</t>
  </si>
  <si>
    <t>inspección 23/02/21, etapa de obra gruesa terminada</t>
  </si>
  <si>
    <t>527761, 528922</t>
  </si>
  <si>
    <t>Ampliación Actividad Turística Sur</t>
  </si>
  <si>
    <t>Calle Ibirá Pitá s/N° (Los Bretes)</t>
  </si>
  <si>
    <t>BOUVET María Sara</t>
  </si>
  <si>
    <t>ROSSIER Betiana C</t>
  </si>
  <si>
    <t>vivienda unifamiliar a construir, dos dormitorios, uno en suite con baño completo y con jacuzzi y vestidor del tamaño de un dormitorio grnade, baño y gimnasio, terraza; en PB hall de acceso, estar comedor cocina, estudio, baño con ducha, lavadero, baño, depósito con acceso del exterior, quincho cubierto y galeria semicubierta, garage semicubierto para dos vehículos, piscina</t>
  </si>
  <si>
    <t>inspección 19/1/21, obra no comenzada</t>
  </si>
  <si>
    <t>MAIL 528803</t>
  </si>
  <si>
    <t>Calle Pública s/N° (Loteo San Juan 1°)</t>
  </si>
  <si>
    <t>AGGARBATI, Valeria Andrea</t>
  </si>
  <si>
    <t>SOTO, Lorena</t>
  </si>
  <si>
    <t>relevamiento / Plano Conforme , piscina, vivienda de un dormitorio, cocina comedor estar y baño, cocheras semicubiertas (2), vivienda existente con planos 07/11/2019 , Bajo ord 27/10, art 1, punto 2, inc 2 y 3, Infraccion ord 62/13, art 32, (RETIRO-COCHERAS), Infraccion art 5, 27, 37, 178, 235, 236, 256 del CE, Infracción Ord 53/07, art 3</t>
  </si>
  <si>
    <t>inpección 18/2/21</t>
  </si>
  <si>
    <t>mail, 529304</t>
  </si>
  <si>
    <t>Castelli N° 612 (antes 632) esq R. Favaloro</t>
  </si>
  <si>
    <t>TURINETTO María José</t>
  </si>
  <si>
    <t>ACUÑA Raúl Enrique - PAIRONE Juan Ramón</t>
  </si>
  <si>
    <t>vivienda unifamiliar a construir, dos dormitorios, cocina comedor, estar, baño completo, en uno de los vertices del lote, la esquina queda libre</t>
  </si>
  <si>
    <t>inspección 05/03/21, lote baldío</t>
  </si>
  <si>
    <t>mail, 529305</t>
  </si>
  <si>
    <t>Gouchòn Nº 1135 y 1137</t>
  </si>
  <si>
    <t>DEL RIO Alberto Jose Horacio</t>
  </si>
  <si>
    <t>relevamiento de ampliación ejecutada en obra con planos antecedentes, ejecutó un semicubierto para cochera de uno de los deptos, los dos deptos existentes con planos son duplex de dos dormitorios en PA con baño completo y en PB cocina comedor estar, toilete, y al fondo, parrilla y lavadero descubierto, Bajo ord 27/10, art 1, punto 2, inc 2, Infracción art 5, 27, 37, 144, 176, 202, 223, 233, 247 del CE</t>
  </si>
  <si>
    <t>Ampliaciòn de Activivdad Turìstica Sur</t>
  </si>
  <si>
    <t>Calle Privada "Avda Los Lapachos" s/Nº - Los Bretes</t>
  </si>
  <si>
    <t>PEREZ MEGIAS Vicenta</t>
  </si>
  <si>
    <t xml:space="preserve">CRETTON Manuel </t>
  </si>
  <si>
    <t>BURGOS Alfredo</t>
  </si>
  <si>
    <t>vivienda unifamiliar construida con planos antecedentes visados, a construir un pequeño depòsito adosado y a declarar la piscina, BAJO Ord 27/10, art 1, punto 2, inc 2, infraccion art 5, 27, 37 del CE</t>
  </si>
  <si>
    <t>inspeccion 12/1/21, vivienda terminada, ampliacion no comenzada</t>
  </si>
  <si>
    <t>mail, 528638</t>
  </si>
  <si>
    <t>Bvard. Sanguinetti N° 560 (antes 556)</t>
  </si>
  <si>
    <t>GALEANO SANCHEZ Sulma Beatríz</t>
  </si>
  <si>
    <t>relevamiento de dos unidades de vivienda, una en PB con 4 dormitorios, dos baños, cocina comedor estar, pequeña sala de estudio al frente, cochera descubierta lateral, en PA unidad de vivienda con un dormitorio de gran superficie, cocina comedor estar, baño, balcón de acceso semicubierto, BAJO Ord 27/10, art 1, punto 2, inc 2, Infraccion art 5, 27, 37, 144, 151, 178, 179, 181, 182, 226 del CE</t>
  </si>
  <si>
    <t>inspección 26/2/21</t>
  </si>
  <si>
    <t>Balcarce N° 370</t>
  </si>
  <si>
    <t>BERNAY Liliana Helvecia</t>
  </si>
  <si>
    <t>5 departamenteos existentes con planos, dos monoambientes en PA con baño y minicocina, dos con un dormitorio en entrepiso que no cumple, con baño, cocina comedor en PB y un depto en el medio con cocina comedor y baño en PB y dos dormitorios en PA, todo esto en un volumen al frente del lote, Al fondo se releva quincho semicubierto, depto monoambiente con baño en PB, monoambiente minimo con baño en PA y depto de dos dormitorios cocina comedor en PA, BAJO Ord 27/10, art 1, punto 2, inc 2, infraccion Art 5, 27, 37, 178, 179, 226, 232, 247 del CE, infraccion ORd 53/07, art 1, infraccion ORd 56/07, art 3</t>
  </si>
  <si>
    <t>Piamonte N° e/ Combatientes de Malvinas y Tratado del Pilar</t>
  </si>
  <si>
    <t>CABANA Ernesto Victoriano</t>
  </si>
  <si>
    <t>RODRIGUEZ Luís Miguel</t>
  </si>
  <si>
    <t>VIOLLAZ José Alberto</t>
  </si>
  <si>
    <t>construcciòn de cinco unidades de vivienda tipo bungalow turistico, cada una de un dormitorio, baño y cocina comedor, cocheras descubiertas la frente del lote, Bajo Ord 27/10, art 1, punto 2, inc 2, Infracción art 5, 10, 27, 37, 247, 254 del C.E.</t>
  </si>
  <si>
    <t>inspección 23/10/20, ampliación no comenzada</t>
  </si>
  <si>
    <t>ABRIL</t>
  </si>
  <si>
    <t>Elias s/Nº - Loteo San Juan 1</t>
  </si>
  <si>
    <t>BERGER Luìs Anselmo</t>
  </si>
  <si>
    <t>BESSON Valeria Soledad</t>
  </si>
  <si>
    <t>LESCANO Carlos</t>
  </si>
  <si>
    <t>vvienda unifamiliar a construir</t>
  </si>
  <si>
    <t>inspecciòn 08/02/21, lote baldìo</t>
  </si>
  <si>
    <t>RELEVAMIENTO</t>
  </si>
  <si>
    <t>Sarmiento Nº 444 esq Avda Paysandù</t>
  </si>
  <si>
    <t>BRUN Alfredo D.</t>
  </si>
  <si>
    <t>DE LA FUENTE Natalia</t>
  </si>
  <si>
    <t>HUERTA Oscar</t>
  </si>
  <si>
    <t>relevamiento</t>
  </si>
  <si>
    <t>inspecciòn 20/1/21, a terminar revoques, monoambientes paralizados, vivienda a demoler</t>
  </si>
  <si>
    <t>Ampliaciòn Activivdad Turìstica Norte</t>
  </si>
  <si>
    <t>FUENTES Pablo Maximiliano, Fernando Ramiro y BERNARDIS Viviana Elizabeth</t>
  </si>
  <si>
    <t>relevamiento de piscina, existente dos unidades de vivienda apareadas al fondo del lote, cada una con dos dormitorios, baño, estar comedor cocina y cochera semicubierta con parrilla, al frente vivienda unifamiliar con dos dormitorios, baño, estar comedor cocina, lavadero deposito, cochera semicubierta con parrilla, en el centro se ubica la piscina de fibre a incorporar con este plano, BAJO ORD 27/10, art 1, punto 2, inc 2, Infraccion Art 5, 27, 37, 181, 182, 202, 247 del CE</t>
  </si>
  <si>
    <t>inspecciòn 11/02/21</t>
  </si>
  <si>
    <t>Rocamora N° 1182 e/ Piamonte y Penón</t>
  </si>
  <si>
    <t>GULERMONE Eliana Soledad, CORREA DROZ Fabián Ismael</t>
  </si>
  <si>
    <t>DA LUZ Nahuel</t>
  </si>
  <si>
    <t>vivienda unifamiliar con plano antecedente en ejecuciòn, ampliaciòn a ejecutar en planta alta, se agregan a lo ya visado de PB, dos dormitorios y un baño en PA</t>
  </si>
  <si>
    <t>inspección 17/03/21, planta baja en obra gruesa, planta alta no iniciada</t>
  </si>
  <si>
    <t>Alvear N° 321</t>
  </si>
  <si>
    <t>GONZALEZ Federico Rafael</t>
  </si>
  <si>
    <t>BESSON Valeria S.</t>
  </si>
  <si>
    <t>vivienda unifamiliar existente con planos antecedentes, a remodelar, reformar, demoler parte y ampliar, incluye piscina y pequeño quincho con parrilla y baño. La vivienda tiene ahora dos dormitorios, uno con baño completo, baño completo con ducha, vestidor del tamaño de un dormitorio, cocina desayunador estar comedor ppal todo en un ambiente, piscina, quncho semicubierto pequeño con parrilla y toilete al exterior</t>
  </si>
  <si>
    <t>inspecciòn 24/2/21,demoliciòn comenzada</t>
  </si>
  <si>
    <t>529357, 529758</t>
  </si>
  <si>
    <t>Ampliaciòn Activivdad Turìstica Sur</t>
  </si>
  <si>
    <t>Carlos A. Evans s/Nº (antes Ibirà Pità- Los Bretes)</t>
  </si>
  <si>
    <t>BENITEZ Maria Alfonsina</t>
  </si>
  <si>
    <t>CHINELLATO Damiàn</t>
  </si>
  <si>
    <t>AGUARA Construcciones SA</t>
  </si>
  <si>
    <t>vivienda unifamiliar a construir en Los Bretes, 4 dormitorios, uno de ellos en PB en suite sòlo con baño, los otros 3 en PA uno en suite con vestidor y baño compartimentado con jacuzzi / bañera y dos bachas, un baño mas compartimentado completo, una terraza al fondo y un balcon al frente, en PB ademàs del dormitorio tiene un playroom, baño de servicio, estar con chimenea, cocina desayunador comedor ppal, lavadero cubierto, galeria de expansion con parrilla quincho semicubierto en comunicacion directa con estar cocina comedor, cocheras descubiertas a fondo de la vivienda. ademas tiene subsuelo bodega</t>
  </si>
  <si>
    <t>Bvard. Ferrari N° 1361 (antes 1357)</t>
  </si>
  <si>
    <t>DUSSOL Nadia Araceli</t>
  </si>
  <si>
    <t>SERRANO María Laura y VIOLLAZ Carolina M. E.</t>
  </si>
  <si>
    <t>relevamiento de cuatro unidades de vivienda, tres de ellas monoambientes, una una vivienda de un dormitorio, baño, cocina comedor. BAJO ORD 27/10, art 1, punto 2, inc 2, Infraccion art 5, 27, 37, 144, 147, 151, 176, 178, 179, 181, 182, 201, 202, 223, 226, 236, 264 del C.E., infracción Ord 53/07</t>
  </si>
  <si>
    <t>inspección 07/04/21</t>
  </si>
  <si>
    <t>Castelli N° 313</t>
  </si>
  <si>
    <t>PEREIRA María de los Angeles</t>
  </si>
  <si>
    <t>PACCOT Javier Humberto</t>
  </si>
  <si>
    <t>local comerical en construcción presentado por relevamiento, en etapa de obra gruesa, aún sin terminar cerramiento (colocación de chapas) sin colocar aberturas, etc. Bajo Ord 27/10, art 1, punto 2, inc 1 y 2. Infraccion Art 5, 27, 37, 179, 193, 200, 202, 232, 260, 262, 263 del CE, Infracciòn Ord 56/07, art 3, inc 2</t>
  </si>
  <si>
    <t>inspección 20/11/20, sin colocar aberturas</t>
  </si>
  <si>
    <t>Bvard. Ferrari N° esq. Castelli</t>
  </si>
  <si>
    <t>Local comercial + Vivienda unifamiliar</t>
  </si>
  <si>
    <t>relevamiento de local comercial, depósito, y vivienda unifamiliar en PB y en PA (con posibilidades de independizarse cada una de las plantas y convertirse en dos viviendas unifamiliares totalmente separadas)</t>
  </si>
  <si>
    <t>inspección 18/11/20</t>
  </si>
  <si>
    <t>529400, 530432</t>
  </si>
  <si>
    <t>Paso de los Andes Nº</t>
  </si>
  <si>
    <t>SANDOVAL Nadia Alejandra y GUERRERO Sofia M, SANDOVAL Francisco</t>
  </si>
  <si>
    <t>VALLARINO Guillermo Daniel y MARIN Jorge Fabricio</t>
  </si>
  <si>
    <t>RAMOS Omar Ricardo</t>
  </si>
  <si>
    <t>Vivienda unifamiliar a construir, sobre dos de los tres lotes involucrados, dos dormitorios, baño completo, cocina comedor estar, lavadero exterior, cochera descubierta, acceso porche semicubierto</t>
  </si>
  <si>
    <t>inspecciòn 09/03/21, lote baldìo</t>
  </si>
  <si>
    <t>Mixta de Complemento Area Industrial</t>
  </si>
  <si>
    <t>Ruta N° 135, Km</t>
  </si>
  <si>
    <t>BONVIN Fabian Lucas Antonio</t>
  </si>
  <si>
    <t>CHINELLATO Pablo Alberto</t>
  </si>
  <si>
    <t>relevamiento de local comercial, (venta de autos), Bajo Ord 27/10, art 5, 27, 37, 176, 181, 261, 264 del CE</t>
  </si>
  <si>
    <t>inspección 25/03/21</t>
  </si>
  <si>
    <t>12 de Abril Nº 286</t>
  </si>
  <si>
    <t>BONNIN Guillermo Vìctor y GABIOUD Vilma Elizabeth</t>
  </si>
  <si>
    <t>DANTAS Gabriel E</t>
  </si>
  <si>
    <t>local comercial relevado, uno por 12 de abril (casa de deportes) y otro por E. Berga (Tatoo), BAJO ORD 27/10, art 1, punto 2, inc 2, infracción art 5, 27, 37, 179, 182, 202, 232 del C.E.</t>
  </si>
  <si>
    <t>inspección 25/02/21</t>
  </si>
  <si>
    <t>529851, 530513</t>
  </si>
  <si>
    <t>Avda. Paysandú N° 682</t>
  </si>
  <si>
    <t>MEDINA Mariel Elizabeth</t>
  </si>
  <si>
    <t>VALLARINO Guillermo Daniel - MARIN Jorge Fabricio</t>
  </si>
  <si>
    <t>RUIZ DIAZ  Jorge</t>
  </si>
  <si>
    <t>vivienda unifamiliar a construir, PRO.CRE.AR., dos dormitorios, baño completo, baño de servicio, cocina comedor estar, cochera semicubierta</t>
  </si>
  <si>
    <t>inspección 22/03/21, lote baldío</t>
  </si>
  <si>
    <t>530010, 530702</t>
  </si>
  <si>
    <t>Bolívar N° 827</t>
  </si>
  <si>
    <t>LUGRIN de ORCELLET Gladys</t>
  </si>
  <si>
    <t>NOLASCO Joaquina</t>
  </si>
  <si>
    <t>Galpòn Depòsito - Local comercial</t>
  </si>
  <si>
    <t>galpones depòsitos existentes y antiguos, actalemte se reutiliza un de ellos y los sanitarios para un gimnasio, BAJO Ord 27/10, art 1, punto 2, inc 2, Infraccion art, 5, 27, 37, 130, 144, 151, 176, 179, 181, 182, 202, 232, 258, 262 del C.E.</t>
  </si>
  <si>
    <t>inspecciòn 31/3/21</t>
  </si>
  <si>
    <t>mail, 530610</t>
  </si>
  <si>
    <t>Alberdi s/Nº</t>
  </si>
  <si>
    <t>JUNCOS Ramona E.</t>
  </si>
  <si>
    <t>SALDAÑO Guadalupe y DA SILVA Brian</t>
  </si>
  <si>
    <t>vivienda unifamiliar a construir, dos dormitorios, cocina comedor estar, baño completo compartimentado, cochera quincho con toilete y parrilla.</t>
  </si>
  <si>
    <t>inspección 27/4/21, lote baldío</t>
  </si>
  <si>
    <t>MAYO</t>
  </si>
  <si>
    <t>MAIL, 528507</t>
  </si>
  <si>
    <t>Esteva Berga N° 307</t>
  </si>
  <si>
    <t>ANTONIN Norma Raquel</t>
  </si>
  <si>
    <t>relevamiento de vivienda unifamiliar, desarrollada en planta baja sobreelevada del nivel de calle, dos dormitorios, baño, cocina living, lavadero, depósito cubierto. BAJO ORD 27/10, art 1, punto 2, inc 2 y 3, Infracción Ord 62/13, art 16, Infraccion Ord 53/07, art 3, Infraccion art 5, 27, 37, 144, 151, 176, 178, 179, 201, 202, 232 del C. E.</t>
  </si>
  <si>
    <t>inspección 23/04/21</t>
  </si>
  <si>
    <t xml:space="preserve">Bolívar N° 1104 y 1106 esq. Conte Grand </t>
  </si>
  <si>
    <t>ALMADA Darío Fernando y CROCI María Eugenia</t>
  </si>
  <si>
    <t>Local comercial + Vivienda multifamiliar</t>
  </si>
  <si>
    <t>a construir local comercial en PB, dos monoambientes y una vivienda de un dormitorio en PA (cocina comedor, toilete, balcón, dormitorio y baño completo y balcon)</t>
  </si>
  <si>
    <t>inspección 14/12/20, lote baldío</t>
  </si>
  <si>
    <t>528480, 530556</t>
  </si>
  <si>
    <t>Angel Elías s/N°</t>
  </si>
  <si>
    <t>SEQUEIRA Jose Antonio y MARTINEZ GONZALEZ María Adriana</t>
  </si>
  <si>
    <t>vivienda unifamiliar a construir, tres dormitorios, uno en suite con baño y vestidor, baño completo compartimentado, baño de servicio, cocina comedor estar, galería semicubierta, piscina</t>
  </si>
  <si>
    <t>lote baldío, inspección 08/02/21</t>
  </si>
  <si>
    <t>mail, 530881</t>
  </si>
  <si>
    <t>Núcleo Urbano Ampliado</t>
  </si>
  <si>
    <t>DE DIOS Ernesto Gabriel</t>
  </si>
  <si>
    <t>COT David E</t>
  </si>
  <si>
    <t>REYES Carlos Adolfo</t>
  </si>
  <si>
    <t>vivienda unifamiliar a construir, dos dormitorios, baño, cocina comedor estar, cochera semicubierta lateral</t>
  </si>
  <si>
    <t>inspección 4/5/21, obra en terminación</t>
  </si>
  <si>
    <t>mail, 530876</t>
  </si>
  <si>
    <t>Laprida N° 123</t>
  </si>
  <si>
    <t>CRICEL Ana María</t>
  </si>
  <si>
    <t>relevamiento de vivienda unifamiliar, tres dormitorios, baño, cocina, comedor estar, semicubierto pequeño en el patio. Antigua vivienda tipo chorizo con la galería lateral cerrada, BAJO ORD 27/10, art 1, punto 2, inc 2, infracción Art 5, 27, 37, 178 y 179 del CE</t>
  </si>
  <si>
    <t>inspección 04/05/21</t>
  </si>
  <si>
    <t>IVANIS Nadia Belén - FERNANDEZ Luís Alberto</t>
  </si>
  <si>
    <t xml:space="preserve">IRIBARREN Norberto </t>
  </si>
  <si>
    <t>CONFORME</t>
  </si>
  <si>
    <t>PLANO CONFORME, Conjunto de viviendas de alquiler, 8 unidades, cuatro al frente apareadas por pares, en PB cocina comedor estar y baño, en PA dos dormitorios con balcón de madera, otras cuatro unidades en un solo bloque al fondo, monoambientes ccon baño y balcón los de PA, cocheras semicubiertas por separado, piscina y torre de tanque de agua, Bajo Ord 27/10, art 1, punto 2, inc 2 y 3, Infraccion Ord 53/07, art3, Ord 62/13/ art 30, Infraccion art 10, 182, 201, 226 del C.E., /Bajo Ord 2, art  inc Art 1, punto 1, inc 9</t>
  </si>
  <si>
    <t>inspección 7/01/21, construcción avanzada</t>
  </si>
  <si>
    <t>MAIL, 530842</t>
  </si>
  <si>
    <t>12 de Abril N° 432, 434</t>
  </si>
  <si>
    <t>MEYER Hernan Alcides</t>
  </si>
  <si>
    <t>INVIN S.A.</t>
  </si>
  <si>
    <t>ACUÑA Raúl Enrique</t>
  </si>
  <si>
    <t>BOGADO BENITEZ Eric Wilfrido</t>
  </si>
  <si>
    <t>ampliación a ejecutar en hotel existente con planos visados, se realiza pequeño local pegado a una de las habitaciones al frente sobre calle 12 de Abril, Antecedente INFRACCION art 178, 179, 191, 226 del C.E.</t>
  </si>
  <si>
    <t>inspección 5/5/21, ampliación no comenzada</t>
  </si>
  <si>
    <t>529398, 531199</t>
  </si>
  <si>
    <t>SCOLA Jorge Ramón</t>
  </si>
  <si>
    <t>MARIN Jorge Fabricio</t>
  </si>
  <si>
    <t>relevamiento de grupo de bungalows y una vivienda con depósito, dos de los bungalows tiene un dormitorio, baño, cocina comedor y acceso semicub, otra es sólo un monoambiente con baño, armadas tipo cabañas, la vivienda tiene cocina comedor estar, baño y dormitorio, BAJO Ord 27/10, art 1, punto 2, inc 2 y 3, Infracción art 5, 27, 37, 176, 178, 181, 182, 198, 214, 226, 232, 246, 247 del CE. infraccion Ord 05/11, Ord 62/13, art 28, Ord 53/07</t>
  </si>
  <si>
    <t>inspección 17/5/21</t>
  </si>
  <si>
    <t>12 de Abril N° 779 y 783</t>
  </si>
  <si>
    <t>CAMPODONICO, MARISA r. Andrea L y Daiana J</t>
  </si>
  <si>
    <t>Vivienda Unifamiliar</t>
  </si>
  <si>
    <t>refaccion y ampliación en vivienda existente, el quincho al fondo pasa a ser una vivienda unifamiliar independiente con tres dormitorios, uns cuarto de planchado, baño completo compartimentado, estar comedor y cocina donde era el quincho, vivienda existente al frente con planos, un dormitorio, estudio, cocina comedor estar y baño, cocheras descubiertas, Bajo Ord 27/10, art 1, punto 2, inc 2, Infracción art 5, 27, 37, 179, 247, 248 del CE, Infracci{on Ord 56/07, art 3, inc 1,b</t>
  </si>
  <si>
    <t>inspección 10/05/21</t>
  </si>
  <si>
    <t>JUNIO</t>
  </si>
  <si>
    <t>Calle Privada s/Nº - Los Bretes</t>
  </si>
  <si>
    <t>TORRANO Stella Maris y FAVRE Horacio Mariano</t>
  </si>
  <si>
    <t>BLANC Maximiliano G</t>
  </si>
  <si>
    <t>vivienda unifamiliar a construir, tres dormitorios, dos de ellos con balcon en PA y un baño completo y compartimentado, en PB dormitorio en suite con baño completo, lacadero cubierto, estar cocina comedor, toilette bajo escalera, galeria semicubierta quincho con parrilla y deposito cubierto, cochera semicubierta al frente</t>
  </si>
  <si>
    <t>inspección 27/4/21, obra no comenzada</t>
  </si>
  <si>
    <t>530031, 531307</t>
  </si>
  <si>
    <t>Calle Pública s/N° (prolongación Calle Alberdi)</t>
  </si>
  <si>
    <t>ARELLANO Magali de Lourdes</t>
  </si>
  <si>
    <t>GUERRERO Guillermo Paul</t>
  </si>
  <si>
    <t>vivienda unifamiliar a construir, dos dormitorios, baño, cocina comedor estar, cochera descubierta</t>
  </si>
  <si>
    <t>inspección 30/3/21, lote baldío</t>
  </si>
  <si>
    <t>Alvear N° 154</t>
  </si>
  <si>
    <t>NASCIMENTO Claudia Cristina</t>
  </si>
  <si>
    <t xml:space="preserve">SARTORI César Javier </t>
  </si>
  <si>
    <t>vivienda unifamiliar, se modifica internamente, se concerva un dormitorio y la cocina comedor, se agrega un dormitorio y estar en espacio anteriormente semicubierto, se realiza semicubierto en acceso y como galeria a la salida de la cocina, se mejora el baño, se construye quincho cochera semicubierto, BAJO Ord 27/10, art 1, punto 2, inc 2, art 1, punto 1, inc 9, Infraccion art 5, 27, 37, 130 del CE</t>
  </si>
  <si>
    <t>inspecciòn 12/02/21, obra comenzada</t>
  </si>
  <si>
    <t>Noailles Nº 706</t>
  </si>
  <si>
    <t>CHAIOL, Roberto Alcides</t>
  </si>
  <si>
    <t>NEGREIRA Gustavo Daniel</t>
  </si>
  <si>
    <t>relevamiento de reformas ejecutadas en un galpòn existente, se han ejecutado en su interior dos unidades de vivienda, una al frente con el acceso en PB, en PA cocina comedor, baño y dos dormitorios, otra al fondo con cocina comedor y depòsito en PB y dos dormitorios y bañi en PA, BAJO ORd 27/10, art 1, punto 2 inc 2 y 3, Infraccion art 5, 27, 37, 176, 178, 179, 181, 182, 202, 223, 226, 232 del CE, infraccion ord 62/13, art 16</t>
  </si>
  <si>
    <t>inspección 03/05/21</t>
  </si>
  <si>
    <t>MAIL, 529646</t>
  </si>
  <si>
    <t>Noailles Nº 185</t>
  </si>
  <si>
    <t>NANOIA, Ana Clara y LIMA Paulo J.</t>
  </si>
  <si>
    <t xml:space="preserve">vivienda unifamiliar a construir, en OB cocina comedor, estar, toilete, hall acceso, cochera semicubierta para dos vehìcuos, en PA tres dormitorios, uno de ellos en suite con vestidor y baño completo, baño completo. Vivienda existente al fondo del lote, dos dormitirios, baño completo, cocina, comedor estar, lavadero semicubierto, deposito cubierto, sin cchera, galeria semicubierta en el acceso, </t>
  </si>
  <si>
    <t>Bvard. Ferrari Nº 1235</t>
  </si>
  <si>
    <t xml:space="preserve">BESSON Juan Carlos </t>
  </si>
  <si>
    <t>vivienda unifamiliar existente con antecedentes, dos dormitorios, baño, cocina comedor estar, relevamiento de quincho galpòn cochera realiado al fondo del lote, con baño y parrilla, Bajo Ord 27/10, art 1, punto 2, inc 2 y 3, Infraccion Ord 62/13, art 26 (FOS), infraccion art 5,10, 27, 37, 179, 247 del CE</t>
  </si>
  <si>
    <t>inspección 01/06/21</t>
  </si>
  <si>
    <t>Ruta Nº 130, km ..</t>
  </si>
  <si>
    <t>PICCOLI Angel Gabriel</t>
  </si>
  <si>
    <t>relevamiento de 6 deptos, tre en PB y 3 en PA, cuatro de dos dormitorios, baño y cocina comedor estar y dos de un dormitorio, baño y cocina comedor estar, Bajo Ord 27/10, art 1, punto 2 inc 2 y 3, Infraccion Ord 62/13, art 30, Ord 56/07, art 3, inc II, ORd 53/07, Infraccion Art 5, 27, 37, 179, 181, 182 201, 202, 226, 232 del CE</t>
  </si>
  <si>
    <t>inspecciòn 16/04/21</t>
  </si>
  <si>
    <t>San Martín N° 354, 356, y Maipú N° 48</t>
  </si>
  <si>
    <t>BRIA Edgardo Orlando</t>
  </si>
  <si>
    <t>LEMA, Carolina Isabel</t>
  </si>
  <si>
    <t>vivienda unifamiliar existente con planos antecedentes, tres dormitorios living comedor, cocina, dos baños y un pequeño deposito,reconvertida una habitacion en local comercial en la esquina y a relevar un local comercial más, a relevar el quincho cubierto, BAJO ORD 27/10, art 1, punto 2, inc 2, Infracción art 5, 27, 37, 179, 203 del CE, Infraccion ORd 62/13, art 19</t>
  </si>
  <si>
    <t>inspección 17/3/21</t>
  </si>
  <si>
    <t>mail, 531569</t>
  </si>
  <si>
    <t>Castelli N° 511</t>
  </si>
  <si>
    <t>BARRIOS Damián Dario</t>
  </si>
  <si>
    <t>Vivienda unifamiliar a construir, tres dormitorios, uno con baño, estar comedor cocina, baño, hall de acceso recibidor, sin cochera, todo en PB</t>
  </si>
  <si>
    <t>inspección 04/06/21, obra no comenzada</t>
  </si>
  <si>
    <t>Laprida N° 265</t>
  </si>
  <si>
    <t>GANZA Hugo Nahuel y Juan Cruz</t>
  </si>
  <si>
    <t>grupo de deptos existentes, declara piscina y parte del medianero a construir, Bajo ord 27/10, art 1, punto 2, inc 2, infraccion art 5, 27, 37, 176, 178, 179, 226, 232 del CE, Infraccion Ord 56/07, art 3, inc II</t>
  </si>
  <si>
    <t>Urbanizada 1</t>
  </si>
  <si>
    <t>Conte Grand Nº 529</t>
  </si>
  <si>
    <t>GRAZIANO Cristian Germàn y MUCCIACCIARO Andrea Silvana</t>
  </si>
  <si>
    <t>relevamiento de vivienda unifamiliar, tres dormitorios y un baño más un balcón al frente en PA, cocina comedor estar, toilete y cochera semicubierta en PB, BAJO Ord 27/10, art 1, punto 2, inc 2, Infraccion Art 5, 27, 37, 119, 144, 146, 151, 179, 182, 233 del CE</t>
  </si>
  <si>
    <t>inspecci{on 03/06/21, en etapa de terminaciones</t>
  </si>
  <si>
    <t>mail, 531355</t>
  </si>
  <si>
    <t>Ampliación Turística Norte</t>
  </si>
  <si>
    <t>Federico Leloir s/N°</t>
  </si>
  <si>
    <t>RAINIERI Ruben Jorge</t>
  </si>
  <si>
    <t>KRENZ Juan Javier</t>
  </si>
  <si>
    <t>relevamiento de vivienda unifamiliar, tres dormitorios, uno con baño privado, baño, cocina comedor estar, galería semicubierta con parrilla y lavadero, Bajo Ord 27/10, art 1, punto 2, inc 2, Infracción art 5, 27, 37, 178, 179, 181, 238, 246, 247 del CE, Infracción Ord 56/07, art 4</t>
  </si>
  <si>
    <t>inspecci{on 21/05/21</t>
  </si>
  <si>
    <t>mail, 528818</t>
  </si>
  <si>
    <t>Espinillo N° 1275</t>
  </si>
  <si>
    <t>LOKER, Claudio Andrés</t>
  </si>
  <si>
    <t>SAINTE MARIE Alexander</t>
  </si>
  <si>
    <t>vivienda unifamiliar existente con planos, dos dormitorios uno en PA con baño, otro en PB, ademas en PB cocina comedor estar, cochera cubierta, a relevar una espacio cobre cochera en PA denominado altillo y piscina al fondo, a construir al fondo una nueva cocina comedor, un baño, galería semicubierta con parrilla y depósito cubierto, Bajo ord 27/10, art 1, ´punto 2, inc 2, Infracci{on art 5, 27, 37, del CE</t>
  </si>
  <si>
    <t>inspección 22/02/21, ampliación no comenzada</t>
  </si>
  <si>
    <t>9 de Julio Nº 363</t>
  </si>
  <si>
    <t>NARDIN Alejandro Raìl Sòcrates</t>
  </si>
  <si>
    <t>LEMA Carolina Isabel</t>
  </si>
  <si>
    <t xml:space="preserve">vivienda unifamilliar a construir, demoliciòn de vivienda existente y galpòn al frente sobre la via publica, vivienda nueva con tres dormitorios en PA, uno en suite con vestidor y baño compartimentado, baño completo, zona de escritorio / paso, en PB cochera semicubierta al frente, estudio con acceso independiente, baño, cocina desayunador comedor estar, semicubierto al fondo galerìa quincho con parrilla y lavadero </t>
  </si>
  <si>
    <t>inspecciòn 8/4/21, obra no comenzada</t>
  </si>
  <si>
    <t>Noailles N° 1202</t>
  </si>
  <si>
    <t>PASTORINI Sergio Eduardo Inocencio</t>
  </si>
  <si>
    <t>BERTOLDI Fabián A.</t>
  </si>
  <si>
    <t>Vivienda unifamiliar + Depósito + Cancha de Tenis</t>
  </si>
  <si>
    <t>relevamiento de depósito, SUM, cancha de tenis, y ampliación en vivienda unifamiliar agregando un dormitorio en PA y parte de cocina en PB, BAJO Ord 27/10, art 1, punto 2, inc 2, Infracción art 5, 10, 27, 37, 144, 146, 176, 179, 202 del CE</t>
  </si>
  <si>
    <t>Alberdi Nº 960</t>
  </si>
  <si>
    <t>PREMAT Jorge Lorenzo</t>
  </si>
  <si>
    <t>BLANC Maximmiliano G.</t>
  </si>
  <si>
    <t>ZABATTO Javier Gonzalo</t>
  </si>
  <si>
    <t>Galpòn / Depòsito</t>
  </si>
  <si>
    <t>galpòn depòsito a construir</t>
  </si>
  <si>
    <t>inspecciòn 25/2/21, lote baldìo</t>
  </si>
  <si>
    <t>Monteagudo N° 68</t>
  </si>
  <si>
    <t>RODAS Federico Martin, RODAS Paola Leticia</t>
  </si>
  <si>
    <t>plano conforme a obra de vivienda unifamiliar, tres dormitorios, uno con baño privado, baño, cocina comedor estar, cochera semicubierta parrilla semicubierta depósito cubierto</t>
  </si>
  <si>
    <t>inspección 23/06/21, obra terminada conforme a plano</t>
  </si>
  <si>
    <t>Quintas</t>
  </si>
  <si>
    <t>Los Charrúas s/Nº - San Juan I</t>
  </si>
  <si>
    <t>POZZO Ricardo Marcelo</t>
  </si>
  <si>
    <t>SERRANO María Laura y VIOLLAZ Carolina M.E.</t>
  </si>
  <si>
    <t>LLANES Hugo Daniel</t>
  </si>
  <si>
    <t>vivienda a construir, un dormitorio, baño, cocina comedor estar, galerìa semicubierta con parrilla</t>
  </si>
  <si>
    <t>inspección 8/621, lote baldío</t>
  </si>
  <si>
    <t>F. Creppy Nº 469 esq. Juan Villalba N° 744</t>
  </si>
  <si>
    <t>REINOSO Hugo Domingo</t>
  </si>
  <si>
    <t>ZUCARIA Fortunato Ashad (suc)</t>
  </si>
  <si>
    <t>CHINELLATO Pablo A</t>
  </si>
  <si>
    <t>dos unidades de vvienda existentes y con planos, ahora se releva un local comercial (actualmente ferreteria) ubicado en la esquina, tiene baño y entrepiso de madera con tijeras que sirve aparentemente de depòsito, BAJO ORD 27/10, art 1, punto 2, inc 2, Infracción art 5, 27, 37, 130, 144, 181, 182, 223, 226, 227, 233 del CE, Infracción Ord 56/07, art 3, inc I,B, infracción Ord 37/03, art 2 y 7</t>
  </si>
  <si>
    <t>inspecciòn 07/05/21</t>
  </si>
  <si>
    <t>Lantelme Nº 321, 323 e/ Mitre y Bvard Ferrari</t>
  </si>
  <si>
    <t>PEREYRA Rosa Analía</t>
  </si>
  <si>
    <t>RUIZ DIAS Marcelo Javier</t>
  </si>
  <si>
    <t>Galpón - Despósito</t>
  </si>
  <si>
    <t>dos galpones depòsito en cosntrucción apareados, cada uno con un baño y un office, BAJO Ord 27/10, art 1, punto 1, inc 9, art 1, punto 2, inc 2, infraccion art 5, 27, 37 DELl CE</t>
  </si>
  <si>
    <t>inspección 07/06/21, hasta contrapiso, instalaciones bajo contrapiso ejecutadas</t>
  </si>
  <si>
    <t>Los Cardos s/Nº e/ Brovatti y Calle Pública</t>
  </si>
  <si>
    <t>MARTINEZ Ramón Ediuardo y Miguel Angel</t>
  </si>
  <si>
    <t>ROSSIER Betiana Carolina</t>
  </si>
  <si>
    <t>vivienda unifamiliar a construir, dos dormitorios, baño, cocina comedor estar, galerìa semicubierta y cochera</t>
  </si>
  <si>
    <t>inspección 11/05/21, lote baldío</t>
  </si>
  <si>
    <t>Laprida Nº 118, 124</t>
  </si>
  <si>
    <t>FIDEICOMISO LAPRIDA</t>
  </si>
  <si>
    <t>Edificio deptos, Vivienda multifamiliar</t>
  </si>
  <si>
    <t>Plano Conforme a Obra, 24 deptos y dos locales comerciales, BAJO Ord 27/10, art 1, punto 2, inc 2 y 3, Infracciòn art 5, 27, 37, 178, 179, 181, 182, 202, 226, 264 del CE. Infracción Ord 95/14, infracción Ord 62/13, art 19, infracción Ord 56/07, art 2, Inc IV, infracción Ord 53/07, art 4</t>
  </si>
  <si>
    <t>inspecciòn 23/10/20, obra terminada</t>
  </si>
  <si>
    <t>Gouchòn Nº 636 y 672</t>
  </si>
  <si>
    <t>MOREN de BARBIERI Graciela Noemí</t>
  </si>
  <si>
    <t>una vivienda existente con planos de dos dormitorios, cocina, comedor, estar, hall semicubierto, baño en cada dormitorio, galería semicubierta, otra vivieneda tambien con planos de un dormitorio, living, comedor cocina, baño, depósito cubierto y galeria semicubierta con parrilla, semicubiertos al fondo para cocheras de alquiler, espacio semicubierto que pasa a ser cubierto y sera utilizado de local comercial (venta y reparacion de motos), Bajo Ord 27/10, art 1, punto 2, inc 2, Infracción Art 5, 27, 37, 179, 214, 230, 247 del C.E.</t>
  </si>
  <si>
    <t>inspección 14/05/21</t>
  </si>
  <si>
    <t>531068, 531889</t>
  </si>
  <si>
    <t>Alberdi N° 1218, 1224</t>
  </si>
  <si>
    <t>MAFFUCHI, Cristina Noemí</t>
  </si>
  <si>
    <t>MAFUCHI Cristina Noemí (suc)</t>
  </si>
  <si>
    <t>JACQUET, Ariel Norberto</t>
  </si>
  <si>
    <t>dos viviendas apareadas a construir, en PA dos dormitorios y una baño cada una, en PB toilete, cocina comedor estar, lavadero semicubierto, cochera descubierta cada una.</t>
  </si>
  <si>
    <t>inspeccióin 11/5/21, baldío</t>
  </si>
  <si>
    <t>San Martín N° 1038</t>
  </si>
  <si>
    <t>LENNER LUCIANI, Carlos Marcos</t>
  </si>
  <si>
    <t>Consultorios</t>
  </si>
  <si>
    <t>tres consultorios en construcción, cada uno con bacha, una administración general, espera, baño medicos tipo toilete, office, baño discapacitados, espacio futura escalera, BAJO ORD 27/10, art 1, punto 1, inc 9, art 1, punto 2, inc 2, infraccion art 5, 27, 37, 179 del CE</t>
  </si>
  <si>
    <t>inspecciòn 8/6/21, mampostería, losa, obra gruesa ejecutada</t>
  </si>
  <si>
    <t>mail, 531847</t>
  </si>
  <si>
    <t xml:space="preserve">Madres y Abuelas de Plaza de Mayo s/N° </t>
  </si>
  <si>
    <t>MALDONADO Juan Regino y PIÑEIRO Rafael Claudio</t>
  </si>
  <si>
    <t>relevamiento de dos nuevas cabañas construidas al fondo del lote, tiene cuatro ya declaradas y una piscina en un lateral, las cabañas tiene un espacio en el entrepiso que se usa como dormitorio pero que no cumple los requisitos reglamentarios de uno, en pb tiene cocina comedor y baño, con un semicubierto en el acceso, las cocheras estan en el area de retiro obligatorio, Bajo Ord 27/10, art 1, punto 2, inc 2 y 3, Infracción Ord 05/11, Ord 53/07, art 3 y 4, Ord 62/13, art 30; Infraccion ar t5, 27, 37, 178, 179, 181, 201, 202, 214, 223, 232, 233, 246, 247 del CE</t>
  </si>
  <si>
    <t>Primeros Colonos s/N°</t>
  </si>
  <si>
    <t>PERALTA Ana Clara</t>
  </si>
  <si>
    <t>RAMOS Enzo</t>
  </si>
  <si>
    <t>cuatro unidades de vivienda de alquiler a construir, modificacion del proyecto original aprobado en 2014, cada unidad tiene un dormitorio en PA, baño, cocina comedor estar en PB, en el predio hay una piscina, un baño exterior con bacha, inodoro y ducha separados, y un quincho semicubierto con cuatro parrillas, se demuelen las cocheras semicubiertas existentes ya que se realizaran cocheras en cada unidad</t>
  </si>
  <si>
    <t>obra no iniciada, inspección 30/03/21</t>
  </si>
  <si>
    <t xml:space="preserve"> </t>
  </si>
  <si>
    <t>Martín Reibel N° 411</t>
  </si>
  <si>
    <t>VARELA Ana Lìa</t>
  </si>
  <si>
    <t>BERTOLDI Fabián A</t>
  </si>
  <si>
    <t>relevamiento de ampliación de vivienda unifamiliar, existente dormitorio, comedor, paso y baño, relevado estar, dormitorio y cochera semicubierta al frente, cocina y depòsito al fondo, Bajo Ord 27/10, art 1, punto 2, inc 2 y 3, Infracción Art 5, 27, 37, 179, 202, 223, 233 del CE, Infracción Ord 62/13, art 12</t>
  </si>
  <si>
    <t>inspección 22/06/21</t>
  </si>
  <si>
    <t>PIÑEIRO Luisina Emilia</t>
  </si>
  <si>
    <t>PIÑEIRO Jorge Alberto</t>
  </si>
  <si>
    <t>SOUZA Jorge Daniel</t>
  </si>
  <si>
    <t>vivienda unifamiliar a construir, tres dormitorios, el principal en suite convestidor y baño completo y compartimentado, cocina comedor estar, hall de acceso, baño completo, cochera semicubierta para dos vehìculos, quincho cubierto, piscina</t>
  </si>
  <si>
    <t>inspección, 27/04/21, lote baldío</t>
  </si>
  <si>
    <t>MAIL</t>
  </si>
  <si>
    <t>Piamonte N° 332 e/ Mitre y Ferrari</t>
  </si>
  <si>
    <t>DE ABRANTES, Daniel</t>
  </si>
  <si>
    <t>SOTO Lorena</t>
  </si>
  <si>
    <t>SCHAB Juan Pablo</t>
  </si>
  <si>
    <t>ARQ</t>
  </si>
  <si>
    <t>local comercial a construir, galpòn, Bajo Ord 27/10, art 1, punto 1, art 9, art 1, punto 2, inc 2, Infraccion art 5, 27, 37, del CE</t>
  </si>
  <si>
    <t>lote baldío, inspección 04/11/21, onra avanzada al 11/6/21</t>
  </si>
  <si>
    <t>Andrade N° 266</t>
  </si>
  <si>
    <t>DEL REAL Estela Margarita y Félix Eduardo</t>
  </si>
  <si>
    <t>relevamientode un depto en el fondo, tiene planos antecedentes visados, dormitorio, cocina comedor, baño, todo en PA, en PB semicubierto quincho parrilla, Bajo Ord 27/10, art 1, punto 2, inc 2, Infraccion art 5, 27, 37, 178, 179, 201, 202, 223, 226 del CE, Infrcción ord 53/07, art 4, Ord 56/07, art 3, inc II</t>
  </si>
  <si>
    <t>inspección 10/02/21</t>
  </si>
  <si>
    <t>mail, 532451</t>
  </si>
  <si>
    <t>ZEIDAN, Omar Faruk</t>
  </si>
  <si>
    <t>vivienda unifamiliar a construir, tres dormitorios, uno de servicio, y uno de "visitas" en PB, baño compartimentado, lavadero, hall de acceso, cocina comedor estar, galería quincho semicubierta con parrilla, cochera doble semicubierta, en PA dos dormitorios, uno en suite con vestidor y baño completo compartimentado, baño compartimentado, espacio office, terraza</t>
  </si>
  <si>
    <t>inspecci{on 12/7/21, lote baldío</t>
  </si>
  <si>
    <t>Chacabuco Nº 255</t>
  </si>
  <si>
    <t>A.G.M.E.R.</t>
  </si>
  <si>
    <t>Deptos.</t>
  </si>
  <si>
    <t>departamentos existentes, sector administrativo, SUM, parrilla quincho, depòsitos y dependencias, seis nuevos habitaciones con baño c/u a construir</t>
  </si>
  <si>
    <t>inspecciòn 07/6/21, obra no comenzada</t>
  </si>
  <si>
    <t>mail, 531358</t>
  </si>
  <si>
    <t>Isabel Ortega s/N°</t>
  </si>
  <si>
    <t>FIANURI Adolfo Carlos</t>
  </si>
  <si>
    <t>vivienda sencilla a relevar, un dormitorio, cocina comedor estar, baño, galería semicubierta que es también cochera semicubierta para dos vehículos al frente de la vivienda, BAJO ord 27/10, art 1, punto 2, inc 2, Infracción art 5, 27, 37, 179 del CE</t>
  </si>
  <si>
    <t>inspección 21/05/21</t>
  </si>
  <si>
    <t>mail, 530817</t>
  </si>
  <si>
    <t>Calle Algarrobo s/N°</t>
  </si>
  <si>
    <t>DELALOYE Carina Natalia y KUHN Pablo Maximiliano</t>
  </si>
  <si>
    <t>RAZETTO Santiago y SCHONFELD</t>
  </si>
  <si>
    <t>MALAGRIDA Gastón</t>
  </si>
  <si>
    <t>Vivienda unifamiliar a construir, PB: un dormitorio, baño completo, hall acceso cubierto, cocina comedor estar, semicubirto galería con parrilla, cochera para dos vehículos semicubierta, en PA: dos dormitorios, baño compartimentado completo, uno de los dormitorios don vestiro y balcón, el otro con balcón, doble altura sobre acceso</t>
  </si>
  <si>
    <t>MAIL, 531884</t>
  </si>
  <si>
    <t>Andrade Nº 377</t>
  </si>
  <si>
    <t>ELG Lilian E</t>
  </si>
  <si>
    <t>SALDAÑA Guadalupe</t>
  </si>
  <si>
    <t>C 715</t>
  </si>
  <si>
    <t>deptos existente con plano antecedente, agrega picina, quincho convertido en monoambientes (2) y construye en PA uina vivienda de dos dormitorios, estar cocina comedor, terraza, lavadero cubierto, patio de servicio en PA, baño, BAJO ORD 27/10, art 1, punto 2, inc 2 y 3, Infracción ORd 62/13, art 16, Infracción Art 5, 27, 37, 141, 147, 178, 179, 181 182, 202 del CE</t>
  </si>
  <si>
    <t>inspección 18/6/21</t>
  </si>
  <si>
    <t>Monteagudo Nº 298</t>
  </si>
  <si>
    <t>SANCHEZ Adolfo Gabriel y otra</t>
  </si>
  <si>
    <t>PACCOT Javier Humberto y BLANC Maximiliano G</t>
  </si>
  <si>
    <t>vivienda unifamiliar existente con antecedente, se declara un dormitorio nuevo y la cochera, dos dormitorios, baño, cocina comedor, estar, cochera semicubierta, una vivienda unifamliar a construir, dos dormitorios, vestidor, baño, cocina comedor y espacio de cochera descubierto,</t>
  </si>
  <si>
    <t>inspección 25/06/21, no comenzada</t>
  </si>
  <si>
    <t>Juan Manuel de Rosas s/Nº</t>
  </si>
  <si>
    <t>RAGGI Ivana Belèn</t>
  </si>
  <si>
    <t>vivienda unifamiliar a construir, dos dormitorios, baño, cocina comedor estar, cochera semicubierta quincho con parrilla</t>
  </si>
  <si>
    <t>inspecciòn 15/4/21, lote baldìo</t>
  </si>
  <si>
    <t>Salta N° 331</t>
  </si>
  <si>
    <t>VILLALBA Lorena del Carmen y BALDASSARRE Alejandro Gabriel</t>
  </si>
  <si>
    <t>MORARD Manuel A.</t>
  </si>
  <si>
    <t>relevamiento de dos unidades de vivienda apareadas, cada una tiene dos dormitorios, un baño y un balcón en PA, cocina comedor y toilette en PB, cocheras semicubiertas, Lote afectado por el canal pluvial de Cuenca Salta, Bajo ord 27/10, art 1, punto 2, inc 2, infraccion art 5, 27, 37, 202 del CE</t>
  </si>
  <si>
    <t>inspección 2/7/21</t>
  </si>
  <si>
    <t>mail, 532190</t>
  </si>
  <si>
    <t>M. Moreno N° 1119</t>
  </si>
  <si>
    <t>VULLIEZ Jorge Enrique</t>
  </si>
  <si>
    <t>LEONARDI, Jerónimo</t>
  </si>
  <si>
    <t>relevamiento de galpón existente, depósito, Bajo Ord 27/10, art 1, punto 2, inc 2, Infracción art 5, 27, 37, 144, 146, 151, 179, 193, 200, 201, 202, 214, 230, 260, 262, 264 Del CE</t>
  </si>
  <si>
    <t>inspección 30/06/21</t>
  </si>
  <si>
    <t>Sourigues N° 166</t>
  </si>
  <si>
    <t>GIANI Julio Ariel</t>
  </si>
  <si>
    <t>DE SANTIAGO Daniel</t>
  </si>
  <si>
    <t>demolición vivienda existente</t>
  </si>
  <si>
    <t>Amplaición Actividad Turística Norte</t>
  </si>
  <si>
    <t>Chañar esq Carlos Saavedra Lamas S/Nº</t>
  </si>
  <si>
    <t>GALARZA Luís Alberto</t>
  </si>
  <si>
    <t>vivienda unifamiliar existente con planos antecedentes, un dormitorio, estar, cocina desayunador, comedor, hogar, acceso semicubierto, la cochera semicubierta pasó a ser estudio en PB y tiene PA tambien de Estucio con un baño, se construyó y se declara tmabién ahora, cochera cubierta o depósito con baño. BAJO Ord 27/10, art 1, punto 2,. inc 2 y 3, Infracción Ord 62/13, art 30, infraccion art 5, 27, 37, 181, 182 del CE</t>
  </si>
  <si>
    <t>inspección 12/7/21</t>
  </si>
  <si>
    <t>Ramírez Nº 421</t>
  </si>
  <si>
    <t>CACCIA Carolina Azucena</t>
  </si>
  <si>
    <t>BERTOLFI Fabián Aníbal</t>
  </si>
  <si>
    <t>Relevamiento de galpón existente, depósito, con cámara de frío, dos sanitarios tipo toilete y un entrepiso pequeño, Bajo Ord 27/10, art 1, punto 2, inc 2 y 3, Infracción art 5, 27, 37, 146, 151, 179, 181, 202, 223, 260, 262, 264 Del CE, Infracción Ord 62/13, art 24, Infracción Ord 56/07, art 3, inc II, sub inc 1</t>
  </si>
  <si>
    <t>inspección 21/11/19</t>
  </si>
  <si>
    <t>mail, 532576</t>
  </si>
  <si>
    <t>Calle Privada s/N° - Los Bretes</t>
  </si>
  <si>
    <t>TELLO Elena</t>
  </si>
  <si>
    <t>MARTIN Sergio</t>
  </si>
  <si>
    <t>vivienda unifamiliar a cosntruir, dos dormitorios, baño, cocina comedor estar, semicubierto galerìa con sector parrilla, acceso semicubierto, no ubica espacio estacionamiento</t>
  </si>
  <si>
    <t>inspección 22/7/21</t>
  </si>
  <si>
    <t>Núcleo Urbano Amliado</t>
  </si>
  <si>
    <t>Lote interno</t>
  </si>
  <si>
    <t>PATERNOSTER Sebastián Oscar</t>
  </si>
  <si>
    <t>PENON Luciano Daniel</t>
  </si>
  <si>
    <t>relevamiento de galpón, depósito, VER USO, Bajo ord 27/10, art 1, punto 2, inc 2, Infracción art 5, 27, 37, 176, 179, 200, 202, 230 261, 264 del CE</t>
  </si>
  <si>
    <t>inspección 23/07/21</t>
  </si>
  <si>
    <t>Calle Alberdi s/Nº esq. Brovatti</t>
  </si>
  <si>
    <t>Hotel de campo y anexos</t>
  </si>
  <si>
    <t>relevamiento de Hotel de campo, y anexos, con piscina, hay un desayunador, barra, semicubierto tipo quincho, piscina con solarium, habitaciones privadas con baño y jacuzzi, cocheras semicubiertas, BAJO Ord 27/10, art 1, punto 2, inc 2, Infracción art 5, 27, 37, 176 del CE</t>
  </si>
  <si>
    <t>inspección 22/07/21</t>
  </si>
  <si>
    <t>FIDEICOMISO ARTIGAS</t>
  </si>
  <si>
    <t>mail, 532402</t>
  </si>
  <si>
    <t>Artigas s/Nº</t>
  </si>
  <si>
    <t>ORELLANA Nelson (Edelcopp Julio Roberto)</t>
  </si>
  <si>
    <t>MOLINA Z Jhonny</t>
  </si>
  <si>
    <t>once deptos a construir</t>
  </si>
  <si>
    <t>inspección 12/06/21</t>
  </si>
  <si>
    <t>Karai Yamandú s/N°</t>
  </si>
  <si>
    <t>SALERNO Viviana G y INCARDONA Edgardo A</t>
  </si>
  <si>
    <t>GUTIERREZ, Fernando Marcelo</t>
  </si>
  <si>
    <t>relevamiento de cabañas para turismo, dos cabañas con dos dormitorios, cocina comedor, baño, pequeña galería semicubierta de acceso cada una, cocheras semicubiertas en vereda, piscina, Bajo Ord 27/10, art 1, punto 1, inc 1y  2 Infraccion Ord 53/07, art 3 y 4 Infraccion Art 5, 27, 37, 144, 149, 151, 176, 178, 179, 181, 182, 201, 202, 214, 223, 226, 232, 233, 246, 247 del CE, infraccion Ord 05/11</t>
  </si>
  <si>
    <t>inspección 1/7/21</t>
  </si>
  <si>
    <t>mail, 532798</t>
  </si>
  <si>
    <t>Arrayane s/Nº</t>
  </si>
  <si>
    <t>NO ME OLVIDES</t>
  </si>
  <si>
    <t xml:space="preserve">Sede </t>
  </si>
  <si>
    <t>sede de la asociación de chicos con sindrome de down</t>
  </si>
  <si>
    <t>Chajá s/Nº</t>
  </si>
  <si>
    <t>PORTILLO Mercedes - PELOZO Melody Jazmín</t>
  </si>
  <si>
    <t>PELLICCIOTTA José</t>
  </si>
  <si>
    <t>IRIBARREN Norberto Germán</t>
  </si>
  <si>
    <t>relevamiento de vivienda y depto + pileta, en complejo de bungalows, declarado con antecedentes 6 unidades de vivienda de dormitorio, baño y cocina comedor con pequeño semicubierto al frente, cocheras descubiertas, y semicubierto de cocheras adjunto a una vivienda de tres dormitorios, cocina comedor y baño. Se declaran ahora una pileta, un monoambiente al fondo del lote y una vivienda al frente de un dormitorio, cocina comedor, baño y cochera descubierta, Bajo Ord 27/10, art 1, punto 1, inc 2 y 3, Infraccion art 5, 27, 37, 176, 178, 179, 181, 182, 202, 214, 223, 232, 233, del CE, infraccion Ord 62/13, art 28, Ord 49/12, Ord 05/11, Ord 53/07, art3</t>
  </si>
  <si>
    <t>inspección 16/08/21</t>
  </si>
  <si>
    <t>Alvear Nº 21</t>
  </si>
  <si>
    <t>LIVOVICH de INKIER Julia</t>
  </si>
  <si>
    <t>DADER S.A.</t>
  </si>
  <si>
    <t>relevamiento de local comercial, parte del salon se encuentra en un ote lindero (esquina superior), local divisible en dos y un solo baño de servicio, acceso de vehìculos, Bajo Ord 27/10, art 1, punto 2, inc 2, Infraccion art 5, 27, 37, 179, 181, 182, 202, 223 del CE, Infraccion Ord 56/07, art 3, inc II</t>
  </si>
  <si>
    <t>inspección 5/5/21</t>
  </si>
  <si>
    <t>Juan Antonio Fernández s/Nº - San Juan I</t>
  </si>
  <si>
    <t>FONTAN Maria Cecilia</t>
  </si>
  <si>
    <t>SOTO Lorena Paola</t>
  </si>
  <si>
    <t>vivienda existente tipo cabaña con dos dormitorios, un baño, cocina comedor estar, cabaña existente de un dormitorio, baño cocina comedor, cabaña a relevar de un dormitorio, cocina comedor y baño y zona de acceso administraciòn cubierta, ademàs la piscina con el deck. Bajo Ord 27/10, art 1, punto 2, inc 2 , Infracciòn art 5, 27, 37, 179, 201, 247, 248  del CE</t>
  </si>
  <si>
    <t>inspecciòn 07/6/21</t>
  </si>
  <si>
    <t>mail, 533096</t>
  </si>
  <si>
    <t>Ampliación actividad turística Norte</t>
  </si>
  <si>
    <t>Calle Artalaz s/N°</t>
  </si>
  <si>
    <t>GOMEZ Sergio Emanuel</t>
  </si>
  <si>
    <t>GONZALEZ Juan Maria</t>
  </si>
  <si>
    <t>cuatro unidades de viviendas apareadas en grupos de dos, un dormitorio cada una, cocina comedor, baño y cocheras descubiertas, piscina</t>
  </si>
  <si>
    <t>inspección 12/08/21, replanteo</t>
  </si>
  <si>
    <t>Calle Pública s/Nº</t>
  </si>
  <si>
    <t>FERNANDEZ Fernando Miguel y ALMIRON Marcela Natalia</t>
  </si>
  <si>
    <t>vivienda unifamiliar a relevar, dos dormitorios, bao, cocina, comedor estar, cochera cubierta, lavadero cubierot, y depósito cubierto, piscina, Bajo Ord 27/10, art 1, inc 2, punto 2, Infracción art 5, 27, 37 del CE</t>
  </si>
  <si>
    <t>mail, 533310</t>
  </si>
  <si>
    <t>Salsipuedes s/N°</t>
  </si>
  <si>
    <t>ZAZULAK María Verónica - ROUGIER Matías Alejandro</t>
  </si>
  <si>
    <t>LEONARDI Jerónimo y GOMEZ WICKY Diamela</t>
  </si>
  <si>
    <t>vivienda unifamilliar a construir, dos dormitorios, baño, cocina comedor, hall de acceso estar, cochera doble descubierta, lavadero descubierto</t>
  </si>
  <si>
    <t>inspecci{on 17/08/21, acopio materiales</t>
  </si>
  <si>
    <t>Batalla de Cepeda Nº 236</t>
  </si>
  <si>
    <t>POMPEI Ricardo y VIVACQUA Miriam</t>
  </si>
  <si>
    <t>RODRIGUEZ Lisandro</t>
  </si>
  <si>
    <t>siete departamentos existentes con plano visado, una vivieda a construir en el 2º piso y un quincho con baño, los deptos de pb y 1p son de un dormitorio, baño y cocina comedor estar, las cocheras son descubiertas y son 8, Bajo Ord 27/10, art 1, punto 2, inc 2. Infraccion Art 144 del CE</t>
  </si>
  <si>
    <t>inspecciòn 29/3/21, ampliaciòn no comenzada</t>
  </si>
  <si>
    <t>Chacabuco N° 1240, 1244</t>
  </si>
  <si>
    <t>PERROTTA Christian Marcelo</t>
  </si>
  <si>
    <t>Vivienda unifamiliar + Local Comercial</t>
  </si>
  <si>
    <t>a construir, Local comercial en PB con office y baño, cuatro cocheras, tres de ellas semicubiertas, 4 desptos en pisos superiores, de dos dormitorios, cocina desayunador, baño, lavadero semicubierto cada uno.</t>
  </si>
  <si>
    <t>inspección 19/8/21, obra no iniciada</t>
  </si>
  <si>
    <t>Salsipuedes N° 288</t>
  </si>
  <si>
    <t>LOPEZ Mario Ricardo</t>
  </si>
  <si>
    <t>CERGNEUX Jorge Ricardo</t>
  </si>
  <si>
    <t>SOTELO  Victor Ramón</t>
  </si>
  <si>
    <t>vivienda unifamiliar a construir, dos dormitorios, baño, cocina comedor, cochera cubierta, BAJO ord 27/10, art 1, punto 1, inc 9, art 1, punto 2, inc 2, Infraccion art 5, 27, 37 del CE</t>
  </si>
  <si>
    <t>inspección 2/8/21, en encadenado de fundación</t>
  </si>
  <si>
    <t>MAIL, 533418</t>
  </si>
  <si>
    <t>Noailles N° 580</t>
  </si>
  <si>
    <t>FORCLAZ Héctor Daniel</t>
  </si>
  <si>
    <t>relevamiento de ampliación ejecutada en vivienda existente con planos antecedentes, además ampliación de cochera semicubierta, con antecedente vivienda de un dormitorio, cocina comedor, estar y baño, relevado un domritorio y modificaciones en cocina, a construir semicubierto en cochera, Bajo Ord 27/10, art 1, punto 2, inc 2, Infracción Art 5, 27, 37, 179 del CE, Infraccion ORd 62/13, art 16</t>
  </si>
  <si>
    <t>MAIL, 533061</t>
  </si>
  <si>
    <t>Chacabuco Nº 1131</t>
  </si>
  <si>
    <t>MACCHI APECETCHE Alberto José</t>
  </si>
  <si>
    <t>CRISTIANO Facundo Alberto</t>
  </si>
  <si>
    <t>relevamiento de vivienda unifamiliar, un dormitorio, baño, cocina comedor estar, cochera semicubierta lateral, galeria semicubierta al fondo, bajo ord 27/10, art 1, inc 2, punto 1 y 2, Infraccion art 5, 27 37, 130, 144, 151, 176, 179, 202, 232 del CE</t>
  </si>
  <si>
    <t>inspección 06/08/21</t>
  </si>
  <si>
    <t xml:space="preserve">Roberto Román Faravello Nº 331 - Plano 68 Viv-Depto 50 </t>
  </si>
  <si>
    <t>MONZON Carlos Alberto, PIETRAVALLO Ramona Estela</t>
  </si>
  <si>
    <t>relevamiento de modificaciones y ampliaciones realizadas en vivienda existente perteneciente al IAPV plan 68 Viviendas, la vivienda original tiene dos dormitorios, baño estar cocina, se agrega en el espacio ue antes era de la cochera semicubierta una nueva unidad de vivienda con estar comedor cocina, baño y espacio con parrilla, en semicubierto un "quincho con parrillla y un nuevo dormitorio a continuacoiin del existente (tapando ventilacion e ilum natural del exist), Bajo Ord 27/10, art 1, punto 2, inc 2 y 3, Infraccion art 5, 27, 37, 178, 179, 223, 232, 233 del CE, Infraccion Ord 62/13, art 24, Infraccion Ord 53/07, art 1, 3</t>
  </si>
  <si>
    <t xml:space="preserve">Inspección 10/5/21 </t>
  </si>
  <si>
    <t>mail, 532542</t>
  </si>
  <si>
    <t>REYES Marta Noemí y CANTO Claudio Daniel</t>
  </si>
  <si>
    <t>vivienda unifamiliar a construir, en PB, cocina comedor estar, lavadero, despensa, estar/estudio, cochera cubieta para dos vehiculos, cochera semicubierta lateral para dos vehículos, galería semicubierta quincho con parrilla al fondo, baño de servicio exterior, picina, en PA, tres dormitorio, un lugar de estar intimo pequeño, baño completo, doble altura sobre comedor</t>
  </si>
  <si>
    <t xml:space="preserve">inspección 22/07/21, </t>
  </si>
  <si>
    <t>Sourigues Nº 166</t>
  </si>
  <si>
    <t>DE SANTIAGO Daniel - ORTIZ Daniel M</t>
  </si>
  <si>
    <t>edificio de deptos a construir, total de 8 deptos, uno de dos dormitorios, uno en suite con baño compartimentado, escritorio ( o dormitorio de servicio), baño completo, lavadero cubierto, balcòn semicubierto, estar comedor cocina; dos de dos dormitorios, baño, cocina comedor y balcón semicubierto, dos de un dormitorio, baño, cocina comedor y balcon semicubierto (todos los balcones parecen tener parrilla, tres monoambientes con baño y balcón semicubierto,  un local comercial en PB con baño, cocheras para doce vehículos semicubiertas y quincho con terraza al fondo, BAJO resolucion HCD 53/21, excepciòn retiro, altura maxima construccion, altura de fachada, retiro por elevacion de fachada ( Ord 62/13, Ord 56/07, art 2 inc I, inc IV sub inc B y C) - existente cuatro deptos monoambientes (2 en PB y 2 en PA) y una piscina</t>
  </si>
  <si>
    <t>inspección 23/03/21, obra no comenzada</t>
  </si>
  <si>
    <t>MAIL, 533155</t>
  </si>
  <si>
    <t>Actividad Turística Norte</t>
  </si>
  <si>
    <t>Ruta 130, km</t>
  </si>
  <si>
    <t>PERNO Rubén A</t>
  </si>
  <si>
    <t>relevamiento de ampliaciones realizadas, tiene plano antecedente, agrega semicubierto cocheras, Bajo Ord 27/10, art 1, punto 2, inc 2 y 3; Infraccion Ord 62/13, art 30, Infraccion Ord 53/07, art 1 y 3, Infraccion art 5, 27, 37, 178, 179, 223, 232, 233, 246, 247, 254 del CE</t>
  </si>
  <si>
    <t>Hedda Beatriz Bachini N° 278</t>
  </si>
  <si>
    <t>MEYER Charles Anthony</t>
  </si>
  <si>
    <t>Depósito</t>
  </si>
  <si>
    <t>relevamiento de galpón depósito, sanitgario toilete a construir, Bajo Ord 27/10, art 1, punto 2, inc 2, Infraccion art 5, 27, 37, 179, 200, 202, del CE</t>
  </si>
  <si>
    <t>inspección 22/6/21</t>
  </si>
  <si>
    <t>Avda Urquiza N° 752</t>
  </si>
  <si>
    <t>BIAGGINI María del Carmen</t>
  </si>
  <si>
    <t>Vivienda unifamiliar + Galpòn Depòsito</t>
  </si>
  <si>
    <t>relevamiento de vivienda unifamiliar de dos dormitorios, cocina comedor estar, baño, cochera semicubierta, y galpón depósito cubierto, Bajo Ord 27/10, art 1, punto 2, inc 2 y 3, Infraccion Ord 62/13, art 26, Infraccion art 5, 27, 37, 176, 179 del CE</t>
  </si>
  <si>
    <t>Hedda Beatriz Bachini s/N°</t>
  </si>
  <si>
    <t xml:space="preserve">SILVA Julio Cèsar y VENENCIA Ana María </t>
  </si>
  <si>
    <t>vivienda unifamiliar existente con antecedentes, con dos dormitorios, baño, cocna comedor estar, cochera cubierta, galerìa semicubierta y picina; dos locales comerciales a construr en la esquina, cada uno con sanitario, Bajo Ord 27/10, art 1, punto 2,inc 2, Infraccion art 5, 27, 37, 146, 150, 202 del CE (existente)</t>
  </si>
  <si>
    <t xml:space="preserve">inspeccion </t>
  </si>
  <si>
    <t>529253, mail</t>
  </si>
  <si>
    <t>Sourigues Nº 184</t>
  </si>
  <si>
    <t xml:space="preserve">SAFFORES Alejandro Ramòn y VALENTE DECASTELLI Laura Natalia </t>
  </si>
  <si>
    <t>VALLARINO Guillermo - MARIN Jorge Fabricio</t>
  </si>
  <si>
    <t>VARGAS Cirilo R</t>
  </si>
  <si>
    <t>vivienda existente con hall, estar, cocina comedor, toilete en PB, dos dormitorios en PA, baño completo, en el patio trasero piscina, galpón depósito sobre la otra calle, delante del galpón se proyecta cosntruir en PB cocheras y en PA un monoambiente con balcón, BAJO Resolcion HCD 48/21, excepcion retiro, BAJO ORd 27/10, art 5, 27, 37, 178, 223, 232, 233, del CE</t>
  </si>
  <si>
    <t>532047, 533841</t>
  </si>
  <si>
    <t>Echanis s/N° - Colonia Hugues</t>
  </si>
  <si>
    <t>REBOSSIO Héctor Oscar</t>
  </si>
  <si>
    <t>BENITEZ Enrique</t>
  </si>
  <si>
    <t>relevamiento de vivienda unifamiliar con tres dormitorios, cocina comedor estar, baño, cocheras galería y quincho en uno solo semicubierto, Bajo Ord 27/10, art 1, punto 2, inc 2, Infracción Art 5, 27, 37, 178, 179, 181, 182, 201, 202, 246, 247 del CE</t>
  </si>
  <si>
    <t>San Martìn Nº 1180</t>
  </si>
  <si>
    <t>LESCANO Graciela Julia</t>
  </si>
  <si>
    <t>vivienda unifamiliar existente con antecedentes, dos dormitorios, baño, cocina comedor estar, viviendas a relevar dos, una en PB de dos dormitorios, unon con vestidor, baño, cocina comedor estar, galería semicubierta coon lavadero, cochera semicubierta pileta al fondo con quincho semicubierto, depto al frente en PB cocina comedor baño y en PA dos dormitorios, además, local comercial a relevar al frente del lote con un toilete</t>
  </si>
  <si>
    <t>Timbo N°</t>
  </si>
  <si>
    <t>ERRAMUSPE Rosa Amelia</t>
  </si>
  <si>
    <t>Vivienda unifamiliar a construir, en PB, dormitorio, baño completo, cocina comedor estar, semicubierto galería con parrilla, cochera cubierta para dos vehículos, en PA, dos dormitorios, baño completo, Bajo ord 27/10, art 1, punto 1, inc 9</t>
  </si>
  <si>
    <t>inspeccion 27/08/21, fundaciones terminadas</t>
  </si>
  <si>
    <t>Nucleo Urbano Ampliado</t>
  </si>
  <si>
    <t>Tala s/Nº - Barrio Uruguay-I</t>
  </si>
  <si>
    <t>LYNCH María Dolores y ACEVEDO Norberto</t>
  </si>
  <si>
    <t>relevamiento de mejoras y ampliacion realizada en grupo de bungalows, cuatro unidades monoambientes sin modificar, uno modificado se agregó ducha y división para generar un domritorio, la vivienda unifamiliar al fondo se agregói un nuevo dormitorio y se amplió el baño quedando entonces uina vivienda de dos dormitorios, baño, cocina, comedor estar, depósito, cocheras descubiertas, piscina</t>
  </si>
  <si>
    <t>Chacabuco N° 425</t>
  </si>
  <si>
    <t>COLLIARD de RICHARD Lelia Faustina (suc)</t>
  </si>
  <si>
    <t>RICHARD Aldo René</t>
  </si>
  <si>
    <t>relevamiento vivienda unifamiliar, dos dormitorios, baño, cocina comedor estar, espacio de cochera sin techo, Bajo Ord 27/10, art 1, punto 2, inc 2, Infraccion art 5, 27, 37, 151, 214 del CE</t>
  </si>
  <si>
    <t>M. Reibel N° 715</t>
  </si>
  <si>
    <t>LOCASO José Modesto (TUHAY Claudia)</t>
  </si>
  <si>
    <t>relevamiento de vivienda unifamiliar en PA, depósito cochera gimnasio en PB, vivienda un dormitorio, baño, cocina comedor, estar. BAJO Ord 27/10, art 1, punto 2, inc 2 y 3, Infracción 5, 27, 37, 144, 151, 179, 181, 182, 202, 226, 232 del CE, Infracción Ord 62/13, art 16</t>
  </si>
  <si>
    <t>inspección 17/2/21</t>
  </si>
  <si>
    <t>URBANA</t>
  </si>
  <si>
    <t>Bvard Ferrari N° 757 esq. Leguizamón</t>
  </si>
  <si>
    <t>LEAL Yolanda Ester y LEAL Adao</t>
  </si>
  <si>
    <t>Local comercial + Vivienda unifamiliar + Galpón depósito</t>
  </si>
  <si>
    <t>relevamiento de entrepiso en galpón depósito, vivienda unifamiliar existente con planos de un dormitorio, cocina comedor, estar, baño, depósito, lavadero cubierto, parrilla y espacio de cochera lateral sin techo, en la esquina, con planos, local comercial con un baño, por Leguizamón, galpón declarado, con un baño, BAJO ord 27/10, art 1, punot 2, inc 2 y 3, Infraccion ORd 62/13, art 24 (FOS), Infracción art 5, 27, 37, 144, 151, 176, 178, 179, 181, 1482, 202, 223, 246, 247, 248, 260 del CE</t>
  </si>
  <si>
    <t>inspección 27/8/21</t>
  </si>
  <si>
    <t>mail, 529466</t>
  </si>
  <si>
    <t>Leguizamón N° 119</t>
  </si>
  <si>
    <t>BONNIN Guillermo Victor y GABIOUD Vilma Elisabeth</t>
  </si>
  <si>
    <t>relevamiento de ampliación realizada en vivienda unifamiliar de tres dormitorios, uno en suite con vestidor y baño (en PB) baño de servicio, cocina comedor ppal comedor diario desayunador y estar, lavadero cubierto pero separado de la vivienda, cochera para cuatro vehiculos grandes y sobra, quincho al fondo cubierto con baño completo y parrilla, piscina con solarium, en PA dos dormitorios grandes, baño, estudio, sala de juegos, terraza al fondo y balcon al frente, Bajo Ord 27/10, art 1, punto 2, inc 2, Infraccion art 5, 10, 27, 37, 151, 176, 179, 182, 202 del CE</t>
  </si>
  <si>
    <t>16/3/2021, TERMINADA</t>
  </si>
  <si>
    <t>Balcarce N° 331, 332</t>
  </si>
  <si>
    <t>ERRAMUSPE Eduardo Ramòn</t>
  </si>
  <si>
    <t>CHATELAIN Mabel Haydee</t>
  </si>
  <si>
    <t>relevamiento vivienda unifamiliar de dos dormitorios, cocina comedor estar, baño, pequeño depòsito exterior independiente de la vivienda, cochera semicubierta, local comercial con baño y /kitchinet, Bajo Ord 27/10, art 1, punto 2, inc 2 y 3, Infraccion Ord 62/13, art 12, Infraccion art 5m 27, 37, 144. 151, 202, 233 del CE</t>
  </si>
  <si>
    <t>inspección 01/09/21</t>
  </si>
  <si>
    <t>532793, 533793</t>
  </si>
  <si>
    <t>CENTRO</t>
  </si>
  <si>
    <t>Balcarce Nº 34</t>
  </si>
  <si>
    <t>SALVAGNO Rocío Soledad y Yanina Vanesa</t>
  </si>
  <si>
    <t>vivienda unifamiliar en PB con un dormitorio, baño, cocina comedor estar, lavadero descubierto, vivienda en PA con dos dormitorios, baño, cocina comedor estar, lavadero en balcòn terraza al fondo, local comercial con bañi en PB al frente, no tiene cochera, BAJO ord 2710, art 1, punto 2, inc 2, infraccion ord 53/07, infraccion art 5, 27, 37, 178, 179, 181, 182, 202, 226, 233 del C. de E.</t>
  </si>
  <si>
    <t>inspeccion 28/07/21</t>
  </si>
  <si>
    <t>Ruta Nac. N° 130, km ..</t>
  </si>
  <si>
    <t>MASE Andrés (Apoderado)</t>
  </si>
  <si>
    <t>MANA DISTRIBUCIONES S.A.</t>
  </si>
  <si>
    <t>Factibilidad para la construcción de un autoservicio (720,32 m2)</t>
  </si>
  <si>
    <t>inspección 22/7/21, lote baldío</t>
  </si>
  <si>
    <t>mail, 534042</t>
  </si>
  <si>
    <t>Calle Privada Ibirapitá s/Nº - Los Bretes</t>
  </si>
  <si>
    <t>MERCURI Oscar Alfredo</t>
  </si>
  <si>
    <t>ODIARD Grecia</t>
  </si>
  <si>
    <t>vivienda unifamiliar a construir, cocina comedor, estar, hall de acceso, despensa, baño de servicio, galerìa con sector parrilla, cochera doble semicubierta en PB, en PA dos dormitorios, uno con vestidor, baño completo</t>
  </si>
  <si>
    <t>inspecciòn 09/09/21, baldio</t>
  </si>
  <si>
    <t>Prioridad Turística</t>
  </si>
  <si>
    <t>Alberdi N.º 102, 112 esq. Belgrano</t>
  </si>
  <si>
    <t>DELASOIE, Roberto Daniel</t>
  </si>
  <si>
    <t>PARRADO, Marcela A.</t>
  </si>
  <si>
    <t>CARO´s CONSTRUCCIONES (RAMOS Omar)</t>
  </si>
  <si>
    <t>vivienda unifamiliar a construir, en PB cochera cubierta para dos vehiculos, bodega, sala de màquinas, en PA estar cocina desayunador comedor ppal, dormitorio de huespedes con baño privado, lavadero cubierto, patio internos. Dormitorio ppal en suite con baño y vestidor, toilete interior, toilete exterior, galeria quincho semicubierta con parrilla e isla, espacio de taller oficina cubierta, terraza con solarium (futura pileta), BAJO resolucion HCD Resolucion del Consejo Asesor de proteccion de patrimonio Exsp 404/2020, Bajo Ord 27/10, art 1, punto 1, inc 9, Infraccion art 5, 27, 37 del CE</t>
  </si>
  <si>
    <t>al momento obra no iniciada, obra iniciada previo al visado, tiene actas</t>
  </si>
  <si>
    <t>mail, 534108</t>
  </si>
  <si>
    <t>Sarmiento 539, 541</t>
  </si>
  <si>
    <t>MORELLI Camila Rocío, Pablo Ricardo y Ricardo Alcides</t>
  </si>
  <si>
    <t>Local Comercial + Galpon Deposito</t>
  </si>
  <si>
    <t>relevamiento de local comercial al frente del lote, con baño, y galpón depósito al fondo, BAJO Ord 27/10, art 1, punto 2, inc 2, infracción art 5, 27, 37, 144, 151, 181, 202, 214, 232 del CE</t>
  </si>
  <si>
    <t>DODERA Karen Fernanda</t>
  </si>
  <si>
    <t>ELIZALDE Agustina</t>
  </si>
  <si>
    <t>ANDRADE María Laura - COLLIARD Sofía</t>
  </si>
  <si>
    <t>BOUFFET Hugo Alberto</t>
  </si>
  <si>
    <t>Vivienda Multifamiliar</t>
  </si>
  <si>
    <t>dos unidades de viivenda a cosntruir, apareadas, de un dormitorio, baño, cocina comedor estar, cochera descubierta, piscina común al fondo</t>
  </si>
  <si>
    <t>inspección 07/06/21, lote baldío</t>
  </si>
  <si>
    <t>VIOLLAZ Daniel Alcides</t>
  </si>
  <si>
    <t>relevamiento de vivienda unifamiliar de un dormitorio en suite con baño completo compartimentado, salón cocina comedor estar con parrilla, baño de servicio, local de elaboración de cerveza, Bajo Ord 27/10, art 1, punto 2, inc 2, Infraccion art 5, 27, 37, 144, 151, 176, 179, 181, 182, 202, 223, 233, 240 del CE, infraccion Ord 56/07, art 3</t>
  </si>
  <si>
    <t>Ñandubay esq Saavedra s/N° - Barrio Blanc</t>
  </si>
  <si>
    <t>FIARELLO Arnaldo Adalberto</t>
  </si>
  <si>
    <t>vivienda unifamiliar a cosntruir, dos dormitorios, uno en suite con baño compartimentado, baño completo con antebaño, sala de planchado / dep{osito (dormitorio), hall de acceso, toilette, lavadero cocina desayunador estar, galería semicubierta / quincho con parrilla y mesada, cochera descubierta</t>
  </si>
  <si>
    <t>inspección 10/08/21, obra no iniciada</t>
  </si>
  <si>
    <t>Vergniaud N° 20</t>
  </si>
  <si>
    <t>ROSSIER Luisina Giovanna</t>
  </si>
  <si>
    <t>ROMERO Alberto</t>
  </si>
  <si>
    <t>vivienda unifamiliar a construir, Pro.Cre.A.R., dos dormitorios, estar comedor cocina</t>
  </si>
  <si>
    <t>inspeccion 08-09-21, lote baldío</t>
  </si>
  <si>
    <t>Jacaranda s/Nº - Los Bretes</t>
  </si>
  <si>
    <t>ROUGIER Natalia Mercedes</t>
  </si>
  <si>
    <t>vivienda unifamiliar existente con planos visados, ampliaciòn a ejecutar en PA, un dormitorio y reforma de un baño, existente: dos dormitorios uno en suite con vestidor y baño compartimentado, baño completo compartimentado, cocina desayunador comedor estar, lavadero cubierto, cochera semicubierta para dos autos, acceso semicubierto, galeriìa semicubierta quincho con parrilla, se releva la piscina ejecutada al fondo del lote. Bajo Ord 27/10, art 1, punto 2, inc 2, Infraccion art 5, 27, 37, del CE</t>
  </si>
  <si>
    <t>inspecciòn 14/04/21, ampliaciòn no comenzada</t>
  </si>
  <si>
    <t>LAURINO Mauricio Daniel</t>
  </si>
  <si>
    <t>vivienda unifamiliar a construir, Pro.Cre.A.R., dos dormitorios, estar comedor cocina, cochera descubierta</t>
  </si>
  <si>
    <t>inspección 28/09/21</t>
  </si>
  <si>
    <t>Ampliación de Actividad Turística Norte</t>
  </si>
  <si>
    <t>Houssay sN° esq Espinillo</t>
  </si>
  <si>
    <t>VOGEL Ayelen Nahir</t>
  </si>
  <si>
    <t>ACEVEDO Angelina</t>
  </si>
  <si>
    <t>LARRACHAU Alejandro</t>
  </si>
  <si>
    <t xml:space="preserve">vivienda unifamiliar a constrir en PB y PA, en PB cochera semicubierta, estar comedor, cocina, baño de servicio, en PA dormitorio principal y dormitorio sec, terraza, dos unidades de altuiler con un dormitorio, cocina comedor y baño, no hay cochera para estas unidades marcada en planos, piscina en el vertice del lote, Bajo Ord 27/10, art 1, punto 2, inc 1,2 y 3, Bajo ORd 27/10, art 1, punto 1, inc 9, infraccion art 5, 27, 37, 182, 202, 236 del CE, infraccion Ord 62/13, art 30, Ord 53/07, </t>
  </si>
  <si>
    <t>inspección, obra en construcción, vivienda en mampostería de PA, bungalos en platea de fundación y pileta en pozo</t>
  </si>
  <si>
    <t>Avda. Paysandú S/N°</t>
  </si>
  <si>
    <t>TOURNOUR María Fernanda</t>
  </si>
  <si>
    <t>MAHER Luciana</t>
  </si>
  <si>
    <t>relevamiento vivienda unifamiliar, dos dormitorios, baño, cocina comedor estar, Bajo Ord 27/10, art 1, punto 2, inc 2, Infraccion art 5, 27, 37, 181, 182, 202, 223, 233 del CE</t>
  </si>
  <si>
    <t>inspección 10/09/21</t>
  </si>
  <si>
    <t>URBANA 2</t>
  </si>
  <si>
    <t>Calle Timbó s/N°</t>
  </si>
  <si>
    <t>KUHN Emilio José y SILVA Mayra Soledad</t>
  </si>
  <si>
    <t>Vivienda unifamiliar + piscina</t>
  </si>
  <si>
    <t>relevamiento de vivienda unifamiliar, con dos dormitorios, uno en PA, otro en PB en suite con baño, baño, lavadero cubierto, cocina comedor estar, cochera cubierta para dos vehículos, piscina con deck de madera perimetral, solarium, quincho semicubierto con parrilla</t>
  </si>
  <si>
    <t>inspección 9/9/21</t>
  </si>
  <si>
    <t>relevamiento de galpón, depósito, Bajo Ord 27/10, art 1, punto 2, inc 2, Infraccion Ord 56/07, art 3, I, b, Infraccion Art 5, 27, 37, 144, 176, 179, 231 del CE</t>
  </si>
  <si>
    <t>Balcarce N° 552</t>
  </si>
  <si>
    <t>USLENGHI José Carlos</t>
  </si>
  <si>
    <t>BIDAL María Eugenia</t>
  </si>
  <si>
    <t>ampliaciìn de vivienda unifamiliar, tiene plano antecdedente visado, pero ahora el lote se subdividio, antecedente todo en PB dos dormitorios, baño, lavadero, a construir en PB cochera cubierta parrilla, hall de acceso a la vivienda existente y toilete, en PA dos dormitorios y un baño</t>
  </si>
  <si>
    <t>inspección 25/03/21, obra avanzada</t>
  </si>
  <si>
    <t>Ampliaciòn de Actividad Turìstica Norte</t>
  </si>
  <si>
    <t>Avda Los Lapachos - Los Bretes</t>
  </si>
  <si>
    <t>RAMOS Ricardo Omar</t>
  </si>
  <si>
    <t>vivienda unifamiliar a construir, dos dormitorios en PB, uno en suite con baño compartimentado, baño completo, lavadero cubierto, cocina, comedor estar, cochera semicubierta para dos vehiculos, galeria semicubierta al fondo con parrilla, en PA dos dormitorios, baño completo, terraza</t>
  </si>
  <si>
    <t>inspeccion 01-09-21, lote baldío</t>
  </si>
  <si>
    <t>BENITEZ Ricardo Ismael</t>
  </si>
  <si>
    <t>MORARD Manuel</t>
  </si>
  <si>
    <t>Vivienda unifamiliar + Galpón</t>
  </si>
  <si>
    <t>ING. En const</t>
  </si>
  <si>
    <t xml:space="preserve">relevamiento de vivienda unifamiliar de un dormitorio a dividir en dos, baño, cocina comedor, galería semicubierta, galp{on dep{osito al fondo, BAJO Ord 27/10, art 1, punto 2, inc 2, infracción Art 5, 27, 37, 176, 181, 182, 202,  214 del CE </t>
  </si>
  <si>
    <t>ZANINI Nicolás</t>
  </si>
  <si>
    <t>AREVALO Rogelio Enrique</t>
  </si>
  <si>
    <t xml:space="preserve">vivienda unifamiliar a construir, Pro.Cre.A.R., dos dormitorios, estar comedor cocina, relleno ya ejecutado, </t>
  </si>
  <si>
    <t>mail, 534075</t>
  </si>
  <si>
    <t>Calle Primeros Colonos s/N°</t>
  </si>
  <si>
    <t>SPILOTTI Guillermo Daniel</t>
  </si>
  <si>
    <t>PERNO RENZI María José</t>
  </si>
  <si>
    <t>relevamiento grupo de cabañas y piscina, 4 cabañas de un dormitorio c7u, baño, cocina comedor, galeria de acceso semicubierta, una cabaña mas grande de dos dormitorios, baño, cocina comedor y galeria de acceso semicubierta, pileta, cocheras en zona de ensanche de calle, retiro invadido, BAJO Ord 27/10, art 1, punto 2, inc 2 y 3, Infraccion Ord 62/13, art 30, Ord 53/07, Infraccion Art 5, 27, 37, 176, 178, 179, 181, 182, 198, 201, 202, 223, 233, de CE</t>
  </si>
  <si>
    <t>mail, 534838</t>
  </si>
  <si>
    <t>Ruta N° 135, km ..</t>
  </si>
  <si>
    <t>BONNIN Diego Raúl</t>
  </si>
  <si>
    <t>Vivienda multifamiliar + Salón + Depósito</t>
  </si>
  <si>
    <t>relevamiento de cinco unidades de vvienda de un dormitorio, baño y cocina comedor, salón comun con dapósito, baños separados, cocina bar, más depósito galpón, BAJO ORD 27/10, art 1, punto 2, inc 2, Infracción art 5, 27, 37, 176, 178, 179, 202, 230 del CE</t>
  </si>
  <si>
    <t>mail, 534939</t>
  </si>
  <si>
    <t>PIOLI Patricio Amilcar</t>
  </si>
  <si>
    <t>BOGADO Eric</t>
  </si>
  <si>
    <t>ampliaciìn de vivienda unifamiliar, tiene plano antecededente visado, vivienda tres dormitorios, uno en suite con vestidor y baño, baño completo compartimentado entre dormitorios, estudio y baño completo de servicio, lavadero cubierto, cocina, comedor estar, hall acceso, galería semicubierta pergola, a cosntruir piscina y baño exterior, BAJO ORD 27/10, art 1, punto 2, inc 2, infraccion art 5, 27, 37 del CE</t>
  </si>
  <si>
    <t>Bolìvar Nº 220</t>
  </si>
  <si>
    <t>DELASOIE Mario Alcides</t>
  </si>
  <si>
    <t>local comercial al frente con sala de espera, salon al fondo, dos consultorios al medio, baño completo y compartimentado, vivienda unifamiliar al fondo del lote, con tres dormitorios, uno en suite con vestidor y baño en PB, en PB ademàs cocina comedor estar, baño de servicio, quincho galeria semicubierta, lvadero semicubierto exterior, en PA estan los dos domitorios, baño completo y se releva la ejecucon de un cuarto dormitorio sobre la cocina, se proyeca ejecutar un depòsito con baño completo al frente en el lateral del local comercial y cochera semicubierta en PB, Bajo Ord 27/10, art 1, punto 2, inc 2, Infraccion Art 5, 27, 37,, 178, 179, 232 del CE, Infraccion Ord 56/07, art 4</t>
  </si>
  <si>
    <t>inspección 17/09/21, ampliacion no comenzada</t>
  </si>
  <si>
    <t>Ampliacion Actividad Turìstica Sur</t>
  </si>
  <si>
    <t>Avda. Los Lapachos s/N° - Los Bretes</t>
  </si>
  <si>
    <t>BERLINGERI VIERA Ana Virginia</t>
  </si>
  <si>
    <t>SACK Gustavo</t>
  </si>
  <si>
    <t>vivienda unifamiliar existente, ampliacion quincho a construir, Bajo Ord 27/10, art 1, punto 2, inc 2, Infracción art 179 del CE</t>
  </si>
  <si>
    <t>inspección 9/9/21, ampliación no comenzada</t>
  </si>
  <si>
    <t>Avda. Quiros esq M. Moreno</t>
  </si>
  <si>
    <t>VULLIEZ Jesús Carlos Mario</t>
  </si>
  <si>
    <t>BLUE COLON (FIDEICOMISO)</t>
  </si>
  <si>
    <t>BATTAGGI y ASOC. (MALGOR José Manuel)</t>
  </si>
  <si>
    <t>Apart Hotel</t>
  </si>
  <si>
    <t>apart hotel a cosntruir, tiene plano antecedente del año 2016 (permiso cadudo) presenta nuevos planos, 7 deptos, 6 de un dormitorio, cocina comedor, baño, balcón, el del útimo piso tiene dos dormitorios, balcòn, semicubierto lavadero, baño, estar comerdor cocina, cocheras en subsuelo y en PB semicubiertas</t>
  </si>
  <si>
    <t>inspección 06/08/21, obra no iniciada</t>
  </si>
  <si>
    <t>Vergniaud Nº e/ San Martín y 12 de Abril</t>
  </si>
  <si>
    <t>BORUSKO Marcelo</t>
  </si>
  <si>
    <t>local comercial a construir, y depósito, para credito Pro.Cre.A.R.</t>
  </si>
  <si>
    <t>19/09/21, baldío</t>
  </si>
  <si>
    <t>Tucumán N° esq Güemes N° 251</t>
  </si>
  <si>
    <t>ING</t>
  </si>
  <si>
    <t>relevamiento de obra nueva en etapa de terminación, planta baja estar cocina comedor, galería semicubierta cochera, parrilla, lavadero cubierto, patio, baño, en PA dos dormitorios y baño, Bajo Ord 27/10, art 1, punto 2, inc 2 y 3, Infracción art 5, 27, 37, 202 del CE, Infracción ORd 62/13, art 16</t>
  </si>
  <si>
    <t>en etapa de terminación, inspección 22/9/20</t>
  </si>
  <si>
    <t>Araujo Penón N° 02</t>
  </si>
  <si>
    <t>ZANETTI Carina Angélica</t>
  </si>
  <si>
    <t>Vviienda unifamiliar</t>
  </si>
  <si>
    <t>relevamiento de dos viviendas de alquiler, una al frente con dos dormitorios, baño, cocina comedor estar, cochera semicubierta para dos vehículos, una unidad en el fondo del lote, con cocina comedor, baño en PB y en PA dormitorio, además tiene cochera semicubierta y depósito, BAJO Ord 27/10, art 1, punto 2, inc 2. Infracción art 5, 27, 37, 151, 176, 179, 201 del CE, Infracción ORd 56/07, art 3, inc II</t>
  </si>
  <si>
    <t>inspección 22/09/21</t>
  </si>
  <si>
    <t>mail, 535137</t>
  </si>
  <si>
    <t>Dr. Favaloro Nº 392</t>
  </si>
  <si>
    <t>FALABELLA Eduardo Blas y PIOTTI Gabriela Elisa</t>
  </si>
  <si>
    <t>CRISTIANO Facundo</t>
  </si>
  <si>
    <t>relevamiento de ampliaciones y modificaciones de vivienda unifamiliar, dor dormitorios uno en suite con baño, estar cocina comedor, baño, cochera semicubierta al frente, depósito cubierto separado de la casa, pileta de fibra, BAJO ORD 27/10, art 1, punto 2, inc 2 y 3, infraccion art 5, 27, 37, 144, 151, 176, 179, 202, 214, 232, 247, del CE, Infraccion ORd 62/13, art 16 (retiro)</t>
  </si>
  <si>
    <t xml:space="preserve"> 10/11/21</t>
  </si>
  <si>
    <t xml:space="preserve">Cipriano Berìn Nº </t>
  </si>
  <si>
    <t>MOREL CHEVILLET Nancy Mariela</t>
  </si>
  <si>
    <t>MEDAIL Sergio</t>
  </si>
  <si>
    <t>departamentos a construir, cindo unidades en dos bloques, bloque al frente dos deptos de un dormitorio baño y cocina comedor  en PA, cocheras en PB semicubiertas, bloque fondo con tres unidades de PB y PA, en PB cocina comedor estar, toilete y lavadero cubierto, en PA dos dormitorios y un baño</t>
  </si>
  <si>
    <t>inspecciòn 16/4/21, lote baldìo</t>
  </si>
  <si>
    <t>MAYA Juan Hugo y BASCONCELLOS Estela Noemí</t>
  </si>
  <si>
    <t>cuatro viviendas a relevar, cada una de dos dormitorios y baño en PA, cocina comedor y estar con lavadero y parrilla semicubiertos en PB, cocheras descubiertas, depósitos pequeño separado en dos de ellas, un galpón depósito grande con office y toilete, BAJO ORD 27/10, art 1, punto 2, inc 1, 2 y 3, Infraccion art 5, 27, 37, 144, 151 176, 179, 201, 202, 222, 227, 238, 240, 247, 260, 261, 262, 264 del CE, infraccion Ord 62/13, art 28, Ord 05/11</t>
  </si>
  <si>
    <t>inspeccion 01/07/21</t>
  </si>
  <si>
    <t>Calle Chajá s/N° esq. Calle Pública</t>
  </si>
  <si>
    <t>PACCOR Daniel E y DORNELL Silvio M</t>
  </si>
  <si>
    <t>dos viviendas a relevar, cada una con dos dormitorios, baño, cocina comedor estar, cochera semicubierta, BAJO ORD 27/10, art 1, punto 2, inc  2, Infracción art 5, 27, 37, 144, 151, 178, 181, 182 ,201, 202, 232, 236 del CE, Infraccion Ord 05/11</t>
  </si>
  <si>
    <t>inspeccion 20/06/21</t>
  </si>
  <si>
    <t>Santa Cruz N° 195</t>
  </si>
  <si>
    <t>ERRAMUSPE Julio C</t>
  </si>
  <si>
    <t>PACCOT Javier Humberto - BLANC Maximiliano G</t>
  </si>
  <si>
    <t>vivienda del IAPV amplaida y nueva vivienda construida en la esquina, original, vivienda de tres dormitorios, cocina comedor, agregaron parrilla, estar, baño todo en PB, nueva vivienda en esquina, en PB cocina comedor, estar. Baño y antebaño, en PA tres dormitorios y baño compartimentado, BAJO ord 27/10, art 1, punto 2, inc 2 y 3, Infraccion Ord 62/13, art  (FOS), infraccion ORd 56/07, (cocheras), Infraccion Art 5, 27, 37, 130, 178, 179, 202, 247, del CE</t>
  </si>
  <si>
    <t>inspeccion 25/8/21</t>
  </si>
  <si>
    <t>mail, 535451</t>
  </si>
  <si>
    <t>Calle Publica s/N°</t>
  </si>
  <si>
    <t>IWANCZUK Alejandro y Carlos Humberto</t>
  </si>
  <si>
    <t>Galpón depósito</t>
  </si>
  <si>
    <t>relevamiento de galpones, dos, uno con una oficina en PA, baño toilete y office en PB, otro con quincho en el lateral, dos sectores de depósito individuales en el interior y baño sin bañera, torre de tanque y depósito pequeño aparte, BAJO ORD 27/10, art 1, punto 2, inc 2, infraccion art 5, 27, 37, 176, 181, 182, 227, 232, 246 del CE</t>
  </si>
  <si>
    <t>Calle Progreso s/Nº</t>
  </si>
  <si>
    <t>AGUARA Constructora S.A.</t>
  </si>
  <si>
    <t>VIOLLAZ Susana Inés</t>
  </si>
  <si>
    <t>CHINELLATO Damián G.</t>
  </si>
  <si>
    <t>tes unidades de vivienda a construir, cada una con dos dormitorios, baño, cocina desayunador comedor estar, lavadero parrilla semicubierta con pergola, cochera semicubierta</t>
  </si>
  <si>
    <t>inspección 01/09/21, acopio de materiales, obra no iniciada</t>
  </si>
  <si>
    <t>MAIL, 533560</t>
  </si>
  <si>
    <t>Bernard Nº 490</t>
  </si>
  <si>
    <t>SCHWARZ Fernando Walter</t>
  </si>
  <si>
    <t>SERRANO María Laura - VIOLLAZ Carolina M. E.</t>
  </si>
  <si>
    <t>BOUFET Hugo</t>
  </si>
  <si>
    <t>BAJO Disposición DPT N° 3147 y Resolución SVOA N° 288/90, Sistema Constructivo TECNOHOUSE, dos unidades de vivienda prefabricadas, revestidas de ladrillo, un dormitorio, baño, cocina comedor cada una, cochera descubierta</t>
  </si>
  <si>
    <t>Pte. Perón N° 33</t>
  </si>
  <si>
    <t>ROTUNDO Jorge Luís</t>
  </si>
  <si>
    <t>ING. CONSTRUC.</t>
  </si>
  <si>
    <t>relevamiento de local comercial en PB (relojeria) y vivienda unifamiliar en PA con un dormitorio, baño, cocina comedor estar, BAJO Ord 27/10, art 1, punto 2, inc 1 y 2, Infracción art 5, 27, 37, 178, 179, 182, 202, 226 del CE, Infraccion Ord 62/13, art 19, Infraccion Ord 29/10, art 1</t>
  </si>
  <si>
    <t>mail, 535360</t>
  </si>
  <si>
    <t>Combatientes de Malvinas Nº 435</t>
  </si>
  <si>
    <t>CARDOZO Rodrigo Germàn</t>
  </si>
  <si>
    <t>vivienda unifamiliar a construir, dos dormitorios, baño, cocina comecor estar, cochera semicubierta, BAJO Ord 27/10, art 1, punto 2,m inc 2, Infraccion art 5, 27, 37, 202 del CE</t>
  </si>
  <si>
    <t>inspeccion 27/10/21</t>
  </si>
  <si>
    <t>IMPINI Lucas Emmanuel</t>
  </si>
  <si>
    <t>VIOLLAZ Diego</t>
  </si>
  <si>
    <t>vivienda unifamiliar a construir, PRO.CRE.A.R., dos dormitorios, baño, cocina comedor estar</t>
  </si>
  <si>
    <t>inspección 20/10/21</t>
  </si>
  <si>
    <t>GASCA Luis Alberto y GUIGOU Mirta Irene</t>
  </si>
  <si>
    <t>ZARAGOZA Victor Andres</t>
  </si>
  <si>
    <t>ARRISCAL Jose Luís</t>
  </si>
  <si>
    <t>Vivienda unifamiliar + Piscina</t>
  </si>
  <si>
    <t xml:space="preserve">pileta a construir, vivienda existente con planos </t>
  </si>
  <si>
    <t>inspección 15/10/21, no iniciada</t>
  </si>
  <si>
    <t>Las Piedras n° 265</t>
  </si>
  <si>
    <t>BESSON Cristian Emanuel</t>
  </si>
  <si>
    <t>vivienda unifamiliar a construir, dos dormitorios, uno en suite con verstidor y baño completo, baño completo, estar comedor, cocina desayunador, acceso semicubierto, cochera semicubierto con lavadero. BAJO ORD 27/10, art 1, punto 1, inc 9, Infraccion art 5, 27, 37 del CE</t>
  </si>
  <si>
    <t>platea ya terminada,  01/10/21</t>
  </si>
  <si>
    <t>Ampliacion Actividad Turistica Norte</t>
  </si>
  <si>
    <t>Juan Manuel de Rosas s/N°  esq. Juan Larrea</t>
  </si>
  <si>
    <t>IPERIONE Hernan Domingo y GONZALEZ Cynthi Lorena</t>
  </si>
  <si>
    <t>RODRIGUEZ Nicolás</t>
  </si>
  <si>
    <t>relevamiento de grupo de bungalows, apareados de a dos unidades, cada una con un dormitorio, baño, cocina comedor, un pequeño semicubierto donde se ubicó la parrilla, Bajo Ord 27/10, art 1, punto 2, inc 2 Infraccion art 5, 27, 37, 176, 178, 236, 246, 247 del CE, Infraccion Ord 53/07-Construccioon en la traza de la calle</t>
  </si>
  <si>
    <t>insepeccion 30/08/21</t>
  </si>
  <si>
    <t>Ampliacion Actividad Turistica Sur</t>
  </si>
  <si>
    <t>Los Lapachos s/N° - Los Bretes</t>
  </si>
  <si>
    <t>RODRIGUEZ Francisco</t>
  </si>
  <si>
    <t>OLMEDO Patricio</t>
  </si>
  <si>
    <t>vivienda a construir, dos dormitorios, uno en suite con baño, un escritorio o dormitorio de servicio, baño, cocina comedor estar, baño de servicio exterior, depósito cubierto, sector lavadero exterior y parrilla, cochera semicubierta para dos vehículos al frente</t>
  </si>
  <si>
    <t>1/9/2021, lote baldio</t>
  </si>
  <si>
    <t>Bolívar N° 163</t>
  </si>
  <si>
    <t>GARIN Roberto Alcides, Olga Mabel y Rubén René</t>
  </si>
  <si>
    <t>relevamiento de dos viviendas de alquiler, una en PB con dos dormitorios, baño, cocina comedor, la otra igual en PA, dos cocheras semicubiertas al fondo del lote, a demoler una pieza ubicada en PB detrás de la vivienda, Bajo Ord 27/10, art 1, punto 2, inc, Infracciòn 5, 27, 37, 144, 151, 178, 182, 201 del CE</t>
  </si>
  <si>
    <t>inspección 4/11/21</t>
  </si>
  <si>
    <t>mail, 535932</t>
  </si>
  <si>
    <t>Díaz Velez N°</t>
  </si>
  <si>
    <t>KULIAT Orlando Daniel y DELALOYE Andrea Mercedes</t>
  </si>
  <si>
    <t>SALDAÑA Maria Guadalupe y DA SILVA Brian</t>
  </si>
  <si>
    <t>vivienda unifamiliar a construir, dos dormitorios, baño completo, estar comedor, cocina, acceso semicubierto, cochera descubierta, PRO.CRE.A.R. BAJO ORD 27/10, art 1, punto 1, inc 9, Infraccion art 5, 27, 37 del CE</t>
  </si>
  <si>
    <t>inspección 4/11/21, platea cosntruida, armaduras de columnas colocadas</t>
  </si>
  <si>
    <t>URBANA 1</t>
  </si>
  <si>
    <t>Salta N° 88</t>
  </si>
  <si>
    <t>ARLETTAZ Liliana Beatriz y Marys Margarita</t>
  </si>
  <si>
    <t>relevamiento de ampliación realizada en vivienda existente con planos antecedentes, vivienda de cinco dormitorios, cocina, comedor, estar, baño, se releva ahora baño, lavadero, galeria semicubierta, parrilla, galpón/cochera cubierta, Bajo Ord 27/10, art 1, punto 2, inc 2, Infracción art 5, 27, 37, 179, 202, 232 del CE - ACTUALMENTE Funciona como asilo de ancianos</t>
  </si>
  <si>
    <t>inspección 29/10/21</t>
  </si>
  <si>
    <t>QUINTAS</t>
  </si>
  <si>
    <t>Ruta Nac. N° 135</t>
  </si>
  <si>
    <t>GERSTNER Ofelia Noemí y BONNIN Alcides Julio</t>
  </si>
  <si>
    <t>DANTAS Gabriel</t>
  </si>
  <si>
    <t>relevamiento de galpón, depósito, Bajo Ord 27/10, art 1, punto 2, inc 2, Infracción art 5, 27, 37, 151, 179, 222 del CE, Infracción Ord 05/11, ACTA 502, contrucción en proyección de calle</t>
  </si>
  <si>
    <t>Balcarce N° 392</t>
  </si>
  <si>
    <t>MONTERO Alejandra Mónica</t>
  </si>
  <si>
    <t>ZARAGOZA Víctor Andrés</t>
  </si>
  <si>
    <t>viviendas a declarar, en PB al frente estar cocina comedor de la primer vivienda, detrás baño al parecer compartido entre las dos viviendas, estar comedor cocina de la segunda vivienda y quincho cerrado con parrilla y baño al fondo, en PA al frente dormitorio de la primer vivienda, luego separado, baño compartimentado, y dos dormitorios de la segunda vivienda, BAJO ORD 27/10, art 1, punto 2, inc 2, infraccion art 5, 27, 37, 179, 223, 227, 233 del CE</t>
  </si>
  <si>
    <t>inspecciòn 19/10/21</t>
  </si>
  <si>
    <t>MAIL, 537305</t>
  </si>
  <si>
    <t>KRENZ Javier</t>
  </si>
  <si>
    <t>RUIZ DIAZ Javier Marcelo</t>
  </si>
  <si>
    <t>LAMBERT Miriam Soledad y REBORD Mariano Pedro</t>
  </si>
  <si>
    <t>vivienda unifamiliar existente de tres dormitorios, unon en suite con baño, baño completo, cocina comedor estar, lavadero cubierto, galeria semicubierta con parrilla y para cochera,, piscina a construir</t>
  </si>
  <si>
    <t>inspecciòn 22/10/21, piscina no comenzada</t>
  </si>
  <si>
    <t xml:space="preserve">Alberdi N° </t>
  </si>
  <si>
    <t>CHAMORRO Mirta Gladys</t>
  </si>
  <si>
    <t>CHINELATTO Damian S</t>
  </si>
  <si>
    <t>AGUARA Constructora SA</t>
  </si>
  <si>
    <t>vivienda unifamiliar a construir, dos dormitorios, baño, cocina desayunador comedor estar, galería semicubierta lateral con parrilla y espacio para un vehículo, al fondo quincho semicubierto  con espacio para cocheras dos vehículos, baño y depósito lavadero cubierto</t>
  </si>
  <si>
    <t>6/10/12, acopio de materiales y movimiento de suelos</t>
  </si>
  <si>
    <t>Ampliaciòn Actividad Turìstica</t>
  </si>
  <si>
    <t>RAMAT Rodrigo German y Nicolas Alberto</t>
  </si>
  <si>
    <t>VIOLLAZ Carolina Maria Eugenia</t>
  </si>
  <si>
    <t>vivienda unifamiliar a construir, un dormitorio, baño, cocina comedor estar, cochera descubierta adelante - PRO.CRE.A.R.</t>
  </si>
  <si>
    <t>19/11/21, lote baldìo</t>
  </si>
  <si>
    <t>Alvear Nº</t>
  </si>
  <si>
    <t>DEGIOVANNI Jorge Antonio</t>
  </si>
  <si>
    <t>vivienda unifamiliar a construir, dos dormitorios, baño, cocina comedor estar,  cochera descubierta adelante - PRO.CRE.A.R.</t>
  </si>
  <si>
    <t>BASCONCELLOS Estela Noemí y MAYA Juan Hugo</t>
  </si>
  <si>
    <t>relevamiento vivienda unifamiliar, dos dormitorios, uno en suite con vestidor y baño, otro en suite sólo con baño, además otro baño con ducha, estar comedor, cocina comedor diario, espacio vidriado de estar, dormitorio con baño en otro módulo junto con depósito y lavadero, quincho semicubierto, cochera semicubierta para dos autos, otro depósito, píscina. Bajo ord 27/10, art 1, punto 2, inc 2, Infraccion art 5, 27, 37, 179, 202, 232, 246 del CE</t>
  </si>
  <si>
    <t>Calle Hornero s/Nº</t>
  </si>
  <si>
    <t>IPSALE Matias Alejandro</t>
  </si>
  <si>
    <t>vivienda unifamiliar a construir, en PB estar comedor cocina con desayunador isla, hall de acceso, gimnasio, baño completo, cochera cubierta para dos vehiculos, galeria quincho con parrilla semicubierta con baño y lavadero, en PA dos dormitorios amplios, baño completo, dormitorio en suite con vestidor, baño compartimentado con jacuzzi y sector de escritorio, balcon sobre cocheras delantero y balcon sobre galeria al fondo, hall intimo</t>
  </si>
  <si>
    <t>6/10/21, lote baldìo</t>
  </si>
  <si>
    <t>GIANI Andrés Antonio</t>
  </si>
  <si>
    <t>GIANI Andrés Nicolás</t>
  </si>
  <si>
    <t>relevamiento de vivienda unifamiliar, un dormitorio, baño, depòsito, cocina comedor estar amplio, galerìa semicubierta, Bajo Ord 27/10, art 1, punto 2, inc 2, infraccion art 5, 27, 37, 181, 182, del CE, de aplicación ord 05/11</t>
  </si>
  <si>
    <t>Ibirapitá s/N°</t>
  </si>
  <si>
    <t>DUBRAVCICH Mariana</t>
  </si>
  <si>
    <t>relevamiento de quincho, tres unidades de vivienda, dos monoambientes, una de dos domritorios con cocina comedor y baño, galerìa semicubierta, una de un dormitorio, baño, cocina comedor estar, galeria semicubierta, semicubierto parrilla, BAJO Ord 27/10, art 1, punto 2, inc 2, infracciòn art 5, 27, 37, 176, 178, 179, 181, 182, 201, 202, 214, 226, 232, 246 del CE, Infraccion Ord 53/07</t>
  </si>
  <si>
    <t>inspeccion 22/09/21</t>
  </si>
  <si>
    <t>mail, 537905</t>
  </si>
  <si>
    <t>Urbanizada</t>
  </si>
  <si>
    <t>Avda. Gral. Urquiza N° 1186</t>
  </si>
  <si>
    <t>VARA Alan Justo</t>
  </si>
  <si>
    <t>ING. CONST</t>
  </si>
  <si>
    <t>dos unidades de vivienda a construir, apareadas, en PB, un dormitorio, cocina, comedor estar, baño, espacio para cochera al frente descubierto</t>
  </si>
  <si>
    <t>2/12/2021, lote baldio</t>
  </si>
  <si>
    <t>mail, 537910</t>
  </si>
  <si>
    <t>Núcleo Urbano Ampliado (Colonia Hugues)</t>
  </si>
  <si>
    <t>Echagüe s/N° esq Walser</t>
  </si>
  <si>
    <t>LACO Silvia Magdalena</t>
  </si>
  <si>
    <t>relevamiento de vivienda unifamiliar, cuatro dormitorios, uno con baño privado, baño, cocina comedor estar amplio, galería semicubierta perimetral, quincho separado con depósito y baño y semicubierto / cocheracon parrilla, BAJO ORD 27/10, art 1, punto 2, inc 2, infracción art 5, 27, 37, 179, 202, 223, 236, 240, 247 del CE</t>
  </si>
  <si>
    <t>inspección 2/12/21</t>
  </si>
  <si>
    <t>mail, 537767</t>
  </si>
  <si>
    <t>GIMENEZ Mariela Susana</t>
  </si>
  <si>
    <t xml:space="preserve">NOLASCO Joaquina </t>
  </si>
  <si>
    <t>relevamiento de cabaña, un dormitorios en PB, baño, cocina comedor, galería semicubierta acceso, espacio lateral para estacionamiento descubierto, entrepiso en PA, dos cabañas iguales, Bajo Ord 27/10, art 1, punto 2, inc 2, Infraccion art 5, 27, 37, 176, 178, 198, 201, 227 del CE, Bajo Resolución E-03/2018 , disposicion 01-2019</t>
  </si>
  <si>
    <t>inspecci{on 01/12/21</t>
  </si>
  <si>
    <t>TESTA DIAZ Daiana Solange y VILLA RODRIGUEZ Martin Nicolas</t>
  </si>
  <si>
    <t>SERRANO María Laura y SERRANO Carolina M. E.</t>
  </si>
  <si>
    <t>LOKER Luis</t>
  </si>
  <si>
    <t>vivienda unifamiliar a construir, dos dormitorios, uno en suite con baño compartimentado y vestidor, baño, cocina desayunador comedor estar, lavadero cubierto, separado un estudio con baño, cochera semicubierta para dos vehículos</t>
  </si>
  <si>
    <t>baldío, inspección 10/12/21</t>
  </si>
  <si>
    <t>mail, 537264</t>
  </si>
  <si>
    <t>Calle Píblica s/N°</t>
  </si>
  <si>
    <t>HOLTZER Alicia Estela y DROST Hans Rudiger</t>
  </si>
  <si>
    <t>relevamiento de vivieda unifamiliar, dos dormitorios, uno en suite con baño compartimentado y vestidor, baño, estar comedor, cocina desayunador, lavadero cubierto, galería semicubierta en todo el perímetro de la vivienda, con parrilla en un sector y cochera al frente, piscina, Bajo Ord 27/10, art 1, punto 2, inc 2, infraccion art 5, 27, 37, del CE</t>
  </si>
  <si>
    <t>Evita Nº 368</t>
  </si>
  <si>
    <t>MAZZINI Mariano Esteban</t>
  </si>
  <si>
    <t>GOMEZ Iris Rocìo</t>
  </si>
  <si>
    <t>relevamiento de depto monoambiente en PB, cuatro deptos existente en plantas superiores, cada uno de un dormitorio, cocina comedor estar, baño, balcon los que dan al frente, BAJO ORD 27/10, art 1, punto 2, inc 2 y 3, Infraccion art 5, 27, 37, 179, 181, 182, 201, 202 del CE, Infraccion Ord 53/07, Infraccion ORd 62/13, art 16</t>
  </si>
  <si>
    <t>inspección 19/11/21</t>
  </si>
  <si>
    <t>Conte Grand N° 413</t>
  </si>
  <si>
    <t>CUELLO Sonia Maibel</t>
  </si>
  <si>
    <t>BIDAL Arnoldo Francisco</t>
  </si>
  <si>
    <t>vivienda unifamiliar, Bajo Ord 27/10, art 1, punto 2, inc 2, Infraccion art 5, 27, 37, 179, 202, 256 del CE - BAJO ORD 58/2021</t>
  </si>
  <si>
    <t>519834, 519839</t>
  </si>
  <si>
    <t>Bvard. Gaillard Nº 786, 788, 794 (antes 800), y Ramirez Nº 343</t>
  </si>
  <si>
    <t>MOREL CHEVILLET Juan Carlos y otra</t>
  </si>
  <si>
    <t>Vivienda multifamiliar + Locales comericales</t>
  </si>
  <si>
    <t>relevamiento de 4 unidades de vivienda, dos monoambientes en PA sobre los locales comerciales, dos en la esquina, una con un dormitorio, estar, baño, cocina comedor, otra con dos dormitorios, baño, cocina comedor, espacio para estacionar, dos locales comerciales uno con baño con ducha, otro baño tipo toilette, cocina depòsito, otro local solo con toilette, BAJO ORD 27/10, art 1, punto 2, inc 2 y 3, Infraccion ORd 29/10, art 1, Infraccion ORd 53/07, Infraccion art 5, 27, 37, 130, 151, 178, 179, 201, 226 del CE</t>
  </si>
  <si>
    <t>inspección 27/02/21</t>
  </si>
  <si>
    <t>M. Moreno Nº 712, 714</t>
  </si>
  <si>
    <t>edificio de departamentos a construir, cuatro deptos dos con un dormitorio cocina comedor y baño, dos con dos dormitorios, baño completo, baño de servicio, cocina comedor estar, todos con balcón al frente, local comercial en PB y terraza con quincho parrilla y toilette</t>
  </si>
  <si>
    <t>9/9/12, trabajos no comenzados</t>
  </si>
  <si>
    <t>CLUB de CAMPO LOS BRETES</t>
  </si>
  <si>
    <t>Garita de control acceso</t>
  </si>
  <si>
    <t>garita de control de acceso al Club de campo</t>
  </si>
  <si>
    <t>mail, mail, 538055</t>
  </si>
  <si>
    <t>BELFIORI Paulina Liliana</t>
  </si>
  <si>
    <t>ARGUET Daniela</t>
  </si>
  <si>
    <t>dos unidades de vivienda apareadas, cada una de un dormitorio, baño, cocina comedor, espacio semicubierto al frente, BAJO ORD 27/10, art 1, punto 2, inc 2 y 3, Infraccion art 5, 27, 37, 178 del CE, Infracción Ord 53/07, Ord 62/13, art 28, Ord 05/11</t>
  </si>
  <si>
    <t>Moreno Nº 753 esq Leguizamón N° 91, 97</t>
  </si>
  <si>
    <t>DIMITROV STRESOV Demetrio</t>
  </si>
  <si>
    <t>relevamiento de ampliación en vivienda unifamiliar existente en PB, relevamiento de dos viviendas unifamiliares en PA una con dos dormitorios, baño, cocina comedor estar, otra con un dormitorio, baño, cocina comedor, local comercial con sanitario en PB, cochera semicubierta para un vehículo, BAJO ORD 27/10, art 1, punto 2, inc 2, Infraccion art 5, 27, 37, 130, 136, 146, 151, 178, 179, 181, 182, 202, 226 del CE, Infraccion Ord 53/07</t>
  </si>
  <si>
    <t>Ampliación turística norte</t>
  </si>
  <si>
    <t>PORTAS Laura Andrea</t>
  </si>
  <si>
    <t>relevamiento de ampliación en vivienda (vestidor en dormitorio de PA) y depósito peqieño separado cercano a la piscina, piscina, vivienda existente con planos con tres dormitorios, uno en PA en suite con baño y vestidor, estar intimo, dos dormitorios en PB, dos baños, cocina comedor, estar, relevamiento de cochera semicubierta para dos vahículos, separado y en la esquina, local comercial con dos baños, y depósito, BAJO ORD 27/10, art 1, punto 2, inc 2, Infraccion art 5, 27, 37, 176, 254 del CE. BAQJO ORD 58/21</t>
  </si>
  <si>
    <t>inspección 15/12/21</t>
  </si>
  <si>
    <t>Rocamora s/N°  875</t>
  </si>
  <si>
    <t>ASTEGNO Sebastián Edgardo y ASTEGNO Daiana Soledad</t>
  </si>
  <si>
    <t>SOTELO BARRIO Victor Ramón</t>
  </si>
  <si>
    <t>Vivienda unifamiliar a construir, platea existente, dos dormitorios, baño, estar comedor cocina, acceso semicubierto, galería con parrilla semicubierta, toilete exterior, cochera descubierta al frente, BAJO ORD 27/10, art 1, punto 1, inc 9, Infracción art 5, 27, 37 del CE</t>
  </si>
  <si>
    <t>inspección 18/11/20, fundaciones ejecutadas</t>
  </si>
  <si>
    <t>mail, 537407</t>
  </si>
  <si>
    <t>20/08/2021, 18/11/2021</t>
  </si>
  <si>
    <t>Balcarce Nº 66, 74</t>
  </si>
  <si>
    <t>DEL GRECO Jorge Alberto</t>
  </si>
  <si>
    <t>COT David Enrique</t>
  </si>
  <si>
    <t>Local Comercia, Depòsito</t>
  </si>
  <si>
    <t>relevamiento de galpòn, incompora ampliacion y declara demolicion de parte de lo existente, relevamiento de ampliaciones realizadas en local comercial, demolición de 57,69 m2, tiene intimación ACTA-Bajo Ord 27/10, art 1, punto 2, inc 2, Infraccion art 5, 27, 37, 151, 179 del CE</t>
  </si>
  <si>
    <t>inspección 24/11/21</t>
  </si>
  <si>
    <t>mail, 538406</t>
  </si>
  <si>
    <t>18/11/21 y 16/12/2021</t>
  </si>
  <si>
    <t>Vergniaud Nº 416</t>
  </si>
  <si>
    <t>LARROSA Ivan y LEDESMA VIOLLAZ Angie</t>
  </si>
  <si>
    <t>vivienda unifamiliar a construir, dos dormitorios, baño, cocina comedor estar, espacio cochera descubierto, acceso semicubierto, patio interno, PRO.CRE.A.R.</t>
  </si>
  <si>
    <t>inspección 17/12/21, Baldío</t>
  </si>
  <si>
    <t>Cabo Pereyra N° 621</t>
  </si>
  <si>
    <t>PEREZ BREY Angel Roberto</t>
  </si>
  <si>
    <t>PAIRONE Juan Ramón y ACUÑA Raúl Enrique</t>
  </si>
  <si>
    <t>dos unidades de duplez a construir, apareadas, dos dormitorios, baño en PA, cocina comedor estar, toilete, parrilla descubierta y espacio para estacionar descubierto en PB, Bajo Ord 27/10, art 1, punto 1, inc 9; art 1, punto 2, inc 2, Infracciòn art 5, 27, 37 , 144, 151, 176, 178, 181, 182, 202, del CE</t>
  </si>
  <si>
    <t>inspección 22/12/21</t>
  </si>
  <si>
    <t>Ampliación turística sur</t>
  </si>
  <si>
    <t>PEREZ Gustavo Damián</t>
  </si>
  <si>
    <t>NOLASCO Joaquina M. J.</t>
  </si>
  <si>
    <t>vivienda unifamiliar a construir, dos dormitorios, baño, cocina comedor, cochera semicubierta con parrilla, pileta de fibra al fondo</t>
  </si>
  <si>
    <t>15/12/21, baldío</t>
  </si>
  <si>
    <t>A. Penòn Nº 427</t>
  </si>
  <si>
    <t>RICHARD Marcelo Daniel</t>
  </si>
  <si>
    <t>PIÑON Daniela</t>
  </si>
  <si>
    <t>relevamiento de vivienda unifamiliar con tres dormitorios, un baño copleto compartimentado, cocina, comedor estar, galería lateral cochera semicubierta, escritorio con baño completo por separado, depósito separado de la vivienda, BAJO Ord 27/10, art 1, punto 2, inc 2, Infracción art 5, 27, 37, 144, 151 ,202, 236 del CE</t>
  </si>
  <si>
    <t>01/10/21, falta escalera de ingreso</t>
  </si>
  <si>
    <t>Bvard Ferrari N° 477</t>
  </si>
  <si>
    <t>HEREÑU Lidia del Carmen y PELLO Rolando Alberto</t>
  </si>
  <si>
    <t>relevamiento de mejoras en grupo de tres bungalows, agrega pileta y semicubierto para los vehículos, más un pequeño depósito, BAJO ORD 27/10, art 1, punto 2, inc 2, Infraccion art 5, 27, 37, 176 del CE</t>
  </si>
  <si>
    <t>MES</t>
  </si>
  <si>
    <t>USO</t>
  </si>
  <si>
    <t>Cantidad de Habitaciones (dormitorios) Existente</t>
  </si>
  <si>
    <t>Cantidad de Habitaciones (dormitorios) Nuevas</t>
  </si>
  <si>
    <t>Locales de 1º, Habitables Existente</t>
  </si>
  <si>
    <t>Locales de 1º, Habitables Nuevos</t>
  </si>
  <si>
    <t>N° de Plazas Existente</t>
  </si>
  <si>
    <t>N° de Plazas Nuevas</t>
  </si>
  <si>
    <t>M² existentes (con antecedente) Vivienda</t>
  </si>
  <si>
    <t>M² existentes (con antecedente) Local</t>
  </si>
  <si>
    <t>M² existentes (relevados) Vivienda</t>
  </si>
  <si>
    <t>M² existentes (relevados) Local</t>
  </si>
  <si>
    <t>M²     (a construir Vivienda</t>
  </si>
  <si>
    <t>M²     (a construir Local</t>
  </si>
  <si>
    <t>TITULO PROFESIONAL</t>
  </si>
  <si>
    <t>VISADO</t>
  </si>
  <si>
    <t>FINAL OBRA</t>
  </si>
</sst>
</file>

<file path=xl/styles.xml><?xml version="1.0" encoding="utf-8"?>
<styleSheet xmlns="http://schemas.openxmlformats.org/spreadsheetml/2006/main">
  <numFmts count="3">
    <numFmt numFmtId="166" formatCode="[$€-2C0A]#,##0.00\ ;[$€-2C0A]\-#,##0.00\ ;[$€-2C0A]\-#\ "/>
    <numFmt numFmtId="167" formatCode="&quot;$&quot;#,##0.00"/>
    <numFmt numFmtId="168" formatCode="dd/mm/yy;@"/>
  </numFmts>
  <fonts count="46">
    <font>
      <sz val="11"/>
      <color rgb="FF000000"/>
      <name val="Arial1"/>
      <charset val="1"/>
    </font>
    <font>
      <sz val="11"/>
      <color theme="1"/>
      <name val="Calibri"/>
      <family val="2"/>
      <scheme val="minor"/>
    </font>
    <font>
      <sz val="11"/>
      <color rgb="FF000000"/>
      <name val="Arial1"/>
      <charset val="1"/>
    </font>
    <font>
      <b/>
      <sz val="10"/>
      <name val="Arial"/>
      <family val="2"/>
      <charset val="1"/>
    </font>
    <font>
      <b/>
      <sz val="10"/>
      <color rgb="FF000000"/>
      <name val="Arial"/>
      <family val="2"/>
      <charset val="1"/>
    </font>
    <font>
      <sz val="10"/>
      <color rgb="FF000000"/>
      <name val="Arial"/>
      <family val="2"/>
      <charset val="1"/>
    </font>
    <font>
      <sz val="10"/>
      <color rgb="FF000000"/>
      <name val="Arial1"/>
      <charset val="1"/>
    </font>
    <font>
      <b/>
      <sz val="10"/>
      <color rgb="FF000000"/>
      <name val="Arial"/>
      <family val="2"/>
    </font>
    <font>
      <i/>
      <sz val="10"/>
      <color rgb="FF000000"/>
      <name val="Arial"/>
      <family val="2"/>
      <charset val="1"/>
    </font>
    <font>
      <b/>
      <sz val="10"/>
      <name val="Arial"/>
      <family val="2"/>
    </font>
    <font>
      <i/>
      <sz val="10"/>
      <name val="Arial"/>
      <family val="2"/>
      <charset val="1"/>
    </font>
    <font>
      <sz val="10"/>
      <name val="Arial"/>
      <family val="2"/>
      <charset val="1"/>
    </font>
    <font>
      <b/>
      <i/>
      <sz val="10"/>
      <color rgb="FF000000"/>
      <name val="Arial"/>
      <family val="2"/>
      <charset val="1"/>
    </font>
    <font>
      <i/>
      <sz val="10"/>
      <color rgb="FF000000"/>
      <name val="Arial"/>
      <family val="2"/>
    </font>
    <font>
      <b/>
      <i/>
      <sz val="10"/>
      <color rgb="FF000000"/>
      <name val="Arial"/>
      <family val="2"/>
    </font>
    <font>
      <sz val="10"/>
      <color rgb="FFFF0000"/>
      <name val="Arial"/>
      <family val="2"/>
      <charset val="1"/>
    </font>
    <font>
      <b/>
      <sz val="10"/>
      <color rgb="FF00B050"/>
      <name val="Arial"/>
      <family val="2"/>
      <charset val="1"/>
    </font>
    <font>
      <i/>
      <sz val="10"/>
      <color rgb="FF00B050"/>
      <name val="Arial"/>
      <family val="2"/>
      <charset val="1"/>
    </font>
    <font>
      <sz val="10"/>
      <color rgb="FF00B050"/>
      <name val="Arial"/>
      <family val="2"/>
      <charset val="1"/>
    </font>
    <font>
      <sz val="10"/>
      <color rgb="FF000000"/>
      <name val="Arial"/>
      <family val="2"/>
    </font>
    <font>
      <sz val="10"/>
      <name val="Arial"/>
      <family val="2"/>
    </font>
    <font>
      <b/>
      <sz val="10"/>
      <color rgb="FF0070C0"/>
      <name val="Arial"/>
      <family val="2"/>
      <charset val="1"/>
    </font>
    <font>
      <sz val="11"/>
      <name val="Arial1"/>
      <charset val="1"/>
    </font>
    <font>
      <sz val="10"/>
      <color rgb="FFFFFFFF"/>
      <name val="Arial"/>
      <family val="2"/>
      <charset val="1"/>
    </font>
    <font>
      <sz val="10"/>
      <color rgb="FFFFFFFF"/>
      <name val="Arial1"/>
      <charset val="1"/>
    </font>
    <font>
      <b/>
      <sz val="10"/>
      <color rgb="FF000000"/>
      <name val="Arial1"/>
      <charset val="1"/>
    </font>
    <font>
      <sz val="10"/>
      <color rgb="FFCC0000"/>
      <name val="Arial"/>
      <family val="2"/>
      <charset val="1"/>
    </font>
    <font>
      <sz val="10"/>
      <color rgb="FFCC0000"/>
      <name val="Arial1"/>
      <charset val="1"/>
    </font>
    <font>
      <b/>
      <sz val="10"/>
      <color rgb="FFFFFFFF"/>
      <name val="Arial"/>
      <family val="2"/>
      <charset val="1"/>
    </font>
    <font>
      <b/>
      <sz val="10"/>
      <color rgb="FFFFFFFF"/>
      <name val="Arial1"/>
      <charset val="1"/>
    </font>
    <font>
      <i/>
      <sz val="10"/>
      <color rgb="FF808080"/>
      <name val="Arial"/>
      <family val="2"/>
      <charset val="1"/>
    </font>
    <font>
      <i/>
      <sz val="10"/>
      <color rgb="FF808080"/>
      <name val="Arial1"/>
      <charset val="1"/>
    </font>
    <font>
      <sz val="10"/>
      <color rgb="FF006600"/>
      <name val="Arial"/>
      <family val="2"/>
      <charset val="1"/>
    </font>
    <font>
      <sz val="10"/>
      <color rgb="FF006600"/>
      <name val="Arial1"/>
      <charset val="1"/>
    </font>
    <font>
      <b/>
      <sz val="24"/>
      <color rgb="FF000000"/>
      <name val="Arial1"/>
      <charset val="1"/>
    </font>
    <font>
      <sz val="18"/>
      <color rgb="FF000000"/>
      <name val="Arial"/>
      <family val="2"/>
      <charset val="1"/>
    </font>
    <font>
      <sz val="18"/>
      <color rgb="FF000000"/>
      <name val="Arial1"/>
      <charset val="1"/>
    </font>
    <font>
      <sz val="12"/>
      <color rgb="FF000000"/>
      <name val="Arial"/>
      <family val="2"/>
      <charset val="1"/>
    </font>
    <font>
      <sz val="12"/>
      <color rgb="FF000000"/>
      <name val="Arial1"/>
      <charset val="1"/>
    </font>
    <font>
      <b/>
      <sz val="24"/>
      <color rgb="FF000000"/>
      <name val="Arial"/>
      <family val="2"/>
      <charset val="1"/>
    </font>
    <font>
      <u/>
      <sz val="10"/>
      <color rgb="FF0000EE"/>
      <name val="Arial"/>
      <family val="2"/>
      <charset val="1"/>
    </font>
    <font>
      <u/>
      <sz val="10"/>
      <color rgb="FF0000EE"/>
      <name val="Arial1"/>
      <charset val="1"/>
    </font>
    <font>
      <sz val="10"/>
      <color rgb="FF996600"/>
      <name val="Arial"/>
      <family val="2"/>
      <charset val="1"/>
    </font>
    <font>
      <sz val="10"/>
      <color rgb="FF333333"/>
      <name val="Arial"/>
      <family val="2"/>
      <charset val="1"/>
    </font>
    <font>
      <sz val="10"/>
      <color rgb="FF333333"/>
      <name val="Arial1"/>
      <charset val="1"/>
    </font>
    <font>
      <i/>
      <sz val="10"/>
      <name val="Arial"/>
      <family val="2"/>
    </font>
  </fonts>
  <fills count="13">
    <fill>
      <patternFill patternType="none"/>
    </fill>
    <fill>
      <patternFill patternType="gray125"/>
    </fill>
    <fill>
      <patternFill patternType="gray125">
        <fgColor rgb="FFFF0000"/>
      </patternFill>
    </fill>
    <fill>
      <patternFill patternType="solid">
        <fgColor rgb="FFFFFFFF"/>
        <bgColor rgb="FFFFFFCC"/>
      </patternFill>
    </fill>
    <fill>
      <patternFill patternType="solid">
        <fgColor rgb="FFFFFF00"/>
        <bgColor indexed="64"/>
      </patternFill>
    </fill>
    <fill>
      <patternFill patternType="gray125">
        <fgColor rgb="FFFF0000"/>
        <bgColor auto="1"/>
      </patternFill>
    </fill>
    <fill>
      <patternFill patternType="solid">
        <fgColor rgb="FF000000"/>
        <bgColor rgb="FF000080"/>
      </patternFill>
    </fill>
    <fill>
      <patternFill patternType="solid">
        <fgColor rgb="FF808080"/>
        <bgColor rgb="FF969696"/>
      </patternFill>
    </fill>
    <fill>
      <patternFill patternType="solid">
        <fgColor rgb="FFDDDDDD"/>
        <bgColor rgb="FFDDE8CB"/>
      </patternFill>
    </fill>
    <fill>
      <patternFill patternType="solid">
        <fgColor rgb="FFFFCCCC"/>
        <bgColor rgb="FFFFCC99"/>
      </patternFill>
    </fill>
    <fill>
      <patternFill patternType="solid">
        <fgColor rgb="FFCC0000"/>
        <bgColor rgb="FFFF0000"/>
      </patternFill>
    </fill>
    <fill>
      <patternFill patternType="solid">
        <fgColor rgb="FFCCFFCC"/>
        <bgColor rgb="FFE0EFD4"/>
      </patternFill>
    </fill>
    <fill>
      <patternFill patternType="solid">
        <fgColor rgb="FFFFFFCC"/>
        <bgColor rgb="FFFFFFA6"/>
      </patternFill>
    </fill>
  </fills>
  <borders count="20">
    <border>
      <left/>
      <right/>
      <top/>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diagonal/>
    </border>
    <border>
      <left style="medium">
        <color indexed="64"/>
      </left>
      <right style="thin">
        <color auto="1"/>
      </right>
      <top style="thin">
        <color auto="1"/>
      </top>
      <bottom/>
      <diagonal/>
    </border>
    <border>
      <left style="medium">
        <color indexed="64"/>
      </left>
      <right style="medium">
        <color indexed="64"/>
      </right>
      <top/>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thin">
        <color auto="1"/>
      </left>
      <right style="thin">
        <color auto="1"/>
      </right>
      <top style="thin">
        <color auto="1"/>
      </top>
      <bottom style="thin">
        <color auto="1"/>
      </bottom>
      <diagonal style="thin">
        <color auto="1"/>
      </diagonal>
    </border>
    <border>
      <left style="medium">
        <color auto="1"/>
      </left>
      <right style="thin">
        <color auto="1"/>
      </right>
      <top style="thin">
        <color auto="1"/>
      </top>
      <bottom style="thin">
        <color auto="1"/>
      </bottom>
      <diagonal/>
    </border>
    <border>
      <left/>
      <right/>
      <top/>
      <bottom style="thin">
        <color auto="1"/>
      </bottom>
      <diagonal/>
    </border>
    <border>
      <left style="medium">
        <color auto="1"/>
      </left>
      <right/>
      <top/>
      <bottom/>
      <diagonal/>
    </border>
    <border>
      <left style="thin">
        <color rgb="FF808080"/>
      </left>
      <right style="thin">
        <color rgb="FF808080"/>
      </right>
      <top style="thin">
        <color rgb="FF808080"/>
      </top>
      <bottom style="thin">
        <color rgb="FF808080"/>
      </bottom>
      <diagonal/>
    </border>
  </borders>
  <cellStyleXfs count="37">
    <xf numFmtId="0" fontId="0" fillId="0" borderId="0"/>
    <xf numFmtId="0" fontId="23" fillId="6" borderId="0"/>
    <xf numFmtId="0" fontId="24" fillId="6" borderId="0"/>
    <xf numFmtId="0" fontId="23" fillId="7" borderId="0"/>
    <xf numFmtId="0" fontId="24" fillId="7" borderId="0"/>
    <xf numFmtId="0" fontId="4" fillId="8" borderId="0"/>
    <xf numFmtId="0" fontId="25" fillId="8" borderId="0"/>
    <xf numFmtId="0" fontId="4" fillId="0" borderId="0"/>
    <xf numFmtId="0" fontId="25" fillId="0" borderId="0"/>
    <xf numFmtId="0" fontId="26" fillId="9" borderId="0"/>
    <xf numFmtId="0" fontId="27" fillId="9" borderId="0"/>
    <xf numFmtId="0" fontId="28" fillId="10" borderId="0"/>
    <xf numFmtId="0" fontId="29" fillId="10" borderId="0"/>
    <xf numFmtId="166" fontId="5" fillId="0" borderId="0"/>
    <xf numFmtId="0" fontId="30" fillId="0" borderId="0"/>
    <xf numFmtId="0" fontId="31" fillId="0" borderId="0"/>
    <xf numFmtId="0" fontId="32" fillId="11" borderId="0"/>
    <xf numFmtId="0" fontId="33" fillId="11" borderId="0"/>
    <xf numFmtId="0" fontId="34"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12" borderId="0"/>
    <xf numFmtId="0" fontId="1" fillId="0" borderId="0"/>
    <xf numFmtId="0" fontId="1" fillId="0" borderId="0"/>
    <xf numFmtId="0" fontId="43" fillId="12" borderId="19"/>
    <xf numFmtId="0" fontId="44" fillId="12" borderId="19"/>
    <xf numFmtId="0" fontId="5" fillId="0" borderId="0"/>
    <xf numFmtId="0" fontId="2" fillId="0" borderId="0"/>
    <xf numFmtId="0" fontId="5" fillId="0" borderId="0"/>
    <xf numFmtId="0" fontId="2" fillId="0" borderId="0"/>
    <xf numFmtId="0" fontId="26" fillId="0" borderId="0"/>
    <xf numFmtId="0" fontId="27" fillId="0" borderId="0"/>
  </cellStyleXfs>
  <cellXfs count="303">
    <xf numFmtId="0" fontId="0" fillId="0" borderId="0" xfId="0"/>
    <xf numFmtId="1" fontId="5" fillId="0" borderId="3" xfId="0" applyNumberFormat="1" applyFont="1" applyBorder="1" applyAlignment="1">
      <alignment horizontal="center" vertical="top" wrapText="1"/>
    </xf>
    <xf numFmtId="1" fontId="5" fillId="2" borderId="3" xfId="0" applyNumberFormat="1" applyFont="1" applyFill="1" applyBorder="1" applyAlignment="1">
      <alignment horizontal="center" vertical="top" wrapText="1"/>
    </xf>
    <xf numFmtId="1" fontId="5" fillId="0" borderId="3" xfId="0" applyNumberFormat="1" applyFont="1" applyFill="1" applyBorder="1" applyAlignment="1">
      <alignment horizontal="center" vertical="top" wrapText="1"/>
    </xf>
    <xf numFmtId="0" fontId="5" fillId="0" borderId="3" xfId="0" applyFont="1" applyBorder="1" applyAlignment="1">
      <alignment horizontal="center" wrapText="1"/>
    </xf>
    <xf numFmtId="0" fontId="5" fillId="0" borderId="3" xfId="0" applyFont="1" applyBorder="1" applyAlignment="1">
      <alignment horizontal="left" vertical="top" wrapText="1"/>
    </xf>
    <xf numFmtId="0" fontId="5" fillId="0" borderId="3" xfId="0" applyFont="1" applyBorder="1" applyAlignment="1">
      <alignment horizontal="center" vertical="center" wrapText="1"/>
    </xf>
    <xf numFmtId="0" fontId="5" fillId="0" borderId="3" xfId="0" applyFont="1" applyBorder="1" applyAlignment="1">
      <alignment horizontal="left" vertical="top"/>
    </xf>
    <xf numFmtId="0" fontId="5" fillId="0" borderId="0" xfId="0" applyFont="1" applyBorder="1" applyAlignment="1">
      <alignment horizontal="center" wrapText="1"/>
    </xf>
    <xf numFmtId="0" fontId="5" fillId="0" borderId="0" xfId="0" applyFont="1" applyBorder="1" applyAlignment="1">
      <alignment horizontal="center" vertical="center" wrapText="1"/>
    </xf>
    <xf numFmtId="0" fontId="5" fillId="0" borderId="0" xfId="0" applyFont="1" applyAlignment="1">
      <alignment horizontal="center" vertical="center" wrapText="1"/>
    </xf>
    <xf numFmtId="0" fontId="5" fillId="0" borderId="6" xfId="0" applyFont="1" applyBorder="1" applyAlignment="1">
      <alignment horizontal="center" vertical="top" wrapText="1"/>
    </xf>
    <xf numFmtId="1" fontId="5" fillId="0" borderId="6" xfId="0" applyNumberFormat="1" applyFont="1" applyBorder="1" applyAlignment="1">
      <alignment horizontal="center" vertical="top" wrapText="1"/>
    </xf>
    <xf numFmtId="0" fontId="11" fillId="0" borderId="3" xfId="0" applyFont="1" applyBorder="1" applyAlignment="1">
      <alignment horizontal="center" vertical="center" wrapText="1"/>
    </xf>
    <xf numFmtId="0" fontId="11" fillId="0" borderId="3" xfId="0" applyFont="1" applyBorder="1" applyAlignment="1">
      <alignment horizontal="left" vertical="top" wrapText="1"/>
    </xf>
    <xf numFmtId="0" fontId="11" fillId="0" borderId="3" xfId="0" applyFont="1" applyBorder="1" applyAlignment="1"/>
    <xf numFmtId="0" fontId="11" fillId="0" borderId="0" xfId="0" applyFont="1" applyBorder="1"/>
    <xf numFmtId="0" fontId="11" fillId="0" borderId="0" xfId="0" applyFont="1" applyBorder="1" applyAlignment="1">
      <alignment horizontal="center" vertical="center" wrapText="1"/>
    </xf>
    <xf numFmtId="0" fontId="11" fillId="0" borderId="0" xfId="0" applyFont="1" applyAlignment="1">
      <alignment horizontal="center" vertical="center" wrapText="1"/>
    </xf>
    <xf numFmtId="1" fontId="6" fillId="0" borderId="6" xfId="0" applyNumberFormat="1" applyFont="1" applyBorder="1" applyAlignment="1">
      <alignment horizontal="center" vertical="top" wrapText="1"/>
    </xf>
    <xf numFmtId="0" fontId="5" fillId="0" borderId="6" xfId="0" applyFont="1" applyBorder="1" applyAlignment="1">
      <alignment vertical="top" wrapText="1"/>
    </xf>
    <xf numFmtId="0" fontId="5" fillId="0" borderId="13" xfId="0" applyFont="1" applyBorder="1" applyAlignment="1">
      <alignment horizontal="left" vertical="top"/>
    </xf>
    <xf numFmtId="0" fontId="6" fillId="0" borderId="0" xfId="0" applyFont="1" applyBorder="1" applyAlignment="1">
      <alignment horizontal="center" wrapText="1"/>
    </xf>
    <xf numFmtId="0" fontId="6" fillId="0" borderId="0" xfId="0" applyFont="1" applyBorder="1" applyAlignment="1">
      <alignment horizontal="center" vertical="center" wrapText="1"/>
    </xf>
    <xf numFmtId="0" fontId="6" fillId="0" borderId="0" xfId="0" applyFont="1" applyAlignment="1">
      <alignment horizontal="center" vertical="center" wrapText="1"/>
    </xf>
    <xf numFmtId="0" fontId="5" fillId="0" borderId="0" xfId="0" applyFont="1" applyBorder="1" applyAlignment="1">
      <alignment horizontal="left" vertical="top"/>
    </xf>
    <xf numFmtId="1" fontId="6" fillId="0" borderId="3" xfId="0" applyNumberFormat="1" applyFont="1" applyBorder="1" applyAlignment="1">
      <alignment horizontal="center" vertical="top" wrapText="1"/>
    </xf>
    <xf numFmtId="0" fontId="5" fillId="0" borderId="3" xfId="0" applyFont="1" applyBorder="1" applyAlignment="1">
      <alignment vertical="top" wrapText="1"/>
    </xf>
    <xf numFmtId="0" fontId="5" fillId="0" borderId="14" xfId="0" applyFont="1" applyBorder="1" applyAlignment="1">
      <alignment horizontal="left" vertical="top"/>
    </xf>
    <xf numFmtId="0" fontId="5" fillId="0" borderId="3" xfId="0" applyFont="1" applyBorder="1" applyAlignment="1"/>
    <xf numFmtId="0" fontId="5" fillId="0" borderId="0" xfId="0" applyFont="1" applyBorder="1"/>
    <xf numFmtId="0" fontId="5" fillId="0" borderId="4" xfId="0" applyFont="1" applyBorder="1" applyAlignment="1">
      <alignment horizontal="center" vertical="top" wrapText="1"/>
    </xf>
    <xf numFmtId="1" fontId="5" fillId="0" borderId="4" xfId="0" applyNumberFormat="1" applyFont="1" applyBorder="1" applyAlignment="1">
      <alignment horizontal="center" vertical="top" wrapText="1"/>
    </xf>
    <xf numFmtId="1" fontId="5" fillId="2" borderId="4" xfId="0" applyNumberFormat="1" applyFont="1" applyFill="1" applyBorder="1" applyAlignment="1">
      <alignment horizontal="center" vertical="top" wrapText="1"/>
    </xf>
    <xf numFmtId="1" fontId="5" fillId="0" borderId="4" xfId="0" applyNumberFormat="1" applyFont="1" applyFill="1" applyBorder="1" applyAlignment="1">
      <alignment horizontal="center" vertical="top" wrapText="1"/>
    </xf>
    <xf numFmtId="0" fontId="5" fillId="0" borderId="4" xfId="0" applyFont="1" applyBorder="1" applyAlignment="1">
      <alignment horizontal="left" vertical="top" wrapText="1"/>
    </xf>
    <xf numFmtId="0" fontId="5" fillId="0" borderId="2" xfId="0" applyFont="1" applyBorder="1" applyAlignment="1">
      <alignment horizontal="left" vertical="top"/>
    </xf>
    <xf numFmtId="0" fontId="6" fillId="0" borderId="17" xfId="0" applyFont="1" applyBorder="1"/>
    <xf numFmtId="0" fontId="6" fillId="0" borderId="0" xfId="0" applyFont="1" applyBorder="1"/>
    <xf numFmtId="0" fontId="5" fillId="0" borderId="0" xfId="0" applyFont="1" applyAlignment="1">
      <alignment horizontal="center" wrapText="1"/>
    </xf>
    <xf numFmtId="1" fontId="18" fillId="0" borderId="3" xfId="0" applyNumberFormat="1" applyFont="1" applyBorder="1" applyAlignment="1">
      <alignment horizontal="center" vertical="top" wrapText="1"/>
    </xf>
    <xf numFmtId="1" fontId="18" fillId="2" borderId="3" xfId="0" applyNumberFormat="1" applyFont="1" applyFill="1" applyBorder="1" applyAlignment="1">
      <alignment horizontal="center" vertical="top" wrapText="1"/>
    </xf>
    <xf numFmtId="1" fontId="18" fillId="0" borderId="3" xfId="0" applyNumberFormat="1" applyFont="1" applyFill="1" applyBorder="1" applyAlignment="1">
      <alignment horizontal="center" vertical="top" wrapText="1"/>
    </xf>
    <xf numFmtId="0" fontId="18" fillId="0" borderId="3" xfId="0" applyFont="1" applyBorder="1" applyAlignment="1">
      <alignment horizontal="left" vertical="top" wrapText="1"/>
    </xf>
    <xf numFmtId="0" fontId="18" fillId="0" borderId="3" xfId="0" applyFont="1" applyBorder="1" applyAlignment="1">
      <alignment horizontal="left" vertical="top"/>
    </xf>
    <xf numFmtId="0" fontId="18" fillId="0" borderId="0" xfId="0" applyFont="1" applyBorder="1" applyAlignment="1">
      <alignment horizontal="center" wrapText="1"/>
    </xf>
    <xf numFmtId="0" fontId="18" fillId="0" borderId="0" xfId="0" applyFont="1" applyBorder="1" applyAlignment="1">
      <alignment horizontal="center" vertical="center" wrapText="1"/>
    </xf>
    <xf numFmtId="0" fontId="18" fillId="0" borderId="0" xfId="0" applyFont="1" applyAlignment="1">
      <alignment horizontal="center" vertical="center" wrapText="1"/>
    </xf>
    <xf numFmtId="14" fontId="5" fillId="0" borderId="3" xfId="0" applyNumberFormat="1" applyFont="1" applyBorder="1" applyAlignment="1">
      <alignment horizontal="left" vertical="top" wrapText="1"/>
    </xf>
    <xf numFmtId="14" fontId="5" fillId="0" borderId="7" xfId="0" applyNumberFormat="1" applyFont="1" applyBorder="1" applyAlignment="1">
      <alignment horizontal="left" vertical="top"/>
    </xf>
    <xf numFmtId="14" fontId="5" fillId="0" borderId="14" xfId="0" applyNumberFormat="1" applyFont="1" applyBorder="1" applyAlignment="1">
      <alignment horizontal="left" vertical="top"/>
    </xf>
    <xf numFmtId="0" fontId="5" fillId="0" borderId="3" xfId="0" applyFont="1" applyBorder="1" applyAlignment="1">
      <alignment vertical="top"/>
    </xf>
    <xf numFmtId="0" fontId="5" fillId="0" borderId="0" xfId="0" applyFont="1"/>
    <xf numFmtId="1" fontId="11" fillId="0" borderId="3" xfId="0" applyNumberFormat="1" applyFont="1" applyBorder="1" applyAlignment="1">
      <alignment horizontal="center" vertical="top" wrapText="1"/>
    </xf>
    <xf numFmtId="1" fontId="11" fillId="2" borderId="3" xfId="0" applyNumberFormat="1" applyFont="1" applyFill="1" applyBorder="1" applyAlignment="1">
      <alignment horizontal="center" vertical="top" wrapText="1"/>
    </xf>
    <xf numFmtId="1" fontId="11" fillId="0" borderId="3" xfId="0" applyNumberFormat="1" applyFont="1" applyFill="1" applyBorder="1" applyAlignment="1">
      <alignment horizontal="center" vertical="top" wrapText="1"/>
    </xf>
    <xf numFmtId="14" fontId="11" fillId="0" borderId="3" xfId="0" applyNumberFormat="1" applyFont="1" applyBorder="1" applyAlignment="1">
      <alignment horizontal="left" vertical="top" wrapText="1"/>
    </xf>
    <xf numFmtId="0" fontId="11" fillId="0" borderId="0" xfId="0" applyFont="1" applyBorder="1" applyAlignment="1">
      <alignment horizontal="center" wrapText="1"/>
    </xf>
    <xf numFmtId="0" fontId="5" fillId="0" borderId="14" xfId="0" applyFont="1" applyBorder="1" applyAlignment="1">
      <alignment vertical="top" wrapText="1"/>
    </xf>
    <xf numFmtId="0" fontId="5" fillId="0" borderId="14" xfId="0" applyFont="1" applyBorder="1" applyAlignment="1"/>
    <xf numFmtId="0" fontId="11" fillId="0" borderId="14" xfId="0" applyFont="1" applyBorder="1" applyAlignment="1">
      <alignment wrapText="1"/>
    </xf>
    <xf numFmtId="0" fontId="19" fillId="0" borderId="3" xfId="0" applyFont="1" applyBorder="1" applyAlignment="1">
      <alignment wrapText="1"/>
    </xf>
    <xf numFmtId="0" fontId="19" fillId="0" borderId="3" xfId="0" applyFont="1" applyBorder="1" applyAlignment="1">
      <alignment horizontal="center" vertical="center" wrapText="1"/>
    </xf>
    <xf numFmtId="1" fontId="5" fillId="2" borderId="3" xfId="0" applyNumberFormat="1" applyFont="1" applyFill="1" applyBorder="1" applyAlignment="1">
      <alignment horizontal="center" vertical="center" wrapText="1"/>
    </xf>
    <xf numFmtId="1" fontId="5" fillId="0" borderId="3" xfId="0" applyNumberFormat="1" applyFont="1" applyBorder="1" applyAlignment="1">
      <alignment horizontal="center" vertical="center" wrapText="1"/>
    </xf>
    <xf numFmtId="0" fontId="19" fillId="0" borderId="0" xfId="0" applyFont="1"/>
    <xf numFmtId="0" fontId="5" fillId="0" borderId="7" xfId="0" applyFont="1" applyBorder="1" applyAlignment="1">
      <alignment horizontal="left" vertical="top"/>
    </xf>
    <xf numFmtId="0" fontId="5" fillId="0" borderId="0" xfId="0" applyFont="1" applyBorder="1" applyAlignment="1">
      <alignment horizontal="left" vertical="top" wrapText="1"/>
    </xf>
    <xf numFmtId="14" fontId="5" fillId="0" borderId="0" xfId="0" applyNumberFormat="1" applyFont="1" applyBorder="1" applyAlignment="1">
      <alignment horizontal="left" vertical="top" wrapText="1"/>
    </xf>
    <xf numFmtId="0" fontId="19" fillId="0" borderId="0" xfId="0" applyFont="1" applyAlignment="1">
      <alignment horizontal="left" vertical="top"/>
    </xf>
    <xf numFmtId="0" fontId="0" fillId="0" borderId="0" xfId="0" applyAlignment="1">
      <alignment horizontal="left" vertical="top"/>
    </xf>
    <xf numFmtId="49" fontId="4" fillId="0" borderId="4" xfId="0" applyNumberFormat="1" applyFont="1" applyBorder="1" applyAlignment="1">
      <alignment vertical="center" wrapText="1"/>
    </xf>
    <xf numFmtId="49" fontId="5" fillId="0" borderId="4"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4" xfId="0" applyNumberFormat="1" applyFont="1" applyBorder="1" applyAlignment="1">
      <alignment horizontal="center" vertical="center" wrapText="1"/>
    </xf>
    <xf numFmtId="49" fontId="4" fillId="0" borderId="4" xfId="0" applyNumberFormat="1" applyFont="1" applyBorder="1" applyAlignment="1">
      <alignment vertical="top" wrapText="1"/>
    </xf>
    <xf numFmtId="49" fontId="0" fillId="0" borderId="0" xfId="0" applyNumberFormat="1" applyAlignment="1">
      <alignment vertical="center"/>
    </xf>
    <xf numFmtId="1" fontId="4" fillId="0" borderId="6" xfId="0" applyNumberFormat="1" applyFont="1" applyBorder="1" applyAlignment="1">
      <alignment horizontal="center" vertical="center" wrapText="1"/>
    </xf>
    <xf numFmtId="1" fontId="7" fillId="0" borderId="10" xfId="0" applyNumberFormat="1" applyFont="1" applyBorder="1" applyAlignment="1">
      <alignment horizontal="center" vertical="center" wrapText="1"/>
    </xf>
    <xf numFmtId="1" fontId="9" fillId="0" borderId="5" xfId="0" applyNumberFormat="1" applyFont="1" applyBorder="1" applyAlignment="1">
      <alignment horizontal="center" vertical="center" wrapText="1"/>
    </xf>
    <xf numFmtId="1" fontId="7" fillId="0" borderId="5" xfId="0" applyNumberFormat="1" applyFont="1" applyBorder="1" applyAlignment="1">
      <alignment horizontal="center" vertical="center" wrapText="1"/>
    </xf>
    <xf numFmtId="1" fontId="7" fillId="3" borderId="12" xfId="0" applyNumberFormat="1" applyFont="1" applyFill="1" applyBorder="1" applyAlignment="1">
      <alignment horizontal="center" vertical="center" wrapText="1"/>
    </xf>
    <xf numFmtId="1" fontId="7" fillId="0" borderId="3" xfId="0" applyNumberFormat="1" applyFont="1" applyBorder="1" applyAlignment="1">
      <alignment horizontal="center" vertical="center" wrapText="1"/>
    </xf>
    <xf numFmtId="1" fontId="7" fillId="0" borderId="4" xfId="0" applyNumberFormat="1" applyFont="1" applyBorder="1" applyAlignment="1">
      <alignment horizontal="center" vertical="center" wrapText="1"/>
    </xf>
    <xf numFmtId="1" fontId="7" fillId="3" borderId="5" xfId="0" applyNumberFormat="1" applyFont="1" applyFill="1" applyBorder="1" applyAlignment="1">
      <alignment horizontal="center" vertical="center" wrapText="1"/>
    </xf>
    <xf numFmtId="1" fontId="4" fillId="0" borderId="5" xfId="0" applyNumberFormat="1" applyFont="1" applyBorder="1" applyAlignment="1">
      <alignment horizontal="center" vertical="center" wrapText="1"/>
    </xf>
    <xf numFmtId="1" fontId="4" fillId="0" borderId="3" xfId="0" applyNumberFormat="1" applyFont="1" applyBorder="1" applyAlignment="1">
      <alignment horizontal="center" vertical="center" wrapText="1"/>
    </xf>
    <xf numFmtId="1" fontId="7" fillId="0" borderId="5" xfId="0" applyNumberFormat="1" applyFont="1" applyBorder="1" applyAlignment="1">
      <alignment horizontal="center" vertical="center"/>
    </xf>
    <xf numFmtId="1" fontId="4" fillId="0" borderId="16" xfId="0" applyNumberFormat="1" applyFont="1" applyBorder="1" applyAlignment="1">
      <alignment horizontal="center" vertical="center" wrapText="1"/>
    </xf>
    <xf numFmtId="1" fontId="4" fillId="0" borderId="1" xfId="0" applyNumberFormat="1" applyFont="1" applyBorder="1" applyAlignment="1">
      <alignment horizontal="center" vertical="center" wrapText="1"/>
    </xf>
    <xf numFmtId="1" fontId="4" fillId="0" borderId="3" xfId="0" applyNumberFormat="1" applyFont="1" applyBorder="1" applyAlignment="1">
      <alignment horizontal="center" wrapText="1"/>
    </xf>
    <xf numFmtId="1" fontId="5" fillId="0" borderId="5" xfId="0" applyNumberFormat="1" applyFont="1" applyBorder="1" applyAlignment="1">
      <alignment horizontal="center" vertical="center" wrapText="1"/>
    </xf>
    <xf numFmtId="1" fontId="5" fillId="0" borderId="0" xfId="0" applyNumberFormat="1" applyFont="1" applyAlignment="1">
      <alignment horizontal="center" vertical="center" wrapText="1"/>
    </xf>
    <xf numFmtId="1" fontId="16" fillId="0" borderId="3" xfId="0" applyNumberFormat="1" applyFont="1" applyBorder="1" applyAlignment="1">
      <alignment horizontal="center" wrapText="1"/>
    </xf>
    <xf numFmtId="1" fontId="7" fillId="0" borderId="3" xfId="0" applyNumberFormat="1" applyFont="1" applyBorder="1" applyAlignment="1">
      <alignment horizontal="center" wrapText="1"/>
    </xf>
    <xf numFmtId="1" fontId="7" fillId="0" borderId="3" xfId="0" applyNumberFormat="1" applyFont="1" applyBorder="1" applyAlignment="1">
      <alignment horizontal="center" vertical="top" wrapText="1"/>
    </xf>
    <xf numFmtId="1" fontId="4" fillId="0" borderId="5" xfId="0" applyNumberFormat="1" applyFont="1" applyBorder="1" applyAlignment="1">
      <alignment horizontal="center" vertical="top" wrapText="1"/>
    </xf>
    <xf numFmtId="1" fontId="4" fillId="0" borderId="5" xfId="0" applyNumberFormat="1" applyFont="1" applyBorder="1" applyAlignment="1">
      <alignment horizontal="center" wrapText="1"/>
    </xf>
    <xf numFmtId="1" fontId="3" fillId="0" borderId="3" xfId="0" applyNumberFormat="1" applyFont="1" applyBorder="1" applyAlignment="1">
      <alignment horizontal="center" wrapText="1"/>
    </xf>
    <xf numFmtId="1" fontId="3" fillId="0" borderId="5" xfId="0" applyNumberFormat="1" applyFont="1" applyBorder="1" applyAlignment="1">
      <alignment horizontal="center" wrapText="1"/>
    </xf>
    <xf numFmtId="1" fontId="19" fillId="0" borderId="5" xfId="0" applyNumberFormat="1" applyFont="1" applyBorder="1" applyAlignment="1">
      <alignment horizontal="center" vertical="center" wrapText="1"/>
    </xf>
    <xf numFmtId="1" fontId="21" fillId="0" borderId="6" xfId="0" applyNumberFormat="1" applyFont="1" applyBorder="1" applyAlignment="1">
      <alignment horizontal="center" vertical="center" wrapText="1"/>
    </xf>
    <xf numFmtId="1" fontId="19" fillId="0" borderId="0" xfId="0" applyNumberFormat="1" applyFont="1" applyAlignment="1">
      <alignment horizontal="center" vertical="center"/>
    </xf>
    <xf numFmtId="1" fontId="0" fillId="0" borderId="0" xfId="0" applyNumberFormat="1" applyAlignment="1">
      <alignment horizontal="center" vertical="center"/>
    </xf>
    <xf numFmtId="1" fontId="19" fillId="0" borderId="3" xfId="0" applyNumberFormat="1" applyFont="1" applyBorder="1" applyAlignment="1">
      <alignment horizontal="center" vertical="center" wrapText="1"/>
    </xf>
    <xf numFmtId="1" fontId="4" fillId="0" borderId="4" xfId="0" applyNumberFormat="1" applyFont="1" applyBorder="1" applyAlignment="1">
      <alignment vertical="center" wrapText="1"/>
    </xf>
    <xf numFmtId="1" fontId="15" fillId="0" borderId="3" xfId="0" applyNumberFormat="1" applyFont="1" applyBorder="1" applyAlignment="1">
      <alignment horizontal="center" vertical="top" wrapText="1"/>
    </xf>
    <xf numFmtId="1" fontId="19" fillId="0" borderId="3" xfId="0" applyNumberFormat="1" applyFont="1" applyBorder="1" applyAlignment="1">
      <alignment wrapText="1"/>
    </xf>
    <xf numFmtId="1" fontId="19" fillId="0" borderId="0" xfId="0" applyNumberFormat="1" applyFont="1"/>
    <xf numFmtId="1" fontId="0" fillId="0" borderId="0" xfId="0" applyNumberFormat="1"/>
    <xf numFmtId="1" fontId="5" fillId="5" borderId="3" xfId="0" applyNumberFormat="1" applyFont="1" applyFill="1" applyBorder="1" applyAlignment="1">
      <alignment horizontal="center" vertical="top" wrapText="1"/>
    </xf>
    <xf numFmtId="1" fontId="19" fillId="0" borderId="0" xfId="0" applyNumberFormat="1" applyFont="1" applyAlignment="1"/>
    <xf numFmtId="1" fontId="5" fillId="2" borderId="7" xfId="0" applyNumberFormat="1" applyFont="1" applyFill="1" applyBorder="1" applyAlignment="1">
      <alignment horizontal="center" vertical="top" wrapText="1"/>
    </xf>
    <xf numFmtId="2" fontId="4" fillId="0" borderId="3" xfId="0" applyNumberFormat="1" applyFont="1" applyBorder="1" applyAlignment="1">
      <alignment horizontal="center" vertical="center" wrapText="1"/>
    </xf>
    <xf numFmtId="2" fontId="4" fillId="0" borderId="8" xfId="0" applyNumberFormat="1" applyFont="1" applyBorder="1" applyAlignment="1">
      <alignment vertical="center" wrapText="1"/>
    </xf>
    <xf numFmtId="2" fontId="5" fillId="0" borderId="3" xfId="0" applyNumberFormat="1" applyFont="1" applyBorder="1" applyAlignment="1">
      <alignment horizontal="center" vertical="top" wrapText="1"/>
    </xf>
    <xf numFmtId="2" fontId="5" fillId="2" borderId="3" xfId="0" applyNumberFormat="1" applyFont="1" applyFill="1" applyBorder="1" applyAlignment="1">
      <alignment horizontal="center" vertical="top" wrapText="1"/>
    </xf>
    <xf numFmtId="2" fontId="5" fillId="2" borderId="3" xfId="0" applyNumberFormat="1" applyFont="1" applyFill="1" applyBorder="1" applyAlignment="1">
      <alignment horizontal="center" wrapText="1"/>
    </xf>
    <xf numFmtId="2" fontId="5" fillId="0" borderId="3" xfId="0" applyNumberFormat="1" applyFont="1" applyBorder="1" applyAlignment="1">
      <alignment horizontal="center" wrapText="1"/>
    </xf>
    <xf numFmtId="2" fontId="11" fillId="0" borderId="3" xfId="0" applyNumberFormat="1" applyFont="1" applyBorder="1" applyAlignment="1">
      <alignment horizontal="center" vertical="top" wrapText="1"/>
    </xf>
    <xf numFmtId="2" fontId="11" fillId="0" borderId="3" xfId="0" applyNumberFormat="1" applyFont="1" applyBorder="1"/>
    <xf numFmtId="2" fontId="11" fillId="2" borderId="3" xfId="0" applyNumberFormat="1" applyFont="1" applyFill="1" applyBorder="1"/>
    <xf numFmtId="2" fontId="6" fillId="0" borderId="6" xfId="0" applyNumberFormat="1" applyFont="1" applyBorder="1" applyAlignment="1">
      <alignment horizontal="center" vertical="top" wrapText="1"/>
    </xf>
    <xf numFmtId="2" fontId="5" fillId="0" borderId="6" xfId="0" applyNumberFormat="1" applyFont="1" applyBorder="1" applyAlignment="1">
      <alignment horizontal="center" vertical="top" wrapText="1"/>
    </xf>
    <xf numFmtId="2" fontId="6" fillId="0" borderId="6" xfId="0" applyNumberFormat="1" applyFont="1" applyBorder="1" applyAlignment="1">
      <alignment horizontal="center" wrapText="1"/>
    </xf>
    <xf numFmtId="2" fontId="6" fillId="0" borderId="3" xfId="0" applyNumberFormat="1" applyFont="1" applyBorder="1" applyAlignment="1">
      <alignment horizontal="center" vertical="top" wrapText="1"/>
    </xf>
    <xf numFmtId="2" fontId="6" fillId="0" borderId="3" xfId="0" applyNumberFormat="1" applyFont="1" applyBorder="1" applyAlignment="1">
      <alignment horizontal="center" wrapText="1"/>
    </xf>
    <xf numFmtId="2" fontId="5" fillId="0" borderId="3" xfId="0" applyNumberFormat="1" applyFont="1" applyBorder="1"/>
    <xf numFmtId="2" fontId="5" fillId="2" borderId="3" xfId="0" applyNumberFormat="1" applyFont="1" applyFill="1" applyBorder="1"/>
    <xf numFmtId="2" fontId="5" fillId="0" borderId="4" xfId="0" applyNumberFormat="1" applyFont="1" applyBorder="1" applyAlignment="1">
      <alignment horizontal="center" vertical="top" wrapText="1"/>
    </xf>
    <xf numFmtId="2" fontId="5" fillId="2" borderId="4" xfId="0" applyNumberFormat="1" applyFont="1" applyFill="1" applyBorder="1" applyAlignment="1">
      <alignment horizontal="center" vertical="top" wrapText="1"/>
    </xf>
    <xf numFmtId="2" fontId="5" fillId="2" borderId="4" xfId="0" applyNumberFormat="1" applyFont="1" applyFill="1" applyBorder="1" applyAlignment="1">
      <alignment horizontal="center" wrapText="1"/>
    </xf>
    <xf numFmtId="2" fontId="5" fillId="0" borderId="4" xfId="0" applyNumberFormat="1" applyFont="1" applyBorder="1" applyAlignment="1">
      <alignment horizontal="center" wrapText="1"/>
    </xf>
    <xf numFmtId="2" fontId="6" fillId="0" borderId="3" xfId="0" applyNumberFormat="1" applyFont="1" applyBorder="1"/>
    <xf numFmtId="2" fontId="5" fillId="0" borderId="3" xfId="0" applyNumberFormat="1" applyFont="1" applyFill="1" applyBorder="1" applyAlignment="1">
      <alignment horizontal="center" vertical="top" wrapText="1"/>
    </xf>
    <xf numFmtId="2" fontId="18" fillId="0" borderId="3" xfId="0" applyNumberFormat="1" applyFont="1" applyBorder="1" applyAlignment="1">
      <alignment horizontal="center" vertical="top" wrapText="1"/>
    </xf>
    <xf numFmtId="2" fontId="18" fillId="2" borderId="3" xfId="0" applyNumberFormat="1" applyFont="1" applyFill="1" applyBorder="1" applyAlignment="1">
      <alignment horizontal="center" vertical="top" wrapText="1"/>
    </xf>
    <xf numFmtId="2" fontId="18" fillId="2" borderId="3" xfId="0" applyNumberFormat="1" applyFont="1" applyFill="1" applyBorder="1" applyAlignment="1">
      <alignment horizontal="center" wrapText="1"/>
    </xf>
    <xf numFmtId="2" fontId="18" fillId="0" borderId="3" xfId="0" applyNumberFormat="1" applyFont="1" applyBorder="1" applyAlignment="1">
      <alignment horizontal="center" wrapText="1"/>
    </xf>
    <xf numFmtId="2" fontId="5" fillId="0" borderId="5" xfId="0" applyNumberFormat="1" applyFont="1" applyBorder="1" applyAlignment="1">
      <alignment horizontal="center" wrapText="1"/>
    </xf>
    <xf numFmtId="2" fontId="5" fillId="0" borderId="16" xfId="0" applyNumberFormat="1" applyFont="1" applyBorder="1" applyAlignment="1">
      <alignment horizontal="center" vertical="top" wrapText="1"/>
    </xf>
    <xf numFmtId="2" fontId="5" fillId="0" borderId="14" xfId="0" applyNumberFormat="1" applyFont="1" applyBorder="1" applyAlignment="1">
      <alignment horizontal="center" vertical="top" wrapText="1"/>
    </xf>
    <xf numFmtId="2" fontId="5" fillId="0" borderId="5" xfId="0" applyNumberFormat="1" applyFont="1" applyBorder="1" applyAlignment="1">
      <alignment horizontal="center" vertical="top" wrapText="1"/>
    </xf>
    <xf numFmtId="2" fontId="5" fillId="0" borderId="7" xfId="0" applyNumberFormat="1" applyFont="1" applyBorder="1"/>
    <xf numFmtId="2" fontId="5" fillId="2" borderId="16" xfId="0" applyNumberFormat="1" applyFont="1" applyFill="1" applyBorder="1"/>
    <xf numFmtId="2" fontId="5" fillId="2" borderId="14" xfId="0" applyNumberFormat="1" applyFont="1" applyFill="1" applyBorder="1"/>
    <xf numFmtId="2" fontId="5" fillId="0" borderId="5" xfId="0" applyNumberFormat="1" applyFont="1" applyBorder="1"/>
    <xf numFmtId="2" fontId="11" fillId="2" borderId="3" xfId="0" applyNumberFormat="1" applyFont="1" applyFill="1" applyBorder="1" applyAlignment="1">
      <alignment horizontal="center" vertical="top" wrapText="1"/>
    </xf>
    <xf numFmtId="2" fontId="11" fillId="2" borderId="3" xfId="0" applyNumberFormat="1" applyFont="1" applyFill="1" applyBorder="1" applyAlignment="1">
      <alignment horizontal="center" wrapText="1"/>
    </xf>
    <xf numFmtId="2" fontId="11" fillId="0" borderId="3" xfId="0" applyNumberFormat="1" applyFont="1" applyBorder="1" applyAlignment="1">
      <alignment horizontal="center" wrapText="1"/>
    </xf>
    <xf numFmtId="2" fontId="5" fillId="0" borderId="3" xfId="0" applyNumberFormat="1" applyFont="1" applyBorder="1" applyAlignment="1">
      <alignment horizontal="center" vertical="center" wrapText="1"/>
    </xf>
    <xf numFmtId="2" fontId="5" fillId="2" borderId="3" xfId="0" applyNumberFormat="1" applyFont="1" applyFill="1" applyBorder="1" applyAlignment="1">
      <alignment horizontal="center" vertical="center" wrapText="1"/>
    </xf>
    <xf numFmtId="2" fontId="19" fillId="0" borderId="3" xfId="0" applyNumberFormat="1" applyFont="1" applyBorder="1" applyAlignment="1">
      <alignment horizontal="center" vertical="center" wrapText="1"/>
    </xf>
    <xf numFmtId="2" fontId="19" fillId="0" borderId="0" xfId="0" applyNumberFormat="1" applyFont="1" applyAlignment="1"/>
    <xf numFmtId="2" fontId="19" fillId="0" borderId="0" xfId="0" applyNumberFormat="1" applyFont="1"/>
    <xf numFmtId="2" fontId="0" fillId="0" borderId="0" xfId="0" applyNumberFormat="1"/>
    <xf numFmtId="1" fontId="4" fillId="0" borderId="8" xfId="0" applyNumberFormat="1" applyFont="1" applyBorder="1" applyAlignment="1">
      <alignment vertical="center" wrapText="1"/>
    </xf>
    <xf numFmtId="1" fontId="5" fillId="0" borderId="3" xfId="0" applyNumberFormat="1" applyFont="1" applyBorder="1" applyAlignment="1">
      <alignment horizontal="center" wrapText="1"/>
    </xf>
    <xf numFmtId="1" fontId="11" fillId="0" borderId="3" xfId="0" applyNumberFormat="1" applyFont="1" applyBorder="1"/>
    <xf numFmtId="1" fontId="6" fillId="0" borderId="6" xfId="0" applyNumberFormat="1" applyFont="1" applyBorder="1" applyAlignment="1">
      <alignment horizontal="center" wrapText="1"/>
    </xf>
    <xf numFmtId="1" fontId="6" fillId="0" borderId="3" xfId="0" applyNumberFormat="1" applyFont="1" applyBorder="1" applyAlignment="1">
      <alignment horizontal="center" wrapText="1"/>
    </xf>
    <xf numFmtId="1" fontId="5" fillId="0" borderId="3" xfId="0" applyNumberFormat="1" applyFont="1" applyBorder="1"/>
    <xf numFmtId="1" fontId="5" fillId="0" borderId="4" xfId="0" applyNumberFormat="1" applyFont="1" applyBorder="1" applyAlignment="1">
      <alignment horizontal="center" wrapText="1"/>
    </xf>
    <xf numFmtId="1" fontId="6" fillId="0" borderId="3" xfId="0" applyNumberFormat="1" applyFont="1" applyBorder="1"/>
    <xf numFmtId="1" fontId="18" fillId="0" borderId="3" xfId="0" applyNumberFormat="1" applyFont="1" applyBorder="1" applyAlignment="1">
      <alignment horizontal="center" wrapText="1"/>
    </xf>
    <xf numFmtId="1" fontId="11" fillId="0" borderId="3" xfId="0" applyNumberFormat="1" applyFont="1" applyBorder="1" applyAlignment="1">
      <alignment horizontal="center" wrapText="1"/>
    </xf>
    <xf numFmtId="167" fontId="4" fillId="0" borderId="8" xfId="0" applyNumberFormat="1" applyFont="1" applyBorder="1" applyAlignment="1">
      <alignment vertical="center" wrapText="1"/>
    </xf>
    <xf numFmtId="167" fontId="4" fillId="0" borderId="4" xfId="0" applyNumberFormat="1" applyFont="1" applyBorder="1" applyAlignment="1">
      <alignment wrapText="1"/>
    </xf>
    <xf numFmtId="167" fontId="5" fillId="0" borderId="3" xfId="0" applyNumberFormat="1" applyFont="1" applyBorder="1" applyAlignment="1">
      <alignment horizontal="center" wrapText="1"/>
    </xf>
    <xf numFmtId="167" fontId="5" fillId="0" borderId="3" xfId="0" applyNumberFormat="1" applyFont="1" applyBorder="1" applyAlignment="1">
      <alignment horizontal="left" vertical="top" wrapText="1"/>
    </xf>
    <xf numFmtId="167" fontId="11" fillId="0" borderId="3" xfId="0" applyNumberFormat="1" applyFont="1" applyBorder="1" applyAlignment="1">
      <alignment horizontal="center"/>
    </xf>
    <xf numFmtId="167" fontId="11" fillId="0" borderId="3" xfId="0" applyNumberFormat="1" applyFont="1" applyBorder="1" applyAlignment="1">
      <alignment vertical="top" wrapText="1"/>
    </xf>
    <xf numFmtId="167" fontId="5" fillId="0" borderId="6" xfId="0" applyNumberFormat="1" applyFont="1" applyBorder="1" applyAlignment="1">
      <alignment horizontal="center" wrapText="1"/>
    </xf>
    <xf numFmtId="167" fontId="6" fillId="0" borderId="6" xfId="0" applyNumberFormat="1" applyFont="1" applyBorder="1" applyAlignment="1">
      <alignment horizontal="center" wrapText="1"/>
    </xf>
    <xf numFmtId="167" fontId="6" fillId="0" borderId="3" xfId="0" applyNumberFormat="1" applyFont="1" applyBorder="1" applyAlignment="1">
      <alignment horizontal="center" wrapText="1"/>
    </xf>
    <xf numFmtId="167" fontId="5" fillId="0" borderId="3" xfId="0" applyNumberFormat="1" applyFont="1" applyBorder="1" applyAlignment="1">
      <alignment horizontal="center"/>
    </xf>
    <xf numFmtId="167" fontId="5" fillId="0" borderId="3" xfId="0" applyNumberFormat="1" applyFont="1" applyBorder="1" applyAlignment="1">
      <alignment vertical="top" wrapText="1"/>
    </xf>
    <xf numFmtId="167" fontId="5" fillId="0" borderId="4" xfId="0" applyNumberFormat="1" applyFont="1" applyBorder="1" applyAlignment="1">
      <alignment horizontal="center" wrapText="1"/>
    </xf>
    <xf numFmtId="167" fontId="5" fillId="0" borderId="4" xfId="0" applyNumberFormat="1" applyFont="1" applyBorder="1" applyAlignment="1">
      <alignment horizontal="left" vertical="top" wrapText="1"/>
    </xf>
    <xf numFmtId="167" fontId="6" fillId="0" borderId="3" xfId="0" applyNumberFormat="1" applyFont="1" applyBorder="1" applyAlignment="1">
      <alignment horizontal="center"/>
    </xf>
    <xf numFmtId="167" fontId="6" fillId="0" borderId="3" xfId="0" applyNumberFormat="1" applyFont="1" applyBorder="1" applyAlignment="1">
      <alignment wrapText="1"/>
    </xf>
    <xf numFmtId="167" fontId="5" fillId="0" borderId="3" xfId="0" applyNumberFormat="1" applyFont="1" applyBorder="1" applyAlignment="1">
      <alignment wrapText="1"/>
    </xf>
    <xf numFmtId="167" fontId="5" fillId="0" borderId="3" xfId="0" applyNumberFormat="1" applyFont="1" applyBorder="1" applyAlignment="1">
      <alignment horizontal="left" wrapText="1"/>
    </xf>
    <xf numFmtId="167" fontId="18" fillId="0" borderId="3" xfId="0" applyNumberFormat="1" applyFont="1" applyBorder="1" applyAlignment="1">
      <alignment horizontal="center" wrapText="1"/>
    </xf>
    <xf numFmtId="167" fontId="18" fillId="0" borderId="3" xfId="0" applyNumberFormat="1" applyFont="1" applyBorder="1" applyAlignment="1">
      <alignment horizontal="left" vertical="top" wrapText="1"/>
    </xf>
    <xf numFmtId="167" fontId="5" fillId="0" borderId="3" xfId="0" applyNumberFormat="1" applyFont="1" applyBorder="1"/>
    <xf numFmtId="167" fontId="11" fillId="0" borderId="3" xfId="0" applyNumberFormat="1" applyFont="1" applyBorder="1" applyAlignment="1">
      <alignment horizontal="center" wrapText="1"/>
    </xf>
    <xf numFmtId="167" fontId="11" fillId="0" borderId="3" xfId="0" applyNumberFormat="1" applyFont="1" applyBorder="1" applyAlignment="1">
      <alignment horizontal="left" vertical="top" wrapText="1"/>
    </xf>
    <xf numFmtId="167" fontId="19" fillId="0" borderId="3" xfId="0" applyNumberFormat="1" applyFont="1" applyBorder="1" applyAlignment="1">
      <alignment horizontal="center" vertical="center" wrapText="1"/>
    </xf>
    <xf numFmtId="167" fontId="19" fillId="0" borderId="0" xfId="0" applyNumberFormat="1" applyFont="1" applyAlignment="1"/>
    <xf numFmtId="167" fontId="19" fillId="0" borderId="0" xfId="0" applyNumberFormat="1" applyFont="1"/>
    <xf numFmtId="167" fontId="0" fillId="0" borderId="0" xfId="0" applyNumberFormat="1"/>
    <xf numFmtId="167" fontId="0" fillId="0" borderId="0" xfId="0" applyNumberFormat="1" applyAlignment="1"/>
    <xf numFmtId="49" fontId="5" fillId="0" borderId="3" xfId="0" applyNumberFormat="1" applyFont="1" applyBorder="1" applyAlignment="1">
      <alignment horizontal="center" wrapText="1"/>
    </xf>
    <xf numFmtId="49" fontId="11" fillId="0" borderId="3" xfId="0" applyNumberFormat="1" applyFont="1" applyBorder="1" applyAlignment="1">
      <alignment horizontal="center" vertical="center" wrapText="1"/>
    </xf>
    <xf numFmtId="49" fontId="5" fillId="0" borderId="6" xfId="0" applyNumberFormat="1" applyFont="1" applyBorder="1" applyAlignment="1">
      <alignment horizontal="center" wrapText="1"/>
    </xf>
    <xf numFmtId="49" fontId="5" fillId="0" borderId="3" xfId="0" applyNumberFormat="1" applyFont="1" applyBorder="1" applyAlignment="1">
      <alignment horizontal="center" vertical="center" wrapText="1"/>
    </xf>
    <xf numFmtId="49" fontId="5" fillId="0" borderId="4" xfId="0" applyNumberFormat="1" applyFont="1" applyBorder="1" applyAlignment="1">
      <alignment horizontal="center" wrapText="1"/>
    </xf>
    <xf numFmtId="49" fontId="18" fillId="0" borderId="3" xfId="0" applyNumberFormat="1" applyFont="1" applyBorder="1" applyAlignment="1">
      <alignment horizontal="center" wrapText="1"/>
    </xf>
    <xf numFmtId="49" fontId="5" fillId="0" borderId="3" xfId="0" applyNumberFormat="1" applyFont="1" applyBorder="1" applyAlignment="1">
      <alignment horizontal="center"/>
    </xf>
    <xf numFmtId="49" fontId="11" fillId="0" borderId="3" xfId="0" applyNumberFormat="1" applyFont="1" applyBorder="1" applyAlignment="1">
      <alignment horizontal="center" wrapText="1"/>
    </xf>
    <xf numFmtId="49" fontId="19" fillId="0" borderId="3" xfId="0" applyNumberFormat="1" applyFont="1" applyBorder="1" applyAlignment="1">
      <alignment horizontal="center" vertical="center" wrapText="1"/>
    </xf>
    <xf numFmtId="49" fontId="19" fillId="0" borderId="0" xfId="0" applyNumberFormat="1" applyFont="1"/>
    <xf numFmtId="49" fontId="0" fillId="0" borderId="0" xfId="0" applyNumberFormat="1"/>
    <xf numFmtId="49" fontId="5" fillId="0" borderId="3" xfId="0" applyNumberFormat="1" applyFont="1" applyBorder="1" applyAlignment="1">
      <alignment horizontal="center" vertical="top" wrapText="1"/>
    </xf>
    <xf numFmtId="49" fontId="11" fillId="0" borderId="3" xfId="0" applyNumberFormat="1" applyFont="1" applyBorder="1" applyAlignment="1">
      <alignment horizontal="center" vertical="top" wrapText="1"/>
    </xf>
    <xf numFmtId="49" fontId="5" fillId="0" borderId="6" xfId="0" applyNumberFormat="1" applyFont="1" applyBorder="1" applyAlignment="1">
      <alignment horizontal="center" vertical="top" wrapText="1"/>
    </xf>
    <xf numFmtId="49" fontId="5" fillId="0" borderId="4" xfId="0" applyNumberFormat="1" applyFont="1" applyBorder="1" applyAlignment="1">
      <alignment horizontal="center" vertical="top" wrapText="1"/>
    </xf>
    <xf numFmtId="49" fontId="18" fillId="0" borderId="3" xfId="0" applyNumberFormat="1" applyFont="1" applyBorder="1" applyAlignment="1">
      <alignment horizontal="center" vertical="top" wrapText="1"/>
    </xf>
    <xf numFmtId="49" fontId="19" fillId="0" borderId="0" xfId="0" applyNumberFormat="1" applyFont="1" applyAlignment="1"/>
    <xf numFmtId="168" fontId="4" fillId="0" borderId="6" xfId="0" applyNumberFormat="1" applyFont="1" applyBorder="1" applyAlignment="1">
      <alignment vertical="center" wrapText="1"/>
    </xf>
    <xf numFmtId="168" fontId="5" fillId="0" borderId="3" xfId="0" applyNumberFormat="1" applyFont="1" applyBorder="1" applyAlignment="1">
      <alignment horizontal="center" vertical="center" wrapText="1"/>
    </xf>
    <xf numFmtId="168" fontId="11" fillId="0" borderId="3" xfId="0" applyNumberFormat="1" applyFont="1" applyBorder="1" applyAlignment="1">
      <alignment wrapText="1"/>
    </xf>
    <xf numFmtId="168" fontId="11" fillId="0" borderId="3" xfId="0" applyNumberFormat="1" applyFont="1" applyBorder="1"/>
    <xf numFmtId="168" fontId="6" fillId="0" borderId="6" xfId="0" applyNumberFormat="1" applyFont="1" applyBorder="1" applyAlignment="1">
      <alignment horizontal="center" vertical="center" wrapText="1"/>
    </xf>
    <xf numFmtId="168" fontId="6" fillId="0" borderId="3" xfId="0" applyNumberFormat="1" applyFont="1" applyBorder="1" applyAlignment="1">
      <alignment horizontal="center" vertical="center" wrapText="1"/>
    </xf>
    <xf numFmtId="168" fontId="5" fillId="0" borderId="3" xfId="0" applyNumberFormat="1" applyFont="1" applyBorder="1" applyAlignment="1">
      <alignment wrapText="1"/>
    </xf>
    <xf numFmtId="168" fontId="5" fillId="0" borderId="3" xfId="0" applyNumberFormat="1" applyFont="1" applyBorder="1"/>
    <xf numFmtId="168" fontId="5" fillId="0" borderId="4" xfId="0" applyNumberFormat="1" applyFont="1" applyBorder="1" applyAlignment="1">
      <alignment horizontal="center" vertical="center" wrapText="1"/>
    </xf>
    <xf numFmtId="168" fontId="6" fillId="0" borderId="3" xfId="0" applyNumberFormat="1" applyFont="1" applyBorder="1" applyAlignment="1">
      <alignment wrapText="1"/>
    </xf>
    <xf numFmtId="168" fontId="6" fillId="0" borderId="3" xfId="0" applyNumberFormat="1" applyFont="1" applyBorder="1"/>
    <xf numFmtId="168" fontId="18" fillId="0" borderId="3" xfId="0" applyNumberFormat="1" applyFont="1" applyBorder="1" applyAlignment="1">
      <alignment horizontal="center" vertical="center" wrapText="1"/>
    </xf>
    <xf numFmtId="168" fontId="11" fillId="0" borderId="3" xfId="0" applyNumberFormat="1" applyFont="1" applyBorder="1" applyAlignment="1">
      <alignment horizontal="center" vertical="center" wrapText="1"/>
    </xf>
    <xf numFmtId="168" fontId="19" fillId="0" borderId="3" xfId="0" applyNumberFormat="1" applyFont="1" applyBorder="1" applyAlignment="1">
      <alignment horizontal="center" vertical="center" wrapText="1"/>
    </xf>
    <xf numFmtId="168" fontId="19" fillId="0" borderId="0" xfId="0" applyNumberFormat="1" applyFont="1"/>
    <xf numFmtId="168" fontId="0" fillId="0" borderId="0" xfId="0" applyNumberFormat="1"/>
    <xf numFmtId="168" fontId="4" fillId="0" borderId="6" xfId="0" applyNumberFormat="1" applyFont="1" applyBorder="1" applyAlignment="1">
      <alignment horizontal="center" vertical="center" wrapText="1"/>
    </xf>
    <xf numFmtId="168" fontId="8" fillId="0" borderId="5" xfId="0" applyNumberFormat="1" applyFont="1" applyBorder="1" applyAlignment="1">
      <alignment horizontal="center" vertical="top" wrapText="1"/>
    </xf>
    <xf numFmtId="168" fontId="10" fillId="0" borderId="5" xfId="0" applyNumberFormat="1" applyFont="1" applyBorder="1" applyAlignment="1">
      <alignment horizontal="center" vertical="top" wrapText="1"/>
    </xf>
    <xf numFmtId="168" fontId="8" fillId="0" borderId="12" xfId="0" applyNumberFormat="1" applyFont="1" applyBorder="1" applyAlignment="1">
      <alignment horizontal="center" vertical="top" wrapText="1"/>
    </xf>
    <xf numFmtId="168" fontId="8" fillId="0" borderId="1" xfId="0" applyNumberFormat="1" applyFont="1" applyBorder="1" applyAlignment="1">
      <alignment horizontal="center" vertical="top" wrapText="1"/>
    </xf>
    <xf numFmtId="168" fontId="8" fillId="0" borderId="6" xfId="0" applyNumberFormat="1" applyFont="1" applyBorder="1" applyAlignment="1">
      <alignment horizontal="center" vertical="top" wrapText="1"/>
    </xf>
    <xf numFmtId="168" fontId="12" fillId="0" borderId="3" xfId="0" applyNumberFormat="1" applyFont="1" applyBorder="1" applyAlignment="1">
      <alignment horizontal="center" vertical="top" wrapText="1"/>
    </xf>
    <xf numFmtId="168" fontId="5" fillId="0" borderId="3" xfId="0" applyNumberFormat="1" applyFont="1" applyBorder="1" applyAlignment="1">
      <alignment horizontal="center" vertical="top" wrapText="1"/>
    </xf>
    <xf numFmtId="168" fontId="5" fillId="0" borderId="5" xfId="0" applyNumberFormat="1" applyFont="1" applyBorder="1" applyAlignment="1">
      <alignment horizontal="center" vertical="top" wrapText="1"/>
    </xf>
    <xf numFmtId="168" fontId="8" fillId="0" borderId="3" xfId="0" applyNumberFormat="1" applyFont="1" applyBorder="1" applyAlignment="1">
      <alignment horizontal="center" vertical="top" wrapText="1"/>
    </xf>
    <xf numFmtId="168" fontId="13" fillId="0" borderId="5" xfId="0" applyNumberFormat="1" applyFont="1" applyBorder="1" applyAlignment="1">
      <alignment horizontal="center" vertical="top" wrapText="1"/>
    </xf>
    <xf numFmtId="168" fontId="13" fillId="0" borderId="3" xfId="0" applyNumberFormat="1" applyFont="1" applyBorder="1" applyAlignment="1">
      <alignment horizontal="center" vertical="top" wrapText="1"/>
    </xf>
    <xf numFmtId="168" fontId="8" fillId="0" borderId="4" xfId="0" applyNumberFormat="1" applyFont="1" applyBorder="1" applyAlignment="1">
      <alignment horizontal="center" vertical="top" wrapText="1"/>
    </xf>
    <xf numFmtId="168" fontId="5" fillId="0" borderId="3" xfId="0" applyNumberFormat="1" applyFont="1" applyBorder="1" applyAlignment="1">
      <alignment horizontal="center" wrapText="1"/>
    </xf>
    <xf numFmtId="168" fontId="4" fillId="0" borderId="3" xfId="0" applyNumberFormat="1" applyFont="1" applyBorder="1" applyAlignment="1">
      <alignment horizontal="center" vertical="top" wrapText="1"/>
    </xf>
    <xf numFmtId="168" fontId="14" fillId="0" borderId="5" xfId="0" applyNumberFormat="1" applyFont="1" applyBorder="1" applyAlignment="1">
      <alignment horizontal="center" vertical="top" wrapText="1"/>
    </xf>
    <xf numFmtId="168" fontId="14" fillId="0" borderId="3" xfId="0" applyNumberFormat="1" applyFont="1" applyBorder="1" applyAlignment="1">
      <alignment horizontal="center" vertical="top" wrapText="1"/>
    </xf>
    <xf numFmtId="168" fontId="17" fillId="0" borderId="5" xfId="0" applyNumberFormat="1" applyFont="1" applyBorder="1" applyAlignment="1">
      <alignment horizontal="center" vertical="top" wrapText="1"/>
    </xf>
    <xf numFmtId="168" fontId="4" fillId="0" borderId="3" xfId="0" applyNumberFormat="1" applyFont="1" applyBorder="1" applyAlignment="1">
      <alignment horizontal="center" wrapText="1"/>
    </xf>
    <xf numFmtId="168" fontId="4" fillId="0" borderId="5" xfId="0" applyNumberFormat="1" applyFont="1" applyBorder="1" applyAlignment="1">
      <alignment horizontal="center" wrapText="1"/>
    </xf>
    <xf numFmtId="168" fontId="4" fillId="0" borderId="3" xfId="0" applyNumberFormat="1" applyFont="1" applyBorder="1" applyAlignment="1">
      <alignment horizontal="center" vertical="center" wrapText="1"/>
    </xf>
    <xf numFmtId="168" fontId="11" fillId="0" borderId="3" xfId="0" applyNumberFormat="1" applyFont="1" applyBorder="1" applyAlignment="1">
      <alignment horizontal="center" vertical="top" wrapText="1"/>
    </xf>
    <xf numFmtId="168" fontId="19" fillId="0" borderId="3" xfId="0" applyNumberFormat="1" applyFont="1" applyBorder="1" applyAlignment="1">
      <alignment horizontal="center" wrapText="1"/>
    </xf>
    <xf numFmtId="49" fontId="8" fillId="0" borderId="5" xfId="0" applyNumberFormat="1" applyFont="1" applyBorder="1" applyAlignment="1">
      <alignment horizontal="center" vertical="top" wrapText="1"/>
    </xf>
    <xf numFmtId="49" fontId="5" fillId="0" borderId="5" xfId="0" applyNumberFormat="1" applyFont="1" applyBorder="1" applyAlignment="1">
      <alignment horizontal="center" vertical="center" wrapText="1"/>
    </xf>
    <xf numFmtId="49" fontId="19" fillId="0" borderId="5" xfId="0" applyNumberFormat="1" applyFont="1" applyBorder="1" applyAlignment="1">
      <alignment horizontal="center" vertical="center" wrapText="1"/>
    </xf>
    <xf numFmtId="49" fontId="19" fillId="0" borderId="0" xfId="0" applyNumberFormat="1" applyFont="1" applyAlignment="1">
      <alignment horizontal="center"/>
    </xf>
    <xf numFmtId="49" fontId="5" fillId="0" borderId="15" xfId="0" applyNumberFormat="1" applyFont="1" applyBorder="1" applyAlignment="1">
      <alignment horizontal="center" vertical="top" wrapText="1"/>
    </xf>
    <xf numFmtId="49" fontId="19" fillId="0" borderId="3" xfId="0" applyNumberFormat="1" applyFont="1" applyBorder="1" applyAlignment="1">
      <alignment horizontal="center" vertical="top" wrapText="1"/>
    </xf>
    <xf numFmtId="49" fontId="19" fillId="0" borderId="3" xfId="0" applyNumberFormat="1" applyFont="1" applyBorder="1" applyAlignment="1">
      <alignment wrapText="1"/>
    </xf>
    <xf numFmtId="49" fontId="19" fillId="0" borderId="0" xfId="0" applyNumberFormat="1" applyFont="1" applyAlignment="1">
      <alignment horizontal="center" vertical="top"/>
    </xf>
    <xf numFmtId="49" fontId="0" fillId="0" borderId="0" xfId="0" applyNumberFormat="1" applyAlignment="1">
      <alignment horizontal="center" vertical="top"/>
    </xf>
    <xf numFmtId="1" fontId="4" fillId="0" borderId="10" xfId="0" applyNumberFormat="1" applyFont="1" applyBorder="1" applyAlignment="1">
      <alignment horizontal="center" vertical="center" wrapText="1"/>
    </xf>
    <xf numFmtId="167" fontId="5" fillId="0" borderId="4" xfId="0" applyNumberFormat="1" applyFont="1" applyBorder="1" applyAlignment="1">
      <alignment wrapText="1"/>
    </xf>
    <xf numFmtId="49" fontId="5" fillId="0" borderId="4" xfId="0" applyNumberFormat="1" applyFont="1" applyBorder="1" applyAlignment="1">
      <alignment wrapText="1"/>
    </xf>
    <xf numFmtId="0" fontId="5" fillId="0" borderId="4" xfId="0" applyFont="1" applyBorder="1" applyAlignment="1">
      <alignment vertical="top" wrapText="1"/>
    </xf>
    <xf numFmtId="1" fontId="4" fillId="0" borderId="4" xfId="0" applyNumberFormat="1" applyFont="1" applyBorder="1" applyAlignment="1">
      <alignment horizontal="center" vertical="center" wrapText="1"/>
    </xf>
    <xf numFmtId="168" fontId="8" fillId="0" borderId="8" xfId="0" applyNumberFormat="1" applyFont="1" applyBorder="1" applyAlignment="1">
      <alignment horizontal="center" vertical="top" wrapText="1"/>
    </xf>
    <xf numFmtId="1" fontId="5" fillId="0" borderId="8" xfId="0" applyNumberFormat="1" applyFont="1" applyBorder="1" applyAlignment="1">
      <alignment horizontal="center" vertical="top" wrapText="1"/>
    </xf>
    <xf numFmtId="49" fontId="5" fillId="0" borderId="8" xfId="0" applyNumberFormat="1" applyFont="1" applyBorder="1" applyAlignment="1">
      <alignment horizontal="center" vertical="top" wrapText="1"/>
    </xf>
    <xf numFmtId="167" fontId="5" fillId="0" borderId="4" xfId="0" applyNumberFormat="1" applyFont="1" applyBorder="1" applyAlignment="1">
      <alignment horizontal="center" vertical="top" wrapText="1"/>
    </xf>
    <xf numFmtId="167" fontId="5" fillId="0" borderId="8" xfId="0" applyNumberFormat="1" applyFont="1" applyBorder="1" applyAlignment="1">
      <alignment horizontal="center" vertical="top" wrapText="1"/>
    </xf>
    <xf numFmtId="167" fontId="5" fillId="0" borderId="6" xfId="0" applyNumberFormat="1" applyFont="1" applyBorder="1" applyAlignment="1">
      <alignment horizontal="center" vertical="top" wrapText="1"/>
    </xf>
    <xf numFmtId="0" fontId="5" fillId="0" borderId="8" xfId="0" applyFont="1" applyBorder="1" applyAlignment="1">
      <alignment horizontal="center" vertical="top" wrapText="1"/>
    </xf>
    <xf numFmtId="49" fontId="4" fillId="0" borderId="6" xfId="0" applyNumberFormat="1"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11" xfId="0" applyFont="1" applyFill="1" applyBorder="1" applyAlignment="1">
      <alignment horizontal="center" wrapText="1"/>
    </xf>
    <xf numFmtId="0" fontId="4" fillId="0" borderId="11" xfId="0" applyFont="1" applyFill="1" applyBorder="1" applyAlignment="1">
      <alignment horizontal="center" wrapText="1"/>
    </xf>
    <xf numFmtId="0" fontId="4" fillId="0" borderId="0" xfId="0" applyFont="1" applyFill="1" applyBorder="1" applyAlignment="1">
      <alignment horizontal="center" wrapText="1"/>
    </xf>
    <xf numFmtId="0" fontId="3" fillId="0" borderId="0" xfId="0" applyFont="1" applyFill="1" applyBorder="1" applyAlignment="1">
      <alignment horizontal="center" wrapText="1"/>
    </xf>
    <xf numFmtId="0" fontId="16" fillId="0" borderId="0" xfId="0" applyFont="1" applyFill="1" applyBorder="1" applyAlignment="1">
      <alignment horizontal="center" wrapText="1"/>
    </xf>
    <xf numFmtId="0" fontId="4" fillId="0" borderId="8" xfId="0" applyFont="1" applyFill="1" applyBorder="1" applyAlignment="1">
      <alignment horizontal="center"/>
    </xf>
    <xf numFmtId="0" fontId="20" fillId="0" borderId="11" xfId="0" applyFont="1" applyFill="1" applyBorder="1" applyAlignment="1">
      <alignment horizontal="center" wrapText="1"/>
    </xf>
    <xf numFmtId="0" fontId="20" fillId="0" borderId="18" xfId="0" applyFont="1" applyFill="1" applyBorder="1" applyAlignment="1">
      <alignment horizontal="center" wrapText="1"/>
    </xf>
    <xf numFmtId="0" fontId="20" fillId="0" borderId="0" xfId="0" applyFont="1" applyFill="1" applyBorder="1" applyAlignment="1">
      <alignment horizontal="center" wrapText="1"/>
    </xf>
    <xf numFmtId="0" fontId="20" fillId="0" borderId="0" xfId="0" applyFont="1" applyFill="1" applyBorder="1"/>
    <xf numFmtId="0" fontId="20" fillId="0" borderId="0" xfId="0" applyFont="1" applyFill="1"/>
    <xf numFmtId="0" fontId="22" fillId="0" borderId="0" xfId="0" applyFont="1" applyFill="1"/>
    <xf numFmtId="1" fontId="4" fillId="4" borderId="4" xfId="0" applyNumberFormat="1" applyFont="1" applyFill="1" applyBorder="1" applyAlignment="1">
      <alignment horizontal="center" wrapText="1"/>
    </xf>
    <xf numFmtId="1" fontId="4" fillId="4" borderId="8" xfId="0" applyNumberFormat="1" applyFont="1" applyFill="1" applyBorder="1" applyAlignment="1">
      <alignment horizontal="center" wrapText="1"/>
    </xf>
    <xf numFmtId="49" fontId="5" fillId="0" borderId="8" xfId="0" applyNumberFormat="1" applyFont="1" applyBorder="1" applyAlignment="1">
      <alignment horizontal="center" wrapText="1"/>
    </xf>
    <xf numFmtId="168" fontId="5" fillId="0" borderId="8" xfId="0" applyNumberFormat="1" applyFont="1" applyBorder="1" applyAlignment="1">
      <alignment horizontal="center" vertical="center" wrapText="1"/>
    </xf>
    <xf numFmtId="1" fontId="4" fillId="4" borderId="6" xfId="0" applyNumberFormat="1" applyFont="1" applyFill="1" applyBorder="1" applyAlignment="1">
      <alignment horizontal="center" wrapText="1"/>
    </xf>
    <xf numFmtId="168" fontId="5" fillId="0" borderId="6" xfId="0" applyNumberFormat="1" applyFont="1" applyBorder="1" applyAlignment="1">
      <alignment horizontal="center" vertical="center" wrapText="1"/>
    </xf>
    <xf numFmtId="49" fontId="19" fillId="0" borderId="6" xfId="0" applyNumberFormat="1" applyFont="1" applyBorder="1" applyAlignment="1">
      <alignment horizontal="center" vertical="top" wrapText="1"/>
    </xf>
    <xf numFmtId="49" fontId="5" fillId="0" borderId="6" xfId="0" applyNumberFormat="1" applyFont="1" applyBorder="1" applyAlignment="1">
      <alignment horizontal="center" vertical="center" wrapText="1"/>
    </xf>
    <xf numFmtId="49" fontId="5" fillId="3" borderId="5" xfId="0" applyNumberFormat="1" applyFont="1" applyFill="1" applyBorder="1" applyAlignment="1">
      <alignment horizontal="center" vertical="center" wrapText="1"/>
    </xf>
    <xf numFmtId="49" fontId="19" fillId="0" borderId="3" xfId="0" applyNumberFormat="1" applyFont="1" applyBorder="1" applyAlignment="1">
      <alignment horizontal="center" wrapText="1"/>
    </xf>
    <xf numFmtId="49" fontId="5" fillId="0" borderId="5" xfId="0" applyNumberFormat="1" applyFont="1" applyBorder="1" applyAlignment="1">
      <alignment horizontal="center" wrapText="1"/>
    </xf>
    <xf numFmtId="49" fontId="19" fillId="0" borderId="5" xfId="0" applyNumberFormat="1" applyFont="1" applyBorder="1" applyAlignment="1">
      <alignment horizontal="center" wrapText="1"/>
    </xf>
    <xf numFmtId="49" fontId="5" fillId="0" borderId="16" xfId="0" applyNumberFormat="1" applyFont="1" applyBorder="1" applyAlignment="1">
      <alignment horizontal="center" vertical="center" wrapText="1"/>
    </xf>
    <xf numFmtId="49" fontId="5" fillId="0" borderId="1" xfId="0" applyNumberFormat="1" applyFont="1" applyBorder="1" applyAlignment="1">
      <alignment horizontal="center" wrapText="1"/>
    </xf>
    <xf numFmtId="49" fontId="5" fillId="0" borderId="5" xfId="0" applyNumberFormat="1" applyFont="1" applyBorder="1" applyAlignment="1">
      <alignment horizontal="center" vertical="top" wrapText="1"/>
    </xf>
    <xf numFmtId="49" fontId="45" fillId="0" borderId="5" xfId="0" applyNumberFormat="1" applyFont="1" applyBorder="1" applyAlignment="1">
      <alignment horizontal="center" vertical="top" wrapText="1"/>
    </xf>
    <xf numFmtId="49" fontId="19" fillId="0" borderId="6" xfId="0" applyNumberFormat="1" applyFont="1" applyBorder="1" applyAlignment="1">
      <alignment horizontal="center" vertical="center" wrapText="1"/>
    </xf>
    <xf numFmtId="49" fontId="13" fillId="0" borderId="5" xfId="0" applyNumberFormat="1" applyFont="1" applyBorder="1" applyAlignment="1">
      <alignment horizontal="center" vertical="top" wrapText="1"/>
    </xf>
    <xf numFmtId="49" fontId="0" fillId="0" borderId="0" xfId="0" applyNumberFormat="1" applyFont="1" applyAlignment="1">
      <alignment horizontal="center"/>
    </xf>
  </cellXfs>
  <cellStyles count="37">
    <cellStyle name="Accent 1 1" xfId="1"/>
    <cellStyle name="Accent 1 6" xfId="2"/>
    <cellStyle name="Accent 2 1" xfId="3"/>
    <cellStyle name="Accent 2 7" xfId="4"/>
    <cellStyle name="Accent 3 1" xfId="5"/>
    <cellStyle name="Accent 3 8" xfId="6"/>
    <cellStyle name="Accent 4" xfId="7"/>
    <cellStyle name="Accent 5" xfId="8"/>
    <cellStyle name="Bad 1" xfId="9"/>
    <cellStyle name="Bad 9" xfId="10"/>
    <cellStyle name="Error 1" xfId="11"/>
    <cellStyle name="Error 10" xfId="12"/>
    <cellStyle name="Euro" xfId="13"/>
    <cellStyle name="Footnote 1" xfId="14"/>
    <cellStyle name="Footnote 11" xfId="15"/>
    <cellStyle name="Good 1" xfId="16"/>
    <cellStyle name="Good 12" xfId="17"/>
    <cellStyle name="Heading (user) 13" xfId="18"/>
    <cellStyle name="Heading 1 1" xfId="19"/>
    <cellStyle name="Heading 1 14" xfId="20"/>
    <cellStyle name="Heading 2 1" xfId="21"/>
    <cellStyle name="Heading 2 15" xfId="22"/>
    <cellStyle name="Heading 3" xfId="23"/>
    <cellStyle name="Hyperlink 1" xfId="24"/>
    <cellStyle name="Hyperlink 16" xfId="25"/>
    <cellStyle name="Neutral 1" xfId="26"/>
    <cellStyle name="Normal" xfId="0" builtinId="0"/>
    <cellStyle name="Normal 2" xfId="27"/>
    <cellStyle name="Normal 3" xfId="28"/>
    <cellStyle name="Note 1" xfId="29"/>
    <cellStyle name="Note 17" xfId="30"/>
    <cellStyle name="Status 1" xfId="31"/>
    <cellStyle name="Status 18" xfId="32"/>
    <cellStyle name="Text 1" xfId="33"/>
    <cellStyle name="Text 19" xfId="34"/>
    <cellStyle name="Warning 1" xfId="35"/>
    <cellStyle name="Warning 20" xfId="36"/>
  </cellStyles>
  <dxfs count="89">
    <dxf>
      <font>
        <b val="0"/>
      </font>
    </dxf>
    <dxf>
      <font>
        <b val="0"/>
        <i/>
        <strike val="0"/>
        <condense val="0"/>
        <extend val="0"/>
        <outline val="0"/>
        <shadow val="0"/>
        <u val="none"/>
        <vertAlign val="baseline"/>
        <sz val="10"/>
        <color rgb="FF000000"/>
        <name val="Arial"/>
        <scheme val="none"/>
      </font>
      <numFmt numFmtId="168" formatCode="dd/mm/yy;@"/>
      <alignment horizontal="center" vertical="top" textRotation="0" wrapText="1" indent="0" relativeIndent="0" justifyLastLine="0" shrinkToFit="0" mergeCell="0" readingOrder="0"/>
      <border diagonalUp="0" diagonalDown="0" outline="0">
        <left/>
        <right style="thin">
          <color auto="1"/>
        </right>
        <top style="thin">
          <color auto="1"/>
        </top>
        <bottom style="thin">
          <color auto="1"/>
        </bottom>
      </border>
    </dxf>
    <dxf>
      <font>
        <b/>
        <i val="0"/>
        <strike val="0"/>
        <condense val="0"/>
        <extend val="0"/>
        <outline val="0"/>
        <shadow val="0"/>
        <u val="none"/>
        <vertAlign val="baseline"/>
        <sz val="10"/>
        <color rgb="FF000000"/>
        <name val="Arial"/>
        <scheme val="none"/>
      </font>
      <numFmt numFmtId="1" formatCode="0"/>
      <alignment horizontal="center" vertical="center" textRotation="0" wrapText="1" indent="0" relativeIndent="0" justifyLastLine="0" shrinkToFit="0" mergeCell="0" readingOrder="0"/>
      <border diagonalUp="0" diagonalDown="0" outline="0">
        <left style="thin">
          <color auto="1"/>
        </left>
        <right/>
        <top style="thin">
          <color auto="1"/>
        </top>
        <bottom style="thin">
          <color auto="1"/>
        </bottom>
      </border>
    </dxf>
    <dxf>
      <font>
        <b/>
        <i val="0"/>
        <strike val="0"/>
        <condense val="0"/>
        <extend val="0"/>
        <outline val="0"/>
        <shadow val="0"/>
        <u val="none"/>
        <vertAlign val="baseline"/>
        <sz val="10"/>
        <color rgb="FF000000"/>
        <name val="Arial"/>
        <scheme val="none"/>
      </font>
      <fill>
        <patternFill patternType="none">
          <fgColor indexed="64"/>
          <bgColor indexed="65"/>
        </patternFill>
      </fill>
      <alignment horizontal="center" vertical="bottom" textRotation="0" wrapText="1" indent="0" relativeIndent="0" justifyLastLine="0" shrinkToFit="0" mergeCell="0" readingOrder="0"/>
    </dxf>
    <dxf>
      <font>
        <b/>
        <i val="0"/>
        <strike val="0"/>
        <condense val="0"/>
        <extend val="0"/>
        <outline val="0"/>
        <shadow val="0"/>
        <u val="none"/>
        <vertAlign val="baseline"/>
        <sz val="10"/>
        <color rgb="FF000000"/>
        <name val="Arial"/>
        <scheme val="none"/>
      </font>
      <alignment horizontal="center" vertical="center" textRotation="0" wrapText="1" indent="0" relativeIndent="0" justifyLastLine="0" shrinkToFit="0" mergeCell="0" readingOrder="0"/>
      <border diagonalUp="0" diagonalDown="0" outline="0">
        <left style="thin">
          <color auto="1"/>
        </left>
        <right style="thin">
          <color auto="1"/>
        </right>
        <top/>
        <bottom/>
      </border>
    </dxf>
    <dxf>
      <font>
        <b val="0"/>
        <i/>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fill>
        <patternFill patternType="gray125">
          <fgColor rgb="FFFF0000"/>
          <bgColor indexed="65"/>
        </patternFill>
      </fill>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fill>
        <patternFill patternType="gray125">
          <fgColor rgb="FFFF0000"/>
          <bgColor indexed="65"/>
        </patternFill>
      </fill>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fill>
        <patternFill patternType="gray125">
          <fgColor rgb="FFFF0000"/>
          <bgColor indexed="65"/>
        </patternFill>
      </fill>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fill>
        <patternFill patternType="gray125">
          <fgColor rgb="FFFF0000"/>
          <bgColor indexed="65"/>
        </patternFill>
      </fill>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fill>
        <patternFill patternType="gray125">
          <fgColor rgb="FFFF0000"/>
          <bgColor indexed="65"/>
        </patternFill>
      </fill>
      <alignment horizontal="center"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fill>
        <patternFill patternType="gray125">
          <fgColor rgb="FFFF0000"/>
          <bgColor indexed="65"/>
        </patternFill>
      </fill>
      <alignment horizontal="center" vertical="bottom"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bottom"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bottom"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bottom"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bottom"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left"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bottom"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left" vertical="top"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center"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alignment horizontal="center" vertical="center" textRotation="0" wrapText="1"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000000"/>
        <name val="Arial"/>
        <scheme val="none"/>
      </font>
      <numFmt numFmtId="168" formatCode="dd/mm/yy;@"/>
      <alignment horizontal="center" vertical="center"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68" formatCode="dd/mm/yy;@"/>
      <alignment horizontal="center" vertical="center"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alignment horizontal="left"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67" formatCode="&quot;$&quot;#,##0.00"/>
      <alignment horizontal="left"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2" formatCode="0.00"/>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2" formatCode="0.00"/>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2" formatCode="0.00"/>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2" formatCode="0.00"/>
      <fill>
        <patternFill patternType="gray125">
          <fgColor rgb="FFFF0000"/>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2" formatCode="0.0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2" formatCode="0.0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2" formatCode="0.0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2" formatCode="0.0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2" formatCode="0.0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30" formatCode="@"/>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vertical/>
        <horizontal/>
      </border>
    </dxf>
    <dxf>
      <font>
        <b/>
        <i val="0"/>
        <strike val="0"/>
        <condense val="0"/>
        <extend val="0"/>
        <outline val="0"/>
        <shadow val="0"/>
        <u val="none"/>
        <vertAlign val="baseline"/>
        <sz val="10"/>
        <color rgb="FF000000"/>
        <name val="Arial"/>
        <scheme val="none"/>
      </font>
      <fill>
        <patternFill patternType="none">
          <fgColor indexed="64"/>
          <bgColor indexed="65"/>
        </patternFill>
      </fill>
      <alignment horizontal="center" vertical="bottom" textRotation="0" wrapText="1" indent="0" relativeIndent="0"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 name="Tabla1" displayName="Tabla1" ref="A1:AU229">
  <autoFilter ref="A1:AU229"/>
  <tableColumns count="47">
    <tableColumn id="1" name="MES" totalsRowLabel="Total" dataDxfId="88" totalsRowDxfId="3"/>
    <tableColumn id="2" name="LEGAJO" dataDxfId="2" totalsRowDxfId="4"/>
    <tableColumn id="3" name="EXPEDIENTE" dataDxfId="0"/>
    <tableColumn id="4" name="INGRESO" dataDxfId="1" totalsRowDxfId="5"/>
    <tableColumn id="5" name="Plano de Mensura" dataDxfId="87" totalsRowDxfId="6"/>
    <tableColumn id="6" name="Partida Provincial" dataDxfId="86" totalsRowDxfId="7"/>
    <tableColumn id="7" name="Partida Municipal" dataDxfId="85" totalsRowDxfId="8"/>
    <tableColumn id="8" name="Concesión" dataDxfId="84" totalsRowDxfId="9"/>
    <tableColumn id="9" name="Ex-Quinta" dataDxfId="83" totalsRowDxfId="10"/>
    <tableColumn id="10" name="Manzana" dataDxfId="82" totalsRowDxfId="11"/>
    <tableColumn id="11" name="Parcela" dataDxfId="81" totalsRowDxfId="12"/>
    <tableColumn id="12" name="Zonificación" dataDxfId="80" totalsRowDxfId="13"/>
    <tableColumn id="13" name="Ubicación" dataDxfId="79" totalsRowDxfId="14"/>
    <tableColumn id="14" name="Propietario" dataDxfId="78" totalsRowDxfId="15"/>
    <tableColumn id="15" name="Nombre del Establecimiento y/o empresa" dataDxfId="77" totalsRowDxfId="16"/>
    <tableColumn id="16" name="Proyecto" dataDxfId="76" totalsRowDxfId="17"/>
    <tableColumn id="17" name="Dirección de obra" dataDxfId="75" totalsRowDxfId="18"/>
    <tableColumn id="18" name="Estructura" dataDxfId="74" totalsRowDxfId="19"/>
    <tableColumn id="19" name="Constructor" dataDxfId="73" totalsRowDxfId="20"/>
    <tableColumn id="20" name="RELEVAMIENTO o existente" dataDxfId="72" totalsRowDxfId="21"/>
    <tableColumn id="21" name="A CONTRUIR / OBRA NUEVA" dataDxfId="71" totalsRowDxfId="22"/>
    <tableColumn id="22" name="AMPLIACION de obra existente" dataDxfId="70" totalsRowDxfId="23"/>
    <tableColumn id="23" name="PROYECTADO (no iniciado)" dataDxfId="69" totalsRowDxfId="24"/>
    <tableColumn id="24" name="USO" dataDxfId="68" totalsRowDxfId="25"/>
    <tableColumn id="25" name="Cantidad de Habitaciones (dormitorios) Existente" dataDxfId="67" totalsRowDxfId="26"/>
    <tableColumn id="26" name="Cantidad de Habitaciones (dormitorios) Nuevas" dataDxfId="66" totalsRowDxfId="27"/>
    <tableColumn id="27" name="Locales de 1º, Habitables Existente" dataDxfId="65" totalsRowDxfId="28"/>
    <tableColumn id="28" name="Locales de 1º, Habitables Nuevos" dataDxfId="64" totalsRowDxfId="29"/>
    <tableColumn id="29" name="N° de Plazas Existente" dataDxfId="63" totalsRowDxfId="30"/>
    <tableColumn id="30" name="N° de Plazas Nuevas" dataDxfId="62" totalsRowDxfId="31"/>
    <tableColumn id="31" name="M² existentes (con antecedente) Vivienda" dataDxfId="61" totalsRowDxfId="32"/>
    <tableColumn id="32" name="M² existentes (con antecedente) Local" dataDxfId="60" totalsRowDxfId="33"/>
    <tableColumn id="33" name="M² existentes (relevados) Vivienda" dataDxfId="59" totalsRowDxfId="34"/>
    <tableColumn id="34" name="M² existentes (relevados) Local" dataDxfId="58" totalsRowDxfId="35"/>
    <tableColumn id="35" name="M²     (a construir Vivienda" dataDxfId="57" totalsRowDxfId="36"/>
    <tableColumn id="36" name="M²     (a construir Local" dataDxfId="56" totalsRowDxfId="37"/>
    <tableColumn id="37" name="Terreno" dataDxfId="55" totalsRowDxfId="38"/>
    <tableColumn id="38" name="F. O. S." dataDxfId="54" totalsRowDxfId="39"/>
    <tableColumn id="39" name="F. O. T." dataDxfId="53" totalsRowDxfId="40"/>
    <tableColumn id="40" name="CATEGORIA" dataDxfId="52" totalsRowDxfId="41"/>
    <tableColumn id="41" name="Monto de la Inversión (estimado y/o declarado)"/>
    <tableColumn id="42" name="Derechos de edificación" dataDxfId="51" totalsRowDxfId="42"/>
    <tableColumn id="43" name="TITULO PROFESIONAL" dataDxfId="50" totalsRowDxfId="43"/>
    <tableColumn id="44" name="Observaciones" dataDxfId="49" totalsRowDxfId="44"/>
    <tableColumn id="45" name="VISADO" dataDxfId="48" totalsRowDxfId="45"/>
    <tableColumn id="46" name="FINAL OBRA" dataDxfId="47" totalsRowDxfId="46"/>
    <tableColumn id="47" name="AVANCE DE OBRA" totalsRowFunction="count"/>
  </tableColumns>
  <tableStyleInfo name="TableStyleLight16"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XFD246"/>
  <sheetViews>
    <sheetView tabSelected="1" workbookViewId="0">
      <selection activeCell="C4" sqref="C4"/>
    </sheetView>
  </sheetViews>
  <sheetFormatPr baseColWidth="10" defaultColWidth="9" defaultRowHeight="14.25"/>
  <cols>
    <col min="1" max="1" width="9.5" style="283" customWidth="1"/>
    <col min="2" max="2" width="9.75" style="103" customWidth="1"/>
    <col min="3" max="3" width="12.75" style="302" customWidth="1"/>
    <col min="4" max="4" width="11.875" style="225" customWidth="1"/>
    <col min="5" max="5" width="17.125" style="109" customWidth="1"/>
    <col min="6" max="6" width="17" style="109" customWidth="1"/>
    <col min="7" max="7" width="16.75" style="109" customWidth="1"/>
    <col min="8" max="8" width="11" style="109" customWidth="1"/>
    <col min="9" max="9" width="10.5" style="109" customWidth="1"/>
    <col min="10" max="10" width="10" style="109" customWidth="1"/>
    <col min="11" max="11" width="9.25" style="109" customWidth="1"/>
    <col min="12" max="12" width="12.375" style="203" customWidth="1"/>
    <col min="13" max="13" width="12.125" style="203" customWidth="1"/>
    <col min="14" max="14" width="11.875" style="257" customWidth="1"/>
    <col min="15" max="15" width="32.625" style="203" customWidth="1"/>
    <col min="16" max="16" width="11.25" style="203" customWidth="1"/>
    <col min="17" max="17" width="16.875" style="203" customWidth="1"/>
    <col min="18" max="18" width="10.625" style="203" customWidth="1"/>
    <col min="19" max="19" width="11.75" style="203" customWidth="1"/>
    <col min="20" max="20" width="24.625" style="109" customWidth="1"/>
    <col min="21" max="21" width="24.875" style="109" customWidth="1"/>
    <col min="22" max="22" width="27.375" style="109" customWidth="1"/>
    <col min="23" max="23" width="24.25" style="109" customWidth="1"/>
    <col min="24" max="24" width="10" style="203" customWidth="1"/>
    <col min="25" max="25" width="41.375" style="109" customWidth="1"/>
    <col min="26" max="26" width="39.875" style="109" customWidth="1"/>
    <col min="27" max="27" width="30.5" style="109" customWidth="1"/>
    <col min="28" max="28" width="29" style="109" customWidth="1"/>
    <col min="29" max="29" width="20.5" style="109" customWidth="1"/>
    <col min="30" max="30" width="19" style="109" customWidth="1"/>
    <col min="31" max="31" width="35.375" style="155" customWidth="1"/>
    <col min="32" max="32" width="32.75" style="155" customWidth="1"/>
    <col min="33" max="33" width="29.875" style="155" customWidth="1"/>
    <col min="34" max="34" width="27.25" style="155" customWidth="1"/>
    <col min="35" max="35" width="23.5" style="155" customWidth="1"/>
    <col min="36" max="36" width="20.875" style="155" customWidth="1"/>
    <col min="37" max="37" width="9" style="155" customWidth="1"/>
    <col min="38" max="38" width="8.625" style="155" customWidth="1"/>
    <col min="39" max="39" width="8.5" style="155" customWidth="1"/>
    <col min="40" max="40" width="12.25" style="109" customWidth="1"/>
    <col min="41" max="41" width="40" style="191" customWidth="1"/>
    <col min="42" max="42" width="21.875" style="192" customWidth="1"/>
    <col min="43" max="43" width="20.75" style="203" customWidth="1"/>
    <col min="44" max="44" width="47.5" customWidth="1"/>
    <col min="45" max="45" width="10.75" style="225" customWidth="1"/>
    <col min="46" max="46" width="12.625" style="225" customWidth="1"/>
    <col min="47" max="47" width="17.125" style="70" customWidth="1"/>
    <col min="48" max="1025" width="6.625" customWidth="1"/>
  </cols>
  <sheetData>
    <row r="1" spans="1:256" s="76" customFormat="1" ht="26.25" thickBot="1">
      <c r="A1" s="270" t="s">
        <v>1229</v>
      </c>
      <c r="B1" s="77" t="s">
        <v>0</v>
      </c>
      <c r="C1" s="291" t="s">
        <v>1</v>
      </c>
      <c r="D1" s="226" t="s">
        <v>2</v>
      </c>
      <c r="E1" s="105" t="s">
        <v>3</v>
      </c>
      <c r="F1" s="105" t="s">
        <v>4</v>
      </c>
      <c r="G1" s="105" t="s">
        <v>5</v>
      </c>
      <c r="H1" s="105" t="s">
        <v>6</v>
      </c>
      <c r="I1" s="105" t="s">
        <v>7</v>
      </c>
      <c r="J1" s="105" t="s">
        <v>8</v>
      </c>
      <c r="K1" s="105" t="s">
        <v>9</v>
      </c>
      <c r="L1" s="71" t="s">
        <v>10</v>
      </c>
      <c r="M1" s="71" t="s">
        <v>11</v>
      </c>
      <c r="N1" s="71" t="s">
        <v>12</v>
      </c>
      <c r="O1" s="72" t="s">
        <v>13</v>
      </c>
      <c r="P1" s="71" t="s">
        <v>14</v>
      </c>
      <c r="Q1" s="71" t="s">
        <v>15</v>
      </c>
      <c r="R1" s="71" t="s">
        <v>16</v>
      </c>
      <c r="S1" s="71" t="s">
        <v>17</v>
      </c>
      <c r="T1" s="105" t="s">
        <v>18</v>
      </c>
      <c r="U1" s="105" t="s">
        <v>19</v>
      </c>
      <c r="V1" s="105" t="s">
        <v>20</v>
      </c>
      <c r="W1" s="105" t="s">
        <v>21</v>
      </c>
      <c r="X1" s="71" t="s">
        <v>1230</v>
      </c>
      <c r="Y1" s="86" t="s">
        <v>1231</v>
      </c>
      <c r="Z1" s="86" t="s">
        <v>1232</v>
      </c>
      <c r="AA1" s="86" t="s">
        <v>1233</v>
      </c>
      <c r="AB1" s="86" t="s">
        <v>1234</v>
      </c>
      <c r="AC1" s="86" t="s">
        <v>1235</v>
      </c>
      <c r="AD1" s="86" t="s">
        <v>1236</v>
      </c>
      <c r="AE1" s="113" t="s">
        <v>1237</v>
      </c>
      <c r="AF1" s="113" t="s">
        <v>1238</v>
      </c>
      <c r="AG1" s="113" t="s">
        <v>1239</v>
      </c>
      <c r="AH1" s="113" t="s">
        <v>1240</v>
      </c>
      <c r="AI1" s="113" t="s">
        <v>1241</v>
      </c>
      <c r="AJ1" s="113" t="s">
        <v>1242</v>
      </c>
      <c r="AK1" s="114" t="s">
        <v>22</v>
      </c>
      <c r="AL1" s="114" t="s">
        <v>23</v>
      </c>
      <c r="AM1" s="114" t="s">
        <v>24</v>
      </c>
      <c r="AN1" s="156" t="s">
        <v>25</v>
      </c>
      <c r="AO1" s="166" t="s">
        <v>26</v>
      </c>
      <c r="AP1" s="167" t="s">
        <v>27</v>
      </c>
      <c r="AQ1" s="74" t="s">
        <v>1243</v>
      </c>
      <c r="AR1" s="75" t="s">
        <v>28</v>
      </c>
      <c r="AS1" s="210" t="s">
        <v>1244</v>
      </c>
      <c r="AT1" s="210" t="s">
        <v>1245</v>
      </c>
      <c r="AU1" s="73" t="s">
        <v>29</v>
      </c>
    </row>
    <row r="2" spans="1:256" s="10" customFormat="1" ht="38.25">
      <c r="A2" s="271" t="s">
        <v>30</v>
      </c>
      <c r="B2" s="78">
        <v>1</v>
      </c>
      <c r="C2" s="193">
        <v>524091</v>
      </c>
      <c r="D2" s="227">
        <v>44041</v>
      </c>
      <c r="E2" s="1">
        <v>57659</v>
      </c>
      <c r="F2" s="1">
        <v>166211</v>
      </c>
      <c r="G2" s="1">
        <v>10338</v>
      </c>
      <c r="H2" s="1"/>
      <c r="I2" s="1"/>
      <c r="J2" s="1">
        <v>280</v>
      </c>
      <c r="K2" s="1"/>
      <c r="L2" s="204" t="s">
        <v>31</v>
      </c>
      <c r="M2" s="204" t="s">
        <v>32</v>
      </c>
      <c r="N2" s="204"/>
      <c r="O2" s="204" t="s">
        <v>33</v>
      </c>
      <c r="P2" s="204" t="s">
        <v>34</v>
      </c>
      <c r="Q2" s="204"/>
      <c r="R2" s="204"/>
      <c r="S2" s="204"/>
      <c r="T2" s="1">
        <v>1</v>
      </c>
      <c r="U2" s="2"/>
      <c r="V2" s="1"/>
      <c r="W2" s="1"/>
      <c r="X2" s="204" t="s">
        <v>35</v>
      </c>
      <c r="Y2" s="1"/>
      <c r="Z2" s="2"/>
      <c r="AA2" s="3"/>
      <c r="AB2" s="2"/>
      <c r="AC2" s="3"/>
      <c r="AD2" s="2"/>
      <c r="AE2" s="115"/>
      <c r="AF2" s="115">
        <f>236.46+318.33/2</f>
        <v>395.625</v>
      </c>
      <c r="AG2" s="115"/>
      <c r="AH2" s="115"/>
      <c r="AI2" s="116"/>
      <c r="AJ2" s="117"/>
      <c r="AK2" s="118">
        <v>1479.08</v>
      </c>
      <c r="AL2" s="118">
        <v>0.35</v>
      </c>
      <c r="AM2" s="118">
        <f>+AF2/AK2</f>
        <v>0.26748046082700055</v>
      </c>
      <c r="AN2" s="157"/>
      <c r="AO2" s="168"/>
      <c r="AP2" s="169">
        <v>11883.25</v>
      </c>
      <c r="AQ2" s="193" t="s">
        <v>36</v>
      </c>
      <c r="AR2" s="5" t="s">
        <v>37</v>
      </c>
      <c r="AS2" s="211">
        <v>44203</v>
      </c>
      <c r="AT2" s="211"/>
      <c r="AU2" s="7" t="s">
        <v>38</v>
      </c>
      <c r="AV2" s="8"/>
      <c r="AW2" s="8"/>
      <c r="AX2" s="8"/>
      <c r="AY2" s="8"/>
      <c r="AZ2" s="8"/>
      <c r="BA2" s="8"/>
      <c r="BB2" s="8"/>
      <c r="BC2" s="8"/>
      <c r="BD2" s="8"/>
      <c r="BE2" s="8"/>
      <c r="BF2" s="8"/>
      <c r="BG2" s="9"/>
      <c r="BH2" s="9"/>
      <c r="BI2" s="9"/>
      <c r="BJ2" s="9"/>
      <c r="BK2" s="9"/>
      <c r="BL2" s="9"/>
      <c r="BM2" s="9"/>
      <c r="BN2" s="9"/>
      <c r="BO2" s="9"/>
      <c r="BP2" s="9"/>
      <c r="BQ2" s="9"/>
      <c r="BR2" s="9"/>
      <c r="BS2" s="9"/>
      <c r="BT2" s="9"/>
      <c r="BU2" s="9"/>
      <c r="BV2" s="9"/>
      <c r="IP2" s="9"/>
      <c r="IQ2" s="9"/>
      <c r="IR2" s="9"/>
      <c r="IS2" s="9"/>
      <c r="IT2" s="9"/>
      <c r="IU2" s="9"/>
      <c r="IV2" s="9"/>
    </row>
    <row r="3" spans="1:256" s="18" customFormat="1" ht="63.75">
      <c r="A3" s="272"/>
      <c r="B3" s="79">
        <v>2</v>
      </c>
      <c r="C3" s="200">
        <v>523391</v>
      </c>
      <c r="D3" s="228">
        <v>44071</v>
      </c>
      <c r="E3" s="53">
        <v>13930</v>
      </c>
      <c r="F3" s="53">
        <v>50334</v>
      </c>
      <c r="G3" s="53">
        <v>20047</v>
      </c>
      <c r="H3" s="53">
        <v>48</v>
      </c>
      <c r="I3" s="53"/>
      <c r="J3" s="53">
        <v>379</v>
      </c>
      <c r="K3" s="53">
        <v>2</v>
      </c>
      <c r="L3" s="205" t="s">
        <v>39</v>
      </c>
      <c r="M3" s="205" t="s">
        <v>40</v>
      </c>
      <c r="N3" s="205" t="s">
        <v>41</v>
      </c>
      <c r="O3" s="205"/>
      <c r="P3" s="205" t="s">
        <v>42</v>
      </c>
      <c r="Q3" s="205" t="s">
        <v>42</v>
      </c>
      <c r="R3" s="205" t="s">
        <v>42</v>
      </c>
      <c r="S3" s="205" t="s">
        <v>43</v>
      </c>
      <c r="T3" s="53"/>
      <c r="U3" s="54">
        <v>3</v>
      </c>
      <c r="V3" s="53"/>
      <c r="W3" s="53"/>
      <c r="X3" s="205" t="s">
        <v>44</v>
      </c>
      <c r="Y3" s="53"/>
      <c r="Z3" s="54">
        <f>2+1</f>
        <v>3</v>
      </c>
      <c r="AA3" s="55"/>
      <c r="AB3" s="54">
        <f>+Z3+1</f>
        <v>4</v>
      </c>
      <c r="AC3" s="55"/>
      <c r="AD3" s="54">
        <f>+Z3*2</f>
        <v>6</v>
      </c>
      <c r="AE3" s="119"/>
      <c r="AF3" s="119"/>
      <c r="AG3" s="119"/>
      <c r="AH3" s="120"/>
      <c r="AI3" s="121">
        <f>52.83+19.28/2+55.24+19.85/2</f>
        <v>127.63500000000001</v>
      </c>
      <c r="AJ3" s="121"/>
      <c r="AK3" s="120">
        <v>3560.24</v>
      </c>
      <c r="AL3" s="120">
        <f>+(55.24+19.85)/AK3</f>
        <v>2.1091274745522776E-2</v>
      </c>
      <c r="AM3" s="120">
        <f>+AI3/AK3</f>
        <v>3.5850111228456515E-2</v>
      </c>
      <c r="AN3" s="158"/>
      <c r="AO3" s="170">
        <f>+(6*16157*12923*5+9693*8+6462)/20*AI3</f>
        <v>39975226708.518005</v>
      </c>
      <c r="AP3" s="171">
        <v>24858.82</v>
      </c>
      <c r="AQ3" s="194" t="s">
        <v>45</v>
      </c>
      <c r="AR3" s="14" t="s">
        <v>46</v>
      </c>
      <c r="AS3" s="212">
        <v>44204</v>
      </c>
      <c r="AT3" s="213"/>
      <c r="AU3" s="15" t="s">
        <v>47</v>
      </c>
      <c r="AV3" s="16"/>
      <c r="AW3" s="16"/>
      <c r="AX3" s="16"/>
      <c r="AY3" s="16"/>
      <c r="AZ3" s="16"/>
      <c r="BA3" s="16"/>
      <c r="BB3" s="16"/>
      <c r="BC3" s="16"/>
      <c r="BD3" s="16"/>
      <c r="BE3" s="17"/>
      <c r="BF3" s="17"/>
      <c r="BG3" s="17"/>
      <c r="BH3" s="17"/>
      <c r="BI3" s="17"/>
      <c r="BJ3" s="17"/>
      <c r="BK3" s="17"/>
      <c r="BL3" s="17"/>
      <c r="BM3" s="17"/>
      <c r="BN3" s="17"/>
      <c r="BO3" s="17"/>
      <c r="BP3" s="17"/>
      <c r="BQ3" s="17"/>
      <c r="BR3" s="17"/>
      <c r="BS3" s="17"/>
      <c r="BT3" s="17"/>
      <c r="IN3" s="17"/>
      <c r="IO3" s="17"/>
      <c r="IP3" s="17"/>
      <c r="IQ3" s="17"/>
      <c r="IR3" s="17"/>
      <c r="IS3" s="17"/>
      <c r="IT3" s="17"/>
      <c r="IU3" s="17"/>
      <c r="IV3" s="17"/>
    </row>
    <row r="4" spans="1:256" s="10" customFormat="1" ht="63.75">
      <c r="A4" s="272"/>
      <c r="B4" s="80">
        <v>3</v>
      </c>
      <c r="C4" s="193">
        <v>524617</v>
      </c>
      <c r="D4" s="227">
        <v>44113</v>
      </c>
      <c r="E4" s="1"/>
      <c r="F4" s="1"/>
      <c r="G4" s="1">
        <v>4843</v>
      </c>
      <c r="H4" s="1"/>
      <c r="I4" s="1"/>
      <c r="J4" s="1">
        <v>133</v>
      </c>
      <c r="K4" s="1"/>
      <c r="L4" s="204" t="s">
        <v>48</v>
      </c>
      <c r="M4" s="204" t="s">
        <v>49</v>
      </c>
      <c r="N4" s="204" t="s">
        <v>50</v>
      </c>
      <c r="O4" s="204"/>
      <c r="P4" s="204" t="s">
        <v>51</v>
      </c>
      <c r="Q4" s="204" t="s">
        <v>51</v>
      </c>
      <c r="R4" s="204" t="s">
        <v>51</v>
      </c>
      <c r="S4" s="204" t="s">
        <v>52</v>
      </c>
      <c r="T4" s="1"/>
      <c r="U4" s="2">
        <f>1+2</f>
        <v>3</v>
      </c>
      <c r="V4" s="1"/>
      <c r="W4" s="1"/>
      <c r="X4" s="204" t="s">
        <v>53</v>
      </c>
      <c r="Y4" s="1"/>
      <c r="Z4" s="2">
        <v>2</v>
      </c>
      <c r="AA4" s="3"/>
      <c r="AB4" s="2">
        <f>+Z4+1</f>
        <v>3</v>
      </c>
      <c r="AC4" s="3"/>
      <c r="AD4" s="2">
        <f>+Z4*2</f>
        <v>4</v>
      </c>
      <c r="AE4" s="115"/>
      <c r="AF4" s="115"/>
      <c r="AG4" s="115"/>
      <c r="AH4" s="115"/>
      <c r="AI4" s="116">
        <f>44.35/2+2.76+122.28</f>
        <v>147.215</v>
      </c>
      <c r="AJ4" s="117">
        <v>74.84</v>
      </c>
      <c r="AK4" s="118">
        <v>150.30000000000001</v>
      </c>
      <c r="AL4" s="118">
        <f>+(74.84+44.35+2.76)/AK4</f>
        <v>0.81137724550898205</v>
      </c>
      <c r="AM4" s="118">
        <f>+(AI4+AJ4)/AK4</f>
        <v>1.4774118429807053</v>
      </c>
      <c r="AN4" s="157"/>
      <c r="AO4" s="168">
        <f>+((8*16157+6*12923+6*9693+2*6462)/21*AI4)+AJ712996</f>
        <v>1947976.9209523811</v>
      </c>
      <c r="AP4" s="169">
        <v>13709.94</v>
      </c>
      <c r="AQ4" s="193" t="s">
        <v>36</v>
      </c>
      <c r="AR4" s="5" t="s">
        <v>54</v>
      </c>
      <c r="AS4" s="211">
        <v>44204</v>
      </c>
      <c r="AT4" s="211"/>
      <c r="AU4" s="7" t="s">
        <v>55</v>
      </c>
      <c r="AV4" s="8"/>
      <c r="AW4" s="8"/>
      <c r="AX4" s="8"/>
      <c r="AY4" s="8"/>
      <c r="AZ4" s="8"/>
      <c r="BA4" s="8"/>
      <c r="BB4" s="8"/>
      <c r="BC4" s="8"/>
      <c r="BD4" s="8"/>
      <c r="BE4" s="8"/>
      <c r="BF4" s="8"/>
      <c r="BG4" s="9"/>
      <c r="BH4" s="9"/>
      <c r="BI4" s="9"/>
      <c r="BJ4" s="9"/>
      <c r="BK4" s="9"/>
      <c r="BL4" s="9"/>
      <c r="BM4" s="9"/>
      <c r="BN4" s="9"/>
      <c r="BO4" s="9"/>
      <c r="BP4" s="9"/>
      <c r="BQ4" s="9"/>
      <c r="BR4" s="9"/>
      <c r="BS4" s="9"/>
      <c r="BT4" s="9"/>
      <c r="BU4" s="9"/>
      <c r="BV4" s="9"/>
      <c r="IP4" s="9"/>
      <c r="IQ4" s="9"/>
      <c r="IR4" s="9"/>
      <c r="IS4" s="9"/>
      <c r="IT4" s="9"/>
      <c r="IU4" s="9"/>
      <c r="IV4" s="9"/>
    </row>
    <row r="5" spans="1:256" s="10" customFormat="1" ht="63.75">
      <c r="A5" s="272"/>
      <c r="B5" s="80">
        <v>4</v>
      </c>
      <c r="C5" s="193" t="s">
        <v>56</v>
      </c>
      <c r="D5" s="227">
        <v>44145</v>
      </c>
      <c r="E5" s="1">
        <v>53564</v>
      </c>
      <c r="F5" s="1">
        <v>109498</v>
      </c>
      <c r="G5" s="1">
        <v>20159</v>
      </c>
      <c r="H5" s="1"/>
      <c r="I5" s="1"/>
      <c r="J5" s="1">
        <v>379</v>
      </c>
      <c r="K5" s="1">
        <v>1</v>
      </c>
      <c r="L5" s="204" t="s">
        <v>39</v>
      </c>
      <c r="M5" s="204" t="s">
        <v>57</v>
      </c>
      <c r="N5" s="204" t="s">
        <v>58</v>
      </c>
      <c r="O5" s="204"/>
      <c r="P5" s="204" t="s">
        <v>59</v>
      </c>
      <c r="Q5" s="204"/>
      <c r="R5" s="204"/>
      <c r="S5" s="204"/>
      <c r="T5" s="1">
        <v>2</v>
      </c>
      <c r="U5" s="2"/>
      <c r="V5" s="1"/>
      <c r="W5" s="1"/>
      <c r="X5" s="204" t="s">
        <v>44</v>
      </c>
      <c r="Y5" s="1">
        <f>1+1</f>
        <v>2</v>
      </c>
      <c r="Z5" s="2"/>
      <c r="AA5" s="3">
        <f>+Y5+1+1</f>
        <v>4</v>
      </c>
      <c r="AB5" s="2"/>
      <c r="AC5" s="3">
        <f>+Y5*2</f>
        <v>4</v>
      </c>
      <c r="AD5" s="2"/>
      <c r="AE5" s="115"/>
      <c r="AF5" s="115"/>
      <c r="AG5" s="115">
        <f>45.58+44.35+44.35</f>
        <v>134.28</v>
      </c>
      <c r="AH5" s="115"/>
      <c r="AI5" s="116"/>
      <c r="AJ5" s="117"/>
      <c r="AK5" s="118">
        <v>824.72</v>
      </c>
      <c r="AL5" s="118">
        <f>+(45.58+44.35)/AK5</f>
        <v>0.10904306916286741</v>
      </c>
      <c r="AM5" s="118">
        <f>+AG5/AK5</f>
        <v>0.16281889611019498</v>
      </c>
      <c r="AN5" s="157"/>
      <c r="AO5" s="168">
        <f>+((5*16157+12923*6+5*9693+4*6462)/20*AG5)</f>
        <v>1561918.1039999998</v>
      </c>
      <c r="AP5" s="169">
        <v>23893.53</v>
      </c>
      <c r="AQ5" s="193" t="s">
        <v>45</v>
      </c>
      <c r="AR5" s="5" t="s">
        <v>60</v>
      </c>
      <c r="AS5" s="211">
        <v>44207</v>
      </c>
      <c r="AT5" s="211"/>
      <c r="AU5" s="7" t="s">
        <v>61</v>
      </c>
      <c r="AV5" s="8"/>
      <c r="AW5" s="8"/>
      <c r="AX5" s="8"/>
      <c r="AY5" s="8"/>
      <c r="AZ5" s="8"/>
      <c r="BA5" s="8"/>
      <c r="BB5" s="8"/>
      <c r="BC5" s="8"/>
      <c r="BD5" s="8"/>
      <c r="BE5" s="8"/>
      <c r="BF5" s="8"/>
      <c r="BG5" s="9"/>
      <c r="BH5" s="9"/>
      <c r="BI5" s="9"/>
      <c r="BJ5" s="9"/>
      <c r="BK5" s="9"/>
      <c r="BL5" s="9"/>
      <c r="BM5" s="9"/>
      <c r="BN5" s="9"/>
      <c r="BO5" s="9"/>
      <c r="BP5" s="9"/>
      <c r="BQ5" s="9"/>
      <c r="BR5" s="9"/>
      <c r="BS5" s="9"/>
      <c r="BT5" s="9"/>
      <c r="BU5" s="9"/>
      <c r="BV5" s="9"/>
      <c r="IP5" s="9"/>
      <c r="IQ5" s="9"/>
      <c r="IR5" s="9"/>
      <c r="IS5" s="9"/>
      <c r="IT5" s="9"/>
      <c r="IU5" s="9"/>
      <c r="IV5" s="9"/>
    </row>
    <row r="6" spans="1:256" s="24" customFormat="1" ht="51">
      <c r="A6" s="272"/>
      <c r="B6" s="81">
        <v>5</v>
      </c>
      <c r="C6" s="290" t="s">
        <v>62</v>
      </c>
      <c r="D6" s="229">
        <v>44162</v>
      </c>
      <c r="E6" s="19">
        <v>53024</v>
      </c>
      <c r="F6" s="19">
        <v>162584</v>
      </c>
      <c r="G6" s="19">
        <v>33178</v>
      </c>
      <c r="H6" s="19">
        <v>327</v>
      </c>
      <c r="I6" s="19"/>
      <c r="J6" s="19">
        <v>11</v>
      </c>
      <c r="K6" s="19">
        <v>11</v>
      </c>
      <c r="L6" s="206" t="s">
        <v>39</v>
      </c>
      <c r="M6" s="206" t="s">
        <v>63</v>
      </c>
      <c r="N6" s="206" t="s">
        <v>64</v>
      </c>
      <c r="O6" s="206" t="s">
        <v>65</v>
      </c>
      <c r="P6" s="206" t="s">
        <v>66</v>
      </c>
      <c r="Q6" s="206"/>
      <c r="R6" s="206"/>
      <c r="S6" s="206"/>
      <c r="T6" s="19">
        <v>1</v>
      </c>
      <c r="U6" s="19"/>
      <c r="V6" s="19"/>
      <c r="W6" s="19"/>
      <c r="X6" s="206" t="s">
        <v>67</v>
      </c>
      <c r="Y6" s="19"/>
      <c r="Z6" s="19">
        <v>2</v>
      </c>
      <c r="AA6" s="19"/>
      <c r="AB6" s="19">
        <f>+Z6+1</f>
        <v>3</v>
      </c>
      <c r="AC6" s="19"/>
      <c r="AD6" s="19">
        <f>+Z6*2</f>
        <v>4</v>
      </c>
      <c r="AE6" s="122"/>
      <c r="AF6" s="122"/>
      <c r="AG6" s="122">
        <f>45.5+27.5/2+24</f>
        <v>83.25</v>
      </c>
      <c r="AH6" s="123"/>
      <c r="AI6" s="123"/>
      <c r="AJ6" s="124"/>
      <c r="AK6" s="124">
        <v>450.44</v>
      </c>
      <c r="AL6" s="124">
        <f>+(45.5+27.5)/AK6</f>
        <v>0.16206375987922919</v>
      </c>
      <c r="AM6" s="124">
        <f>+AG6/AK6</f>
        <v>0.18481928780747714</v>
      </c>
      <c r="AN6" s="159">
        <f>+(2+32+5+12)/(1+8+1+2)</f>
        <v>4.25</v>
      </c>
      <c r="AO6" s="172">
        <f>+(7*16157+12923*1+5*9693+6462*8)/21*AG6</f>
        <v>896654.03571428568</v>
      </c>
      <c r="AP6" s="173">
        <v>15007.15</v>
      </c>
      <c r="AQ6" s="195" t="s">
        <v>36</v>
      </c>
      <c r="AR6" s="20" t="s">
        <v>68</v>
      </c>
      <c r="AS6" s="214">
        <v>44207</v>
      </c>
      <c r="AT6" s="214"/>
      <c r="AU6" s="21" t="s">
        <v>69</v>
      </c>
      <c r="AV6" s="22"/>
      <c r="AW6" s="22"/>
      <c r="AX6" s="22"/>
      <c r="AY6" s="22"/>
      <c r="AZ6" s="22"/>
      <c r="BA6" s="22"/>
      <c r="BB6" s="22"/>
      <c r="BC6" s="22"/>
      <c r="BD6" s="22"/>
      <c r="BE6" s="22"/>
      <c r="BF6" s="22"/>
      <c r="BG6" s="23"/>
      <c r="BH6" s="23"/>
      <c r="BI6" s="23"/>
      <c r="BJ6" s="23"/>
      <c r="BK6" s="23"/>
      <c r="BL6" s="23"/>
      <c r="BM6" s="23"/>
      <c r="BN6" s="23"/>
      <c r="BO6" s="23"/>
      <c r="BP6" s="23"/>
      <c r="BQ6" s="23"/>
      <c r="BR6" s="23"/>
      <c r="BS6" s="23"/>
      <c r="BT6" s="23"/>
      <c r="BU6" s="23"/>
      <c r="BV6" s="23"/>
      <c r="IP6" s="23"/>
      <c r="IQ6" s="23"/>
      <c r="IR6" s="23"/>
      <c r="IS6" s="23"/>
      <c r="IT6" s="23"/>
      <c r="IU6" s="23"/>
      <c r="IV6" s="23"/>
    </row>
    <row r="7" spans="1:256" s="10" customFormat="1" ht="114.75">
      <c r="A7" s="272"/>
      <c r="B7" s="80">
        <v>6</v>
      </c>
      <c r="C7" s="193">
        <v>526326</v>
      </c>
      <c r="D7" s="227">
        <v>44175</v>
      </c>
      <c r="E7" s="1">
        <v>37273</v>
      </c>
      <c r="F7" s="1">
        <v>136570</v>
      </c>
      <c r="G7" s="1">
        <v>7830</v>
      </c>
      <c r="H7" s="1"/>
      <c r="I7" s="1"/>
      <c r="J7" s="1">
        <v>28</v>
      </c>
      <c r="K7" s="1">
        <v>18</v>
      </c>
      <c r="L7" s="204" t="s">
        <v>31</v>
      </c>
      <c r="M7" s="204" t="s">
        <v>70</v>
      </c>
      <c r="N7" s="204" t="s">
        <v>71</v>
      </c>
      <c r="O7" s="204"/>
      <c r="P7" s="204" t="s">
        <v>72</v>
      </c>
      <c r="Q7" s="204"/>
      <c r="R7" s="204"/>
      <c r="S7" s="204"/>
      <c r="T7" s="1">
        <f>1+3</f>
        <v>4</v>
      </c>
      <c r="U7" s="2"/>
      <c r="V7" s="1"/>
      <c r="W7" s="1"/>
      <c r="X7" s="204" t="s">
        <v>44</v>
      </c>
      <c r="Y7" s="1">
        <f>2+1+1+2</f>
        <v>6</v>
      </c>
      <c r="Z7" s="2"/>
      <c r="AA7" s="3">
        <f>+Y7+1+1</f>
        <v>8</v>
      </c>
      <c r="AB7" s="2"/>
      <c r="AC7" s="3">
        <f>+Y7*2</f>
        <v>12</v>
      </c>
      <c r="AD7" s="2"/>
      <c r="AE7" s="115"/>
      <c r="AF7" s="115"/>
      <c r="AG7" s="115">
        <f>74.35+14.37/2+29.61+28.8/2+48.12+5.08/2+2.88</f>
        <v>179.08499999999998</v>
      </c>
      <c r="AH7" s="115"/>
      <c r="AI7" s="116"/>
      <c r="AJ7" s="117"/>
      <c r="AK7" s="118">
        <v>411.35</v>
      </c>
      <c r="AL7" s="118">
        <f>+(74.35+14.35+29.61+28.8+48.12+5.08)/AK7</f>
        <v>0.48695757870426642</v>
      </c>
      <c r="AM7" s="118">
        <f>+AG7/AK7</f>
        <v>0.43535918317734285</v>
      </c>
      <c r="AN7" s="157">
        <f>36/9</f>
        <v>4</v>
      </c>
      <c r="AO7" s="168">
        <f>+((1*16157+12923*3+10*9693+6*6462)/20*AG7)</f>
        <v>1706930.7689999999</v>
      </c>
      <c r="AP7" s="169">
        <v>24910.79</v>
      </c>
      <c r="AQ7" s="193" t="s">
        <v>73</v>
      </c>
      <c r="AR7" s="5" t="s">
        <v>74</v>
      </c>
      <c r="AS7" s="211">
        <v>44207</v>
      </c>
      <c r="AT7" s="211"/>
      <c r="AU7" s="25" t="s">
        <v>61</v>
      </c>
      <c r="AV7" s="8"/>
      <c r="AW7" s="8"/>
      <c r="AX7" s="8"/>
      <c r="AY7" s="8"/>
      <c r="AZ7" s="8"/>
      <c r="BA7" s="8"/>
      <c r="BB7" s="8"/>
      <c r="BC7" s="8"/>
      <c r="BD7" s="8"/>
      <c r="BE7" s="8"/>
      <c r="BF7" s="8"/>
      <c r="BG7" s="9"/>
      <c r="BH7" s="9"/>
      <c r="BI7" s="9"/>
      <c r="BJ7" s="9"/>
      <c r="BK7" s="9"/>
      <c r="BL7" s="9"/>
      <c r="BM7" s="9"/>
      <c r="BN7" s="9"/>
      <c r="BO7" s="9"/>
      <c r="BP7" s="9"/>
      <c r="BQ7" s="9"/>
      <c r="BR7" s="9"/>
      <c r="BS7" s="9"/>
      <c r="BT7" s="9"/>
      <c r="BU7" s="9"/>
      <c r="BV7" s="9"/>
      <c r="IP7" s="9"/>
      <c r="IQ7" s="9"/>
      <c r="IR7" s="9"/>
      <c r="IS7" s="9"/>
      <c r="IT7" s="9"/>
      <c r="IU7" s="9"/>
      <c r="IV7" s="9"/>
    </row>
    <row r="8" spans="1:256" s="10" customFormat="1" ht="38.25">
      <c r="A8" s="272"/>
      <c r="B8" s="82">
        <v>7</v>
      </c>
      <c r="C8" s="193" t="s">
        <v>75</v>
      </c>
      <c r="D8" s="227">
        <v>44141</v>
      </c>
      <c r="E8" s="1">
        <v>58343</v>
      </c>
      <c r="F8" s="1">
        <v>166743</v>
      </c>
      <c r="G8" s="1">
        <v>10400</v>
      </c>
      <c r="H8" s="1"/>
      <c r="I8" s="1"/>
      <c r="J8" s="1">
        <v>135</v>
      </c>
      <c r="K8" s="1">
        <v>26</v>
      </c>
      <c r="L8" s="204" t="s">
        <v>48</v>
      </c>
      <c r="M8" s="204" t="s">
        <v>76</v>
      </c>
      <c r="N8" s="204" t="s">
        <v>77</v>
      </c>
      <c r="O8" s="204"/>
      <c r="P8" s="204" t="s">
        <v>78</v>
      </c>
      <c r="Q8" s="204" t="s">
        <v>78</v>
      </c>
      <c r="R8" s="204" t="s">
        <v>78</v>
      </c>
      <c r="S8" s="204" t="s">
        <v>52</v>
      </c>
      <c r="T8" s="1"/>
      <c r="U8" s="2">
        <v>1</v>
      </c>
      <c r="V8" s="1"/>
      <c r="W8" s="1"/>
      <c r="X8" s="204" t="s">
        <v>67</v>
      </c>
      <c r="Y8" s="1"/>
      <c r="Z8" s="2">
        <v>2</v>
      </c>
      <c r="AA8" s="3"/>
      <c r="AB8" s="2">
        <f>+Z8+1</f>
        <v>3</v>
      </c>
      <c r="AC8" s="3"/>
      <c r="AD8" s="2">
        <f>+Z8*2</f>
        <v>4</v>
      </c>
      <c r="AE8" s="115"/>
      <c r="AF8" s="115"/>
      <c r="AG8" s="115"/>
      <c r="AH8" s="115"/>
      <c r="AI8" s="116">
        <v>45.04</v>
      </c>
      <c r="AJ8" s="117"/>
      <c r="AK8" s="118">
        <v>148.13999999999999</v>
      </c>
      <c r="AL8" s="118">
        <f>+AI8/AK8</f>
        <v>0.3040367220197111</v>
      </c>
      <c r="AM8" s="118">
        <f>+AL8</f>
        <v>0.3040367220197111</v>
      </c>
      <c r="AN8" s="157"/>
      <c r="AO8" s="168">
        <f>+(16157+12923*2+9693*12+4*6462)/19*AI8+36500</f>
        <v>473072.72</v>
      </c>
      <c r="AP8" s="169">
        <v>3629.19</v>
      </c>
      <c r="AQ8" s="193" t="s">
        <v>36</v>
      </c>
      <c r="AR8" s="5" t="s">
        <v>79</v>
      </c>
      <c r="AS8" s="211">
        <v>44208</v>
      </c>
      <c r="AT8" s="211"/>
      <c r="AU8" s="7"/>
      <c r="AV8" s="8"/>
      <c r="AW8" s="8"/>
      <c r="AX8" s="8"/>
      <c r="AY8" s="8"/>
      <c r="AZ8" s="8"/>
      <c r="BA8" s="8"/>
      <c r="BB8" s="8"/>
      <c r="BC8" s="8"/>
      <c r="BD8" s="8"/>
      <c r="BE8" s="8"/>
      <c r="BF8" s="8"/>
      <c r="BG8" s="9"/>
      <c r="BH8" s="9"/>
      <c r="BI8" s="9"/>
      <c r="BJ8" s="9"/>
      <c r="BK8" s="9"/>
      <c r="BL8" s="9"/>
      <c r="BM8" s="9"/>
      <c r="BN8" s="9"/>
      <c r="BO8" s="9"/>
      <c r="BP8" s="9"/>
      <c r="BQ8" s="9"/>
      <c r="BR8" s="9"/>
      <c r="BS8" s="9"/>
      <c r="BT8" s="9"/>
      <c r="BU8" s="9"/>
      <c r="BV8" s="9"/>
      <c r="IP8" s="9"/>
      <c r="IQ8" s="9"/>
      <c r="IR8" s="9"/>
      <c r="IS8" s="9"/>
      <c r="IT8" s="9"/>
      <c r="IU8" s="9"/>
      <c r="IV8" s="9"/>
    </row>
    <row r="9" spans="1:256" s="10" customFormat="1" ht="63.75">
      <c r="A9" s="272"/>
      <c r="B9" s="83">
        <v>8</v>
      </c>
      <c r="C9" s="197">
        <v>524529</v>
      </c>
      <c r="D9" s="230">
        <v>44112</v>
      </c>
      <c r="E9" s="1">
        <v>36216</v>
      </c>
      <c r="F9" s="1">
        <v>135741</v>
      </c>
      <c r="G9" s="1">
        <v>7707</v>
      </c>
      <c r="H9" s="1"/>
      <c r="I9" s="1"/>
      <c r="J9" s="1">
        <v>130</v>
      </c>
      <c r="K9" s="1" t="s">
        <v>80</v>
      </c>
      <c r="L9" s="204" t="s">
        <v>81</v>
      </c>
      <c r="M9" s="204" t="s">
        <v>82</v>
      </c>
      <c r="N9" s="204" t="s">
        <v>83</v>
      </c>
      <c r="O9" s="204"/>
      <c r="P9" s="204" t="s">
        <v>84</v>
      </c>
      <c r="Q9" s="204"/>
      <c r="R9" s="204"/>
      <c r="S9" s="204"/>
      <c r="T9" s="1"/>
      <c r="U9" s="2"/>
      <c r="V9" s="1">
        <v>1</v>
      </c>
      <c r="W9" s="1"/>
      <c r="X9" s="204" t="s">
        <v>85</v>
      </c>
      <c r="Y9" s="1">
        <v>13</v>
      </c>
      <c r="Z9" s="2"/>
      <c r="AA9" s="3">
        <f>+Y9+1</f>
        <v>14</v>
      </c>
      <c r="AB9" s="2"/>
      <c r="AC9" s="3">
        <f>+Y9*2</f>
        <v>26</v>
      </c>
      <c r="AD9" s="2"/>
      <c r="AE9" s="115"/>
      <c r="AF9" s="115"/>
      <c r="AG9" s="115"/>
      <c r="AH9" s="115">
        <f>11.6+245.75+5.42/2+5.42/2</f>
        <v>262.77</v>
      </c>
      <c r="AI9" s="116"/>
      <c r="AJ9" s="117"/>
      <c r="AK9" s="118">
        <v>249.93</v>
      </c>
      <c r="AL9" s="118">
        <f>+(245.75+5.42)/AK9</f>
        <v>1.0049613891889728</v>
      </c>
      <c r="AM9" s="118">
        <f>+AH9/AK9</f>
        <v>1.0513743848277517</v>
      </c>
      <c r="AN9" s="157"/>
      <c r="AO9" s="168">
        <v>63875</v>
      </c>
      <c r="AP9" s="169">
        <v>43972.01</v>
      </c>
      <c r="AQ9" s="193" t="s">
        <v>36</v>
      </c>
      <c r="AR9" s="5" t="s">
        <v>86</v>
      </c>
      <c r="AS9" s="211">
        <v>44209</v>
      </c>
      <c r="AT9" s="211"/>
      <c r="AU9" s="7" t="s">
        <v>87</v>
      </c>
      <c r="AV9" s="8"/>
      <c r="AW9" s="8"/>
      <c r="AX9" s="8"/>
      <c r="AY9" s="8"/>
      <c r="AZ9" s="8"/>
      <c r="BA9" s="8"/>
      <c r="BB9" s="8"/>
      <c r="BC9" s="8"/>
      <c r="BD9" s="8"/>
      <c r="BE9" s="8"/>
      <c r="BF9" s="8"/>
      <c r="BG9" s="9"/>
      <c r="BH9" s="9"/>
      <c r="BI9" s="9"/>
      <c r="BJ9" s="9"/>
      <c r="BK9" s="9"/>
      <c r="BL9" s="9"/>
      <c r="BM9" s="9"/>
      <c r="BN9" s="9"/>
      <c r="BO9" s="9"/>
      <c r="BP9" s="9"/>
      <c r="BQ9" s="9"/>
      <c r="BR9" s="9"/>
      <c r="BS9" s="9"/>
      <c r="BT9" s="9"/>
      <c r="BU9" s="9"/>
      <c r="BV9" s="9"/>
      <c r="IP9" s="9"/>
      <c r="IQ9" s="9"/>
      <c r="IR9" s="9"/>
      <c r="IS9" s="9"/>
      <c r="IT9" s="9"/>
      <c r="IU9" s="9"/>
      <c r="IV9" s="9"/>
    </row>
    <row r="10" spans="1:256" s="24" customFormat="1" ht="63.75">
      <c r="A10" s="272"/>
      <c r="B10" s="84">
        <v>9</v>
      </c>
      <c r="C10" s="292" t="s">
        <v>88</v>
      </c>
      <c r="D10" s="232">
        <v>37307</v>
      </c>
      <c r="E10" s="26"/>
      <c r="F10" s="26"/>
      <c r="G10" s="26">
        <v>20068</v>
      </c>
      <c r="H10" s="26"/>
      <c r="I10" s="26"/>
      <c r="J10" s="26">
        <v>435</v>
      </c>
      <c r="K10" s="26">
        <v>1</v>
      </c>
      <c r="L10" s="204" t="s">
        <v>39</v>
      </c>
      <c r="M10" s="204" t="s">
        <v>89</v>
      </c>
      <c r="N10" s="204" t="s">
        <v>90</v>
      </c>
      <c r="O10" s="204"/>
      <c r="P10" s="204" t="s">
        <v>91</v>
      </c>
      <c r="Q10" s="204"/>
      <c r="R10" s="204"/>
      <c r="S10" s="204"/>
      <c r="T10" s="26">
        <v>1</v>
      </c>
      <c r="U10" s="26"/>
      <c r="V10" s="26"/>
      <c r="W10" s="26"/>
      <c r="X10" s="204" t="s">
        <v>92</v>
      </c>
      <c r="Y10" s="26"/>
      <c r="Z10" s="26"/>
      <c r="AA10" s="26"/>
      <c r="AB10" s="26"/>
      <c r="AC10" s="26"/>
      <c r="AD10" s="26"/>
      <c r="AE10" s="125"/>
      <c r="AF10" s="125"/>
      <c r="AG10" s="125"/>
      <c r="AH10" s="115">
        <f>300.4+49.6/2</f>
        <v>325.2</v>
      </c>
      <c r="AI10" s="115"/>
      <c r="AJ10" s="126"/>
      <c r="AK10" s="126">
        <v>883</v>
      </c>
      <c r="AL10" s="126">
        <f>+(300.4+49.6)/AK10</f>
        <v>0.39637599093997733</v>
      </c>
      <c r="AM10" s="126">
        <f>+AH10/AK10</f>
        <v>0.36828992072480182</v>
      </c>
      <c r="AN10" s="160"/>
      <c r="AO10" s="168">
        <f>+AH10*12923</f>
        <v>4202559.5999999996</v>
      </c>
      <c r="AP10" s="174">
        <v>61398.7</v>
      </c>
      <c r="AQ10" s="193" t="s">
        <v>45</v>
      </c>
      <c r="AR10" s="27" t="s">
        <v>93</v>
      </c>
      <c r="AS10" s="215">
        <v>44210</v>
      </c>
      <c r="AT10" s="215"/>
      <c r="AU10" s="28"/>
      <c r="AV10" s="22"/>
      <c r="AW10" s="22"/>
      <c r="AX10" s="22"/>
      <c r="AY10" s="22"/>
      <c r="AZ10" s="22"/>
      <c r="BA10" s="22"/>
      <c r="BB10" s="22"/>
      <c r="BC10" s="22"/>
      <c r="BD10" s="22"/>
      <c r="BE10" s="22"/>
      <c r="BF10" s="22"/>
      <c r="BG10" s="23"/>
      <c r="BH10" s="23"/>
      <c r="BI10" s="23"/>
      <c r="BJ10" s="23"/>
      <c r="BK10" s="23"/>
      <c r="BL10" s="23"/>
      <c r="BM10" s="23"/>
      <c r="BN10" s="23"/>
      <c r="BO10" s="23"/>
      <c r="BP10" s="23"/>
      <c r="BQ10" s="23"/>
      <c r="BR10" s="23"/>
      <c r="BS10" s="23"/>
      <c r="BT10" s="23"/>
      <c r="BU10" s="23"/>
      <c r="BV10" s="23"/>
      <c r="IP10" s="23"/>
      <c r="IQ10" s="23"/>
      <c r="IR10" s="23"/>
      <c r="IS10" s="23"/>
      <c r="IT10" s="23"/>
      <c r="IU10" s="23"/>
      <c r="IV10" s="23"/>
    </row>
    <row r="11" spans="1:256" s="10" customFormat="1" ht="63.75">
      <c r="A11" s="272"/>
      <c r="B11" s="80">
        <v>10</v>
      </c>
      <c r="C11" s="254" t="s">
        <v>94</v>
      </c>
      <c r="D11" s="233">
        <v>43833</v>
      </c>
      <c r="E11" s="1">
        <v>42823</v>
      </c>
      <c r="F11" s="1">
        <v>140524</v>
      </c>
      <c r="G11" s="1">
        <v>8713</v>
      </c>
      <c r="H11" s="1"/>
      <c r="I11" s="1"/>
      <c r="J11" s="1">
        <v>36</v>
      </c>
      <c r="K11" s="1">
        <v>20</v>
      </c>
      <c r="L11" s="204" t="s">
        <v>31</v>
      </c>
      <c r="M11" s="204" t="s">
        <v>95</v>
      </c>
      <c r="N11" s="204" t="s">
        <v>96</v>
      </c>
      <c r="O11" s="253"/>
      <c r="P11" s="204" t="s">
        <v>97</v>
      </c>
      <c r="Q11" s="204" t="s">
        <v>97</v>
      </c>
      <c r="R11" s="204" t="s">
        <v>97</v>
      </c>
      <c r="S11" s="204" t="s">
        <v>98</v>
      </c>
      <c r="T11" s="1">
        <v>1</v>
      </c>
      <c r="U11" s="2"/>
      <c r="V11" s="1"/>
      <c r="W11" s="1"/>
      <c r="X11" s="204" t="s">
        <v>99</v>
      </c>
      <c r="Y11" s="1"/>
      <c r="Z11" s="2">
        <v>2</v>
      </c>
      <c r="AA11" s="3"/>
      <c r="AB11" s="2">
        <v>3</v>
      </c>
      <c r="AC11" s="3"/>
      <c r="AD11" s="2">
        <f>+Z11*2</f>
        <v>4</v>
      </c>
      <c r="AE11" s="115"/>
      <c r="AF11" s="115"/>
      <c r="AG11" s="115"/>
      <c r="AH11" s="115">
        <v>267.24</v>
      </c>
      <c r="AI11" s="116">
        <f>63.75+47.24+47.24</f>
        <v>158.23000000000002</v>
      </c>
      <c r="AJ11" s="117"/>
      <c r="AK11" s="118">
        <v>267.24</v>
      </c>
      <c r="AL11" s="118">
        <f>+AH11/AK11</f>
        <v>1</v>
      </c>
      <c r="AM11" s="118">
        <f>+(AH11+47.24*2)/AK11</f>
        <v>1.3535398892381381</v>
      </c>
      <c r="AN11" s="157">
        <f>+((2+27+12)/(1+9+2))</f>
        <v>3.4166666666666665</v>
      </c>
      <c r="AO11" s="168">
        <f>+((3*11168+12*8934+6*6700+1*4466)/22)*(47.24+47.24)+63.75*8934</f>
        <v>1365656.7472727273</v>
      </c>
      <c r="AP11" s="168">
        <v>39937.629999999997</v>
      </c>
      <c r="AQ11" s="193" t="s">
        <v>36</v>
      </c>
      <c r="AR11" s="27" t="s">
        <v>100</v>
      </c>
      <c r="AS11" s="211">
        <v>44210</v>
      </c>
      <c r="AT11" s="211"/>
      <c r="AU11" s="7"/>
      <c r="AV11" s="8"/>
      <c r="AW11" s="8"/>
      <c r="AX11" s="8"/>
      <c r="AY11" s="8"/>
      <c r="AZ11" s="8"/>
      <c r="BA11" s="8"/>
      <c r="BB11" s="8"/>
      <c r="BC11" s="8"/>
      <c r="BD11" s="8"/>
      <c r="BE11" s="8"/>
      <c r="BF11" s="8"/>
      <c r="BG11" s="9"/>
      <c r="BH11" s="9"/>
      <c r="BI11" s="9"/>
      <c r="BJ11" s="9"/>
      <c r="BK11" s="9"/>
      <c r="BL11" s="9"/>
      <c r="BM11" s="9"/>
      <c r="BN11" s="9"/>
      <c r="BO11" s="9"/>
      <c r="BP11" s="9"/>
      <c r="BQ11" s="9"/>
      <c r="BR11" s="9"/>
      <c r="BS11" s="9"/>
      <c r="BT11" s="9"/>
      <c r="BU11" s="9"/>
      <c r="BV11" s="9"/>
      <c r="IP11" s="9"/>
      <c r="IQ11" s="9"/>
      <c r="IR11" s="9"/>
      <c r="IS11" s="9"/>
      <c r="IT11" s="9"/>
      <c r="IU11" s="9"/>
      <c r="IV11" s="9"/>
    </row>
    <row r="12" spans="1:256" s="10" customFormat="1" ht="63.75">
      <c r="A12" s="272"/>
      <c r="B12" s="80">
        <v>11</v>
      </c>
      <c r="C12" s="204" t="s">
        <v>101</v>
      </c>
      <c r="D12" s="234">
        <v>43874</v>
      </c>
      <c r="E12" s="1">
        <v>57634</v>
      </c>
      <c r="F12" s="1">
        <v>60391</v>
      </c>
      <c r="G12" s="1">
        <v>30529</v>
      </c>
      <c r="H12" s="1">
        <v>111</v>
      </c>
      <c r="I12" s="1"/>
      <c r="J12" s="1">
        <v>1</v>
      </c>
      <c r="K12" s="1">
        <v>1</v>
      </c>
      <c r="L12" s="204" t="s">
        <v>102</v>
      </c>
      <c r="M12" s="204" t="s">
        <v>103</v>
      </c>
      <c r="N12" s="204" t="s">
        <v>104</v>
      </c>
      <c r="O12" s="204"/>
      <c r="P12" s="204" t="s">
        <v>105</v>
      </c>
      <c r="Q12" s="204" t="s">
        <v>105</v>
      </c>
      <c r="R12" s="204" t="s">
        <v>105</v>
      </c>
      <c r="S12" s="204" t="s">
        <v>106</v>
      </c>
      <c r="T12" s="1"/>
      <c r="U12" s="2">
        <v>1</v>
      </c>
      <c r="V12" s="1"/>
      <c r="W12" s="1"/>
      <c r="X12" s="204" t="s">
        <v>67</v>
      </c>
      <c r="Y12" s="1"/>
      <c r="Z12" s="2">
        <v>2</v>
      </c>
      <c r="AA12" s="3"/>
      <c r="AB12" s="2">
        <f>+Z12+1</f>
        <v>3</v>
      </c>
      <c r="AC12" s="3"/>
      <c r="AD12" s="2">
        <f>+Z12*2</f>
        <v>4</v>
      </c>
      <c r="AE12" s="115"/>
      <c r="AF12" s="115"/>
      <c r="AG12" s="115"/>
      <c r="AH12" s="127"/>
      <c r="AI12" s="128">
        <f>66.41+34.37/2</f>
        <v>83.594999999999999</v>
      </c>
      <c r="AJ12" s="128"/>
      <c r="AK12" s="127">
        <v>2387</v>
      </c>
      <c r="AL12" s="127">
        <f>+(66.41+34.37)/AK12</f>
        <v>4.2220360284876413E-2</v>
      </c>
      <c r="AM12" s="127">
        <f>+AI12/AK12</f>
        <v>3.502094679514034E-2</v>
      </c>
      <c r="AN12" s="161"/>
      <c r="AO12" s="175">
        <f>+(16157*7+3*12923+8*9693+2*6462)/20*AI12</f>
        <v>1012903.8959999999</v>
      </c>
      <c r="AP12" s="176">
        <v>4797.78</v>
      </c>
      <c r="AQ12" s="196" t="s">
        <v>107</v>
      </c>
      <c r="AR12" s="6" t="s">
        <v>108</v>
      </c>
      <c r="AS12" s="216">
        <v>44215</v>
      </c>
      <c r="AT12" s="217"/>
      <c r="AU12" s="29" t="s">
        <v>109</v>
      </c>
      <c r="AV12" s="30"/>
      <c r="AW12" s="30"/>
      <c r="AX12" s="30"/>
      <c r="AY12" s="30"/>
      <c r="AZ12" s="30"/>
      <c r="BA12" s="30"/>
      <c r="BB12" s="30"/>
      <c r="BC12" s="30"/>
      <c r="BD12" s="30"/>
      <c r="BE12" s="9"/>
      <c r="BF12" s="9"/>
      <c r="BG12" s="9"/>
      <c r="BH12" s="9"/>
      <c r="BI12" s="9"/>
      <c r="BJ12" s="9"/>
      <c r="BK12" s="9"/>
      <c r="BL12" s="9"/>
      <c r="BM12" s="9"/>
      <c r="BN12" s="9"/>
      <c r="BO12" s="9"/>
      <c r="BP12" s="9"/>
      <c r="BQ12" s="9"/>
      <c r="BR12" s="9"/>
      <c r="BS12" s="9"/>
      <c r="BT12" s="9"/>
      <c r="IN12" s="9"/>
      <c r="IO12" s="9"/>
      <c r="IP12" s="9"/>
      <c r="IQ12" s="9"/>
      <c r="IR12" s="9"/>
      <c r="IS12" s="9"/>
      <c r="IT12" s="9"/>
      <c r="IU12" s="9"/>
      <c r="IV12" s="9"/>
    </row>
    <row r="13" spans="1:256" s="10" customFormat="1" ht="76.5">
      <c r="A13" s="272"/>
      <c r="B13" s="80">
        <v>12</v>
      </c>
      <c r="C13" s="293">
        <v>527001</v>
      </c>
      <c r="D13" s="227">
        <v>44188</v>
      </c>
      <c r="E13" s="1">
        <v>28135</v>
      </c>
      <c r="F13" s="1">
        <v>122036</v>
      </c>
      <c r="G13" s="1">
        <v>6252</v>
      </c>
      <c r="H13" s="1"/>
      <c r="I13" s="1"/>
      <c r="J13" s="1">
        <v>209</v>
      </c>
      <c r="K13" s="1">
        <v>3</v>
      </c>
      <c r="L13" s="204" t="s">
        <v>110</v>
      </c>
      <c r="M13" s="204" t="s">
        <v>111</v>
      </c>
      <c r="N13" s="204" t="s">
        <v>112</v>
      </c>
      <c r="O13" s="204"/>
      <c r="P13" s="204" t="s">
        <v>113</v>
      </c>
      <c r="Q13" s="204"/>
      <c r="R13" s="204"/>
      <c r="S13" s="204"/>
      <c r="T13" s="1">
        <v>1</v>
      </c>
      <c r="U13" s="2"/>
      <c r="V13" s="1"/>
      <c r="W13" s="1"/>
      <c r="X13" s="204" t="s">
        <v>114</v>
      </c>
      <c r="Y13" s="1"/>
      <c r="Z13" s="2"/>
      <c r="AA13" s="3"/>
      <c r="AB13" s="2"/>
      <c r="AC13" s="3"/>
      <c r="AD13" s="2"/>
      <c r="AE13" s="115"/>
      <c r="AF13" s="115"/>
      <c r="AG13" s="115"/>
      <c r="AH13" s="115">
        <f>95.04+50.46/2</f>
        <v>120.27000000000001</v>
      </c>
      <c r="AI13" s="116"/>
      <c r="AJ13" s="117"/>
      <c r="AK13" s="118">
        <v>620.57000000000005</v>
      </c>
      <c r="AL13" s="118">
        <f>+(95.04+50.46)/AK13</f>
        <v>0.23446186570411071</v>
      </c>
      <c r="AM13" s="118">
        <f>+AH13/AK13</f>
        <v>0.19380569476449072</v>
      </c>
      <c r="AN13" s="157"/>
      <c r="AO13" s="168">
        <f>+AH13*12923</f>
        <v>1554249.2100000002</v>
      </c>
      <c r="AP13" s="169">
        <v>22662.76</v>
      </c>
      <c r="AQ13" s="193" t="s">
        <v>107</v>
      </c>
      <c r="AR13" s="5" t="s">
        <v>115</v>
      </c>
      <c r="AS13" s="211">
        <v>44218</v>
      </c>
      <c r="AT13" s="211"/>
      <c r="AU13" s="7" t="s">
        <v>116</v>
      </c>
      <c r="AV13" s="8"/>
      <c r="AW13" s="8"/>
      <c r="AX13" s="8"/>
      <c r="AY13" s="8"/>
      <c r="AZ13" s="8"/>
      <c r="BA13" s="8"/>
      <c r="BB13" s="8"/>
      <c r="BC13" s="8"/>
      <c r="BD13" s="8"/>
      <c r="BE13" s="8"/>
      <c r="BF13" s="8"/>
      <c r="BG13" s="9"/>
      <c r="BH13" s="9"/>
      <c r="BI13" s="9"/>
      <c r="BJ13" s="9"/>
      <c r="BK13" s="9"/>
      <c r="BL13" s="9"/>
      <c r="BM13" s="9"/>
      <c r="BN13" s="9"/>
      <c r="BO13" s="9"/>
      <c r="BP13" s="9"/>
      <c r="BQ13" s="9"/>
      <c r="BR13" s="9"/>
      <c r="BS13" s="9"/>
      <c r="BT13" s="9"/>
      <c r="BU13" s="9"/>
      <c r="BV13" s="9"/>
      <c r="IP13" s="9"/>
      <c r="IQ13" s="9"/>
      <c r="IR13" s="9"/>
      <c r="IS13" s="9"/>
      <c r="IT13" s="9"/>
      <c r="IU13" s="9"/>
      <c r="IV13" s="9"/>
    </row>
    <row r="14" spans="1:256" s="10" customFormat="1" ht="38.25">
      <c r="A14" s="272"/>
      <c r="B14" s="80">
        <v>13</v>
      </c>
      <c r="C14" s="293" t="s">
        <v>117</v>
      </c>
      <c r="D14" s="227">
        <v>44172</v>
      </c>
      <c r="E14" s="1">
        <v>3538</v>
      </c>
      <c r="F14" s="1">
        <v>1878</v>
      </c>
      <c r="G14" s="1">
        <v>148</v>
      </c>
      <c r="H14" s="1"/>
      <c r="I14" s="1"/>
      <c r="J14" s="1">
        <v>88</v>
      </c>
      <c r="K14" s="1">
        <v>2</v>
      </c>
      <c r="L14" s="204" t="s">
        <v>81</v>
      </c>
      <c r="M14" s="204" t="s">
        <v>118</v>
      </c>
      <c r="N14" s="204" t="s">
        <v>119</v>
      </c>
      <c r="O14" s="204"/>
      <c r="P14" s="204" t="s">
        <v>120</v>
      </c>
      <c r="Q14" s="204"/>
      <c r="R14" s="204"/>
      <c r="S14" s="204"/>
      <c r="T14" s="1">
        <v>1</v>
      </c>
      <c r="U14" s="2"/>
      <c r="V14" s="1">
        <v>1</v>
      </c>
      <c r="W14" s="1"/>
      <c r="X14" s="204" t="s">
        <v>114</v>
      </c>
      <c r="Y14" s="1"/>
      <c r="Z14" s="2"/>
      <c r="AA14" s="3"/>
      <c r="AB14" s="2"/>
      <c r="AC14" s="3"/>
      <c r="AD14" s="2"/>
      <c r="AE14" s="115"/>
      <c r="AF14" s="115">
        <v>158.91999999999999</v>
      </c>
      <c r="AG14" s="115"/>
      <c r="AH14" s="115">
        <v>106.12</v>
      </c>
      <c r="AI14" s="116"/>
      <c r="AJ14" s="117"/>
      <c r="AK14" s="118">
        <v>158.91999999999999</v>
      </c>
      <c r="AL14" s="118">
        <f>+AF14/AK14</f>
        <v>1</v>
      </c>
      <c r="AM14" s="118">
        <f>+(AH14+AF14)/AK14</f>
        <v>1.667757362194815</v>
      </c>
      <c r="AN14" s="157"/>
      <c r="AO14" s="168">
        <v>25000</v>
      </c>
      <c r="AP14" s="169">
        <v>1819.6</v>
      </c>
      <c r="AQ14" s="193" t="s">
        <v>121</v>
      </c>
      <c r="AR14" s="5" t="s">
        <v>122</v>
      </c>
      <c r="AS14" s="211">
        <v>44218</v>
      </c>
      <c r="AT14" s="211"/>
      <c r="AU14" s="7" t="s">
        <v>123</v>
      </c>
      <c r="AV14" s="8"/>
      <c r="AW14" s="8"/>
      <c r="AX14" s="8"/>
      <c r="AY14" s="8"/>
      <c r="AZ14" s="8"/>
      <c r="BA14" s="8"/>
      <c r="BB14" s="8"/>
      <c r="BC14" s="8"/>
      <c r="BD14" s="8"/>
      <c r="BE14" s="8"/>
      <c r="BF14" s="8"/>
      <c r="BG14" s="9"/>
      <c r="BH14" s="9"/>
      <c r="BI14" s="9"/>
      <c r="BJ14" s="9"/>
      <c r="BK14" s="9"/>
      <c r="BL14" s="9"/>
      <c r="BM14" s="9"/>
      <c r="BN14" s="9"/>
      <c r="BO14" s="9"/>
      <c r="BP14" s="9"/>
      <c r="BQ14" s="9"/>
      <c r="BR14" s="9"/>
      <c r="BS14" s="9"/>
      <c r="BT14" s="9"/>
      <c r="BU14" s="9"/>
      <c r="BV14" s="9"/>
      <c r="IP14" s="9"/>
      <c r="IQ14" s="9"/>
      <c r="IR14" s="9"/>
      <c r="IS14" s="9"/>
      <c r="IT14" s="9"/>
      <c r="IU14" s="9"/>
      <c r="IV14" s="9"/>
    </row>
    <row r="15" spans="1:256" s="10" customFormat="1" ht="51">
      <c r="A15" s="272"/>
      <c r="B15" s="80">
        <v>14</v>
      </c>
      <c r="C15" s="293">
        <v>527025</v>
      </c>
      <c r="D15" s="227">
        <v>44193</v>
      </c>
      <c r="E15" s="1">
        <v>34599</v>
      </c>
      <c r="F15" s="1">
        <v>102302</v>
      </c>
      <c r="G15" s="1">
        <v>372</v>
      </c>
      <c r="H15" s="1"/>
      <c r="I15" s="1"/>
      <c r="J15" s="1">
        <v>100</v>
      </c>
      <c r="K15" s="1">
        <v>10</v>
      </c>
      <c r="L15" s="204" t="s">
        <v>81</v>
      </c>
      <c r="M15" s="204" t="s">
        <v>124</v>
      </c>
      <c r="N15" s="204" t="s">
        <v>125</v>
      </c>
      <c r="O15" s="204"/>
      <c r="P15" s="204" t="s">
        <v>113</v>
      </c>
      <c r="Q15" s="204"/>
      <c r="R15" s="204"/>
      <c r="S15" s="204"/>
      <c r="T15" s="1">
        <v>1</v>
      </c>
      <c r="U15" s="2"/>
      <c r="V15" s="1"/>
      <c r="W15" s="1"/>
      <c r="X15" s="204" t="s">
        <v>126</v>
      </c>
      <c r="Y15" s="1"/>
      <c r="Z15" s="2"/>
      <c r="AA15" s="3"/>
      <c r="AB15" s="2"/>
      <c r="AC15" s="3"/>
      <c r="AD15" s="2"/>
      <c r="AE15" s="115">
        <v>65</v>
      </c>
      <c r="AF15" s="115"/>
      <c r="AG15" s="115"/>
      <c r="AH15" s="115">
        <f>87.24+2.44/2-AE15</f>
        <v>23.459999999999994</v>
      </c>
      <c r="AI15" s="116"/>
      <c r="AJ15" s="117"/>
      <c r="AK15" s="118">
        <v>136.94</v>
      </c>
      <c r="AL15" s="118">
        <f>+(87.24+2.44)/AK15</f>
        <v>0.65488535124872205</v>
      </c>
      <c r="AM15" s="118">
        <f>+(AE15+AH15)/AK15</f>
        <v>0.64597634000292092</v>
      </c>
      <c r="AN15" s="157"/>
      <c r="AO15" s="168">
        <f>+AH15*12923</f>
        <v>303173.5799999999</v>
      </c>
      <c r="AP15" s="169">
        <v>5330.58</v>
      </c>
      <c r="AQ15" s="193" t="s">
        <v>107</v>
      </c>
      <c r="AR15" s="5" t="s">
        <v>127</v>
      </c>
      <c r="AS15" s="211">
        <v>44222</v>
      </c>
      <c r="AT15" s="211"/>
      <c r="AU15" s="7" t="s">
        <v>128</v>
      </c>
      <c r="AV15" s="8"/>
      <c r="AW15" s="8"/>
      <c r="AX15" s="8"/>
      <c r="AY15" s="8"/>
      <c r="AZ15" s="8"/>
      <c r="BA15" s="8"/>
      <c r="BB15" s="8"/>
      <c r="BC15" s="8"/>
      <c r="BD15" s="8"/>
      <c r="BE15" s="8"/>
      <c r="BF15" s="8"/>
      <c r="BG15" s="9"/>
      <c r="BH15" s="9"/>
      <c r="BI15" s="9"/>
      <c r="BJ15" s="9"/>
      <c r="BK15" s="9"/>
      <c r="BL15" s="9"/>
      <c r="BM15" s="9"/>
      <c r="BN15" s="9"/>
      <c r="BO15" s="9"/>
      <c r="BP15" s="9"/>
      <c r="BQ15" s="9"/>
      <c r="BR15" s="9"/>
      <c r="BS15" s="9"/>
      <c r="BT15" s="9"/>
      <c r="BU15" s="9"/>
      <c r="BV15" s="9"/>
      <c r="IP15" s="9"/>
      <c r="IQ15" s="9"/>
      <c r="IR15" s="9"/>
      <c r="IS15" s="9"/>
      <c r="IT15" s="9"/>
      <c r="IU15" s="9"/>
      <c r="IV15" s="9"/>
    </row>
    <row r="16" spans="1:256" s="10" customFormat="1" ht="63.75">
      <c r="A16" s="272"/>
      <c r="B16" s="80">
        <v>15</v>
      </c>
      <c r="C16" s="293" t="s">
        <v>129</v>
      </c>
      <c r="D16" s="235">
        <v>44166</v>
      </c>
      <c r="E16" s="1">
        <v>39816</v>
      </c>
      <c r="F16" s="1">
        <v>691</v>
      </c>
      <c r="G16" s="1">
        <v>4528</v>
      </c>
      <c r="H16" s="1"/>
      <c r="I16" s="1"/>
      <c r="J16" s="1">
        <v>99</v>
      </c>
      <c r="K16" s="1">
        <v>2</v>
      </c>
      <c r="L16" s="204" t="s">
        <v>130</v>
      </c>
      <c r="M16" s="204" t="s">
        <v>131</v>
      </c>
      <c r="N16" s="204" t="s">
        <v>132</v>
      </c>
      <c r="O16" s="204"/>
      <c r="P16" s="204" t="s">
        <v>133</v>
      </c>
      <c r="Q16" s="204" t="s">
        <v>133</v>
      </c>
      <c r="R16" s="204" t="s">
        <v>133</v>
      </c>
      <c r="S16" s="204" t="s">
        <v>52</v>
      </c>
      <c r="T16" s="1"/>
      <c r="U16" s="2">
        <v>4</v>
      </c>
      <c r="V16" s="1"/>
      <c r="W16" s="1"/>
      <c r="X16" s="204" t="s">
        <v>44</v>
      </c>
      <c r="Y16" s="1"/>
      <c r="Z16" s="2">
        <f>2*4</f>
        <v>8</v>
      </c>
      <c r="AA16" s="3"/>
      <c r="AB16" s="2">
        <f>+Z16+4</f>
        <v>12</v>
      </c>
      <c r="AC16" s="3"/>
      <c r="AD16" s="2">
        <f>+Z16*2</f>
        <v>16</v>
      </c>
      <c r="AE16" s="115"/>
      <c r="AF16" s="115"/>
      <c r="AG16" s="115"/>
      <c r="AH16" s="115"/>
      <c r="AI16" s="116">
        <f>188.51+21.9/2+177.57</f>
        <v>377.03</v>
      </c>
      <c r="AJ16" s="117"/>
      <c r="AK16" s="118">
        <v>463</v>
      </c>
      <c r="AL16" s="118">
        <f>+(188.51+21.9)/AK16</f>
        <v>0.45444924406047515</v>
      </c>
      <c r="AM16" s="118">
        <f>+AI16/AK16</f>
        <v>0.81431965442764576</v>
      </c>
      <c r="AN16" s="157"/>
      <c r="AO16" s="168">
        <f>+((2*16158+9*12923+5*9693+4*6462)/20*112.205)+((7*16157+4*12923+5*9693+4*6462)/20*261.3)</f>
        <v>4374620.4539999999</v>
      </c>
      <c r="AP16" s="169">
        <v>16424.900000000001</v>
      </c>
      <c r="AQ16" s="193" t="s">
        <v>107</v>
      </c>
      <c r="AR16" s="5" t="s">
        <v>134</v>
      </c>
      <c r="AS16" s="211">
        <v>44223</v>
      </c>
      <c r="AT16" s="211"/>
      <c r="AU16" s="7" t="s">
        <v>135</v>
      </c>
      <c r="AV16" s="8"/>
      <c r="AW16" s="8"/>
      <c r="AX16" s="8"/>
      <c r="AY16" s="8"/>
      <c r="AZ16" s="8"/>
      <c r="BA16" s="8"/>
      <c r="BB16" s="8"/>
      <c r="BC16" s="8"/>
      <c r="BD16" s="8"/>
      <c r="BE16" s="8"/>
      <c r="BF16" s="8"/>
      <c r="BG16" s="9"/>
      <c r="BH16" s="9"/>
      <c r="BI16" s="9"/>
      <c r="BJ16" s="9"/>
      <c r="BK16" s="9"/>
      <c r="BL16" s="9"/>
      <c r="BM16" s="9"/>
      <c r="BN16" s="9"/>
      <c r="BO16" s="9"/>
      <c r="BP16" s="9"/>
      <c r="BQ16" s="9"/>
      <c r="BR16" s="9"/>
      <c r="BS16" s="9"/>
      <c r="BT16" s="9"/>
      <c r="BU16" s="9"/>
      <c r="BV16" s="9"/>
      <c r="IP16" s="9"/>
      <c r="IQ16" s="9"/>
      <c r="IR16" s="9"/>
      <c r="IS16" s="9"/>
      <c r="IT16" s="9"/>
      <c r="IU16" s="9"/>
      <c r="IV16" s="9"/>
    </row>
    <row r="17" spans="1:256" s="10" customFormat="1" ht="63.75">
      <c r="A17" s="272"/>
      <c r="B17" s="80">
        <v>16</v>
      </c>
      <c r="C17" s="293" t="s">
        <v>136</v>
      </c>
      <c r="D17" s="227">
        <v>44177</v>
      </c>
      <c r="E17" s="1">
        <v>55292</v>
      </c>
      <c r="F17" s="1">
        <v>164328</v>
      </c>
      <c r="G17" s="1">
        <v>33494</v>
      </c>
      <c r="H17" s="1">
        <v>331</v>
      </c>
      <c r="I17" s="1"/>
      <c r="J17" s="1">
        <v>3</v>
      </c>
      <c r="K17" s="1">
        <v>7</v>
      </c>
      <c r="L17" s="204" t="s">
        <v>137</v>
      </c>
      <c r="M17" s="204" t="s">
        <v>138</v>
      </c>
      <c r="N17" s="204" t="s">
        <v>139</v>
      </c>
      <c r="O17" s="204"/>
      <c r="P17" s="204" t="s">
        <v>140</v>
      </c>
      <c r="Q17" s="204" t="s">
        <v>140</v>
      </c>
      <c r="R17" s="204" t="s">
        <v>140</v>
      </c>
      <c r="S17" s="204" t="s">
        <v>141</v>
      </c>
      <c r="T17" s="1"/>
      <c r="U17" s="2"/>
      <c r="V17" s="1">
        <v>1</v>
      </c>
      <c r="W17" s="1"/>
      <c r="X17" s="204" t="s">
        <v>67</v>
      </c>
      <c r="Y17" s="1">
        <v>1</v>
      </c>
      <c r="Z17" s="2">
        <v>1</v>
      </c>
      <c r="AA17" s="3">
        <v>1</v>
      </c>
      <c r="AB17" s="2">
        <v>1</v>
      </c>
      <c r="AC17" s="3">
        <f>+Y17*2</f>
        <v>2</v>
      </c>
      <c r="AD17" s="2">
        <f>+Z17*2</f>
        <v>2</v>
      </c>
      <c r="AE17" s="115">
        <f>39.85+12.41/2</f>
        <v>46.055</v>
      </c>
      <c r="AF17" s="115"/>
      <c r="AG17" s="115">
        <f>14.57+10.9</f>
        <v>25.47</v>
      </c>
      <c r="AH17" s="115"/>
      <c r="AI17" s="116">
        <v>30</v>
      </c>
      <c r="AJ17" s="117"/>
      <c r="AK17" s="118">
        <v>974.47</v>
      </c>
      <c r="AL17" s="118">
        <f>+(39.85+12.41+AG17+AI17)/AK17</f>
        <v>0.11055240284462323</v>
      </c>
      <c r="AM17" s="118">
        <f>+(AE17+AG17+AI17)/AK17</f>
        <v>0.10418483893808943</v>
      </c>
      <c r="AN17" s="157"/>
      <c r="AO17" s="168">
        <f>+(6*12923+4*9693+9*6463)/19*AI17</f>
        <v>275490</v>
      </c>
      <c r="AP17" s="169">
        <v>5842.54</v>
      </c>
      <c r="AQ17" s="193" t="s">
        <v>36</v>
      </c>
      <c r="AR17" s="5" t="s">
        <v>142</v>
      </c>
      <c r="AS17" s="211">
        <v>44223</v>
      </c>
      <c r="AT17" s="211"/>
      <c r="AU17" s="7" t="s">
        <v>143</v>
      </c>
      <c r="AV17" s="8"/>
      <c r="AW17" s="8"/>
      <c r="AX17" s="8"/>
      <c r="AY17" s="8"/>
      <c r="AZ17" s="8"/>
      <c r="BA17" s="8"/>
      <c r="BB17" s="8"/>
      <c r="BC17" s="8"/>
      <c r="BD17" s="8"/>
      <c r="BE17" s="8"/>
      <c r="BF17" s="8"/>
      <c r="BG17" s="9"/>
      <c r="BH17" s="9"/>
      <c r="BI17" s="9"/>
      <c r="BJ17" s="9"/>
      <c r="BK17" s="9"/>
      <c r="BL17" s="9"/>
      <c r="BM17" s="9"/>
      <c r="BN17" s="9"/>
      <c r="BO17" s="9"/>
      <c r="BP17" s="9"/>
      <c r="BQ17" s="9"/>
      <c r="BR17" s="9"/>
      <c r="BS17" s="9"/>
      <c r="BT17" s="9"/>
      <c r="BU17" s="9"/>
      <c r="BV17" s="9"/>
      <c r="IP17" s="9"/>
      <c r="IQ17" s="9"/>
      <c r="IR17" s="9"/>
      <c r="IS17" s="9"/>
      <c r="IT17" s="9"/>
      <c r="IU17" s="9"/>
      <c r="IV17" s="9"/>
    </row>
    <row r="18" spans="1:256" s="10" customFormat="1" ht="76.5">
      <c r="A18" s="272"/>
      <c r="B18" s="85">
        <v>17</v>
      </c>
      <c r="C18" s="294">
        <v>526268</v>
      </c>
      <c r="D18" s="227">
        <v>44174</v>
      </c>
      <c r="E18" s="1">
        <v>17792</v>
      </c>
      <c r="F18" s="1">
        <v>107974</v>
      </c>
      <c r="G18" s="1">
        <v>3701</v>
      </c>
      <c r="H18" s="1"/>
      <c r="I18" s="1"/>
      <c r="J18" s="1">
        <v>559</v>
      </c>
      <c r="K18" s="1">
        <v>15</v>
      </c>
      <c r="L18" s="204" t="s">
        <v>144</v>
      </c>
      <c r="M18" s="204" t="s">
        <v>145</v>
      </c>
      <c r="N18" s="204" t="s">
        <v>146</v>
      </c>
      <c r="O18" s="204"/>
      <c r="P18" s="204" t="s">
        <v>147</v>
      </c>
      <c r="Q18" s="204"/>
      <c r="R18" s="204"/>
      <c r="S18" s="204"/>
      <c r="T18" s="1">
        <v>1</v>
      </c>
      <c r="U18" s="2"/>
      <c r="V18" s="1"/>
      <c r="W18" s="1"/>
      <c r="X18" s="204" t="s">
        <v>67</v>
      </c>
      <c r="Y18" s="1">
        <v>3</v>
      </c>
      <c r="Z18" s="2"/>
      <c r="AA18" s="3">
        <f>+Y18+1+1</f>
        <v>5</v>
      </c>
      <c r="AB18" s="2"/>
      <c r="AC18" s="3">
        <f>+Y18*2</f>
        <v>6</v>
      </c>
      <c r="AD18" s="2"/>
      <c r="AE18" s="115">
        <f>97.64+2.44/2</f>
        <v>98.86</v>
      </c>
      <c r="AF18" s="115"/>
      <c r="AG18" s="115">
        <v>45.38</v>
      </c>
      <c r="AH18" s="115"/>
      <c r="AI18" s="116"/>
      <c r="AJ18" s="117"/>
      <c r="AK18" s="118">
        <v>496.8</v>
      </c>
      <c r="AL18" s="118">
        <f>+(97.64+2.44+45.38)/AK18</f>
        <v>0.29279388083735913</v>
      </c>
      <c r="AM18" s="118">
        <f>+(AE18+AG18)/AK18</f>
        <v>0.29033816425120773</v>
      </c>
      <c r="AN18" s="157"/>
      <c r="AO18" s="168">
        <f>+(6*16157+4*12923+6*9693+6*6462)/22*AG18</f>
        <v>506531.56000000006</v>
      </c>
      <c r="AP18" s="169">
        <v>10221.59</v>
      </c>
      <c r="AQ18" s="193" t="s">
        <v>36</v>
      </c>
      <c r="AR18" s="5" t="s">
        <v>148</v>
      </c>
      <c r="AS18" s="211">
        <v>44225</v>
      </c>
      <c r="AT18" s="211"/>
      <c r="AU18" s="7" t="s">
        <v>69</v>
      </c>
      <c r="AV18" s="8"/>
      <c r="AW18" s="8"/>
      <c r="AX18" s="8"/>
      <c r="AY18" s="8"/>
      <c r="AZ18" s="8"/>
      <c r="BA18" s="8"/>
      <c r="BB18" s="8"/>
      <c r="BC18" s="8"/>
      <c r="BD18" s="8"/>
      <c r="BE18" s="8"/>
      <c r="BF18" s="8"/>
      <c r="BG18" s="9"/>
      <c r="BH18" s="9"/>
      <c r="BI18" s="9"/>
      <c r="BJ18" s="9"/>
      <c r="BK18" s="9"/>
      <c r="BL18" s="9"/>
      <c r="BM18" s="9"/>
      <c r="BN18" s="9"/>
      <c r="BO18" s="9"/>
      <c r="BP18" s="9"/>
      <c r="BQ18" s="9"/>
      <c r="BR18" s="9"/>
      <c r="BS18" s="9"/>
      <c r="BT18" s="9"/>
      <c r="BU18" s="9"/>
      <c r="BV18" s="9"/>
      <c r="IP18" s="9"/>
      <c r="IQ18" s="9"/>
      <c r="IR18" s="9"/>
      <c r="IS18" s="9"/>
      <c r="IT18" s="9"/>
      <c r="IU18" s="9"/>
      <c r="IV18" s="9"/>
    </row>
    <row r="19" spans="1:256" s="10" customFormat="1" ht="102">
      <c r="A19" s="272"/>
      <c r="B19" s="86">
        <v>18</v>
      </c>
      <c r="C19" s="193" t="s">
        <v>149</v>
      </c>
      <c r="D19" s="227">
        <v>44201</v>
      </c>
      <c r="E19" s="1">
        <v>39403</v>
      </c>
      <c r="F19" s="1">
        <v>138134</v>
      </c>
      <c r="G19" s="1">
        <v>31553</v>
      </c>
      <c r="H19" s="1">
        <v>355</v>
      </c>
      <c r="I19" s="1"/>
      <c r="J19" s="1">
        <v>1</v>
      </c>
      <c r="K19" s="1">
        <v>5</v>
      </c>
      <c r="L19" s="204" t="s">
        <v>150</v>
      </c>
      <c r="M19" s="204" t="s">
        <v>151</v>
      </c>
      <c r="N19" s="204" t="s">
        <v>152</v>
      </c>
      <c r="O19" s="204"/>
      <c r="P19" s="204" t="s">
        <v>140</v>
      </c>
      <c r="Q19" s="204"/>
      <c r="R19" s="204"/>
      <c r="S19" s="204"/>
      <c r="T19" s="1">
        <f>1+1</f>
        <v>2</v>
      </c>
      <c r="U19" s="2"/>
      <c r="V19" s="1"/>
      <c r="W19" s="1"/>
      <c r="X19" s="204" t="s">
        <v>44</v>
      </c>
      <c r="Y19" s="1">
        <f>2+1</f>
        <v>3</v>
      </c>
      <c r="Z19" s="2"/>
      <c r="AA19" s="3">
        <f>2+1+1+1</f>
        <v>5</v>
      </c>
      <c r="AB19" s="2"/>
      <c r="AC19" s="3">
        <f>+Y19*2</f>
        <v>6</v>
      </c>
      <c r="AD19" s="2"/>
      <c r="AE19" s="115">
        <f>33.2+16.9</f>
        <v>50.1</v>
      </c>
      <c r="AF19" s="115"/>
      <c r="AG19" s="115">
        <f>31.76+20.3/2+31.76</f>
        <v>73.67</v>
      </c>
      <c r="AH19" s="115"/>
      <c r="AI19" s="116"/>
      <c r="AJ19" s="117"/>
      <c r="AK19" s="118">
        <v>450</v>
      </c>
      <c r="AL19" s="118">
        <f>+(33.2+16.9+20.3+31.76)/AK19</f>
        <v>0.22702222222222224</v>
      </c>
      <c r="AM19" s="118">
        <f>+(AE19+AG19)/AK19</f>
        <v>0.27504444444444448</v>
      </c>
      <c r="AN19" s="157"/>
      <c r="AO19" s="168">
        <f>+(16157*1+12923*5+9693*8+6462*7)/21*AG19</f>
        <v>714072.7857142858</v>
      </c>
      <c r="AP19" s="169">
        <v>11634.24</v>
      </c>
      <c r="AQ19" s="193" t="s">
        <v>36</v>
      </c>
      <c r="AR19" s="5" t="s">
        <v>153</v>
      </c>
      <c r="AS19" s="211">
        <v>44225</v>
      </c>
      <c r="AT19" s="211"/>
      <c r="AU19" s="7" t="s">
        <v>154</v>
      </c>
      <c r="AV19" s="8"/>
      <c r="AW19" s="8"/>
      <c r="AX19" s="8"/>
      <c r="AY19" s="8"/>
      <c r="AZ19" s="8"/>
      <c r="BA19" s="8"/>
      <c r="BB19" s="8"/>
      <c r="BC19" s="8"/>
      <c r="BD19" s="8"/>
      <c r="BE19" s="8"/>
      <c r="BF19" s="8"/>
      <c r="BG19" s="9"/>
      <c r="BH19" s="9"/>
      <c r="BI19" s="9"/>
      <c r="BJ19" s="9"/>
      <c r="BK19" s="9"/>
      <c r="BL19" s="9"/>
      <c r="BM19" s="9"/>
      <c r="BN19" s="9"/>
      <c r="BO19" s="9"/>
      <c r="BP19" s="9"/>
      <c r="BQ19" s="9"/>
      <c r="BR19" s="9"/>
      <c r="BS19" s="9"/>
      <c r="BT19" s="9"/>
      <c r="BU19" s="9"/>
      <c r="BV19" s="9"/>
      <c r="IP19" s="9"/>
      <c r="IQ19" s="9"/>
      <c r="IR19" s="9"/>
      <c r="IS19" s="9"/>
      <c r="IT19" s="9"/>
      <c r="IU19" s="9"/>
      <c r="IV19" s="9"/>
    </row>
    <row r="20" spans="1:256" s="10" customFormat="1" ht="76.5">
      <c r="A20" s="273" t="s">
        <v>155</v>
      </c>
      <c r="B20" s="80">
        <v>19</v>
      </c>
      <c r="C20" s="295">
        <v>527002</v>
      </c>
      <c r="D20" s="227">
        <v>44188</v>
      </c>
      <c r="E20" s="1">
        <v>24226</v>
      </c>
      <c r="F20" s="1">
        <v>117875</v>
      </c>
      <c r="G20" s="1">
        <v>4955</v>
      </c>
      <c r="H20" s="1"/>
      <c r="I20" s="1"/>
      <c r="J20" s="1">
        <v>50</v>
      </c>
      <c r="K20" s="1">
        <v>9</v>
      </c>
      <c r="L20" s="204" t="s">
        <v>31</v>
      </c>
      <c r="M20" s="204" t="s">
        <v>156</v>
      </c>
      <c r="N20" s="204" t="s">
        <v>157</v>
      </c>
      <c r="O20" s="204"/>
      <c r="P20" s="204" t="s">
        <v>113</v>
      </c>
      <c r="Q20" s="204"/>
      <c r="R20" s="204"/>
      <c r="S20" s="204"/>
      <c r="T20" s="1"/>
      <c r="U20" s="2"/>
      <c r="V20" s="1"/>
      <c r="W20" s="1"/>
      <c r="X20" s="204" t="s">
        <v>158</v>
      </c>
      <c r="Y20" s="1"/>
      <c r="Z20" s="2"/>
      <c r="AA20" s="3"/>
      <c r="AB20" s="2"/>
      <c r="AC20" s="3"/>
      <c r="AD20" s="2"/>
      <c r="AE20" s="115"/>
      <c r="AF20" s="115">
        <f>140.15+16.46/2+115.35+21.74/2+115.35+14.2/2</f>
        <v>397.05000000000007</v>
      </c>
      <c r="AG20" s="115"/>
      <c r="AH20" s="115">
        <f>+(184+112.54+9.2/2+112.54+9.2/2)-AF20</f>
        <v>21.230000000000018</v>
      </c>
      <c r="AI20" s="116"/>
      <c r="AJ20" s="117"/>
      <c r="AK20" s="118">
        <v>187</v>
      </c>
      <c r="AL20" s="118">
        <v>1</v>
      </c>
      <c r="AM20" s="118">
        <f>+(AF20+AH20)/AK20</f>
        <v>2.2367914438502678</v>
      </c>
      <c r="AN20" s="157"/>
      <c r="AO20" s="168">
        <v>171614.24</v>
      </c>
      <c r="AP20" s="169">
        <v>4982.09</v>
      </c>
      <c r="AQ20" s="193" t="s">
        <v>107</v>
      </c>
      <c r="AR20" s="5" t="s">
        <v>159</v>
      </c>
      <c r="AS20" s="211">
        <v>44232</v>
      </c>
      <c r="AT20" s="211"/>
      <c r="AU20" s="7" t="s">
        <v>128</v>
      </c>
      <c r="AV20" s="8"/>
      <c r="AW20" s="8"/>
      <c r="AX20" s="8"/>
      <c r="AY20" s="8"/>
      <c r="AZ20" s="8"/>
      <c r="BA20" s="8"/>
      <c r="BB20" s="8"/>
      <c r="BC20" s="8"/>
      <c r="BD20" s="8"/>
      <c r="BE20" s="8"/>
      <c r="BF20" s="8"/>
      <c r="BG20" s="9"/>
      <c r="BH20" s="9"/>
      <c r="BI20" s="9"/>
      <c r="BJ20" s="9"/>
      <c r="BK20" s="9"/>
      <c r="BL20" s="9"/>
      <c r="BM20" s="9"/>
      <c r="BN20" s="9"/>
      <c r="BO20" s="9"/>
      <c r="BP20" s="9"/>
      <c r="BQ20" s="9"/>
      <c r="BR20" s="9"/>
      <c r="BS20" s="9"/>
      <c r="BT20" s="9"/>
      <c r="BU20" s="9"/>
      <c r="BV20" s="9"/>
      <c r="IP20" s="9"/>
      <c r="IQ20" s="9"/>
      <c r="IR20" s="9"/>
      <c r="IS20" s="9"/>
      <c r="IT20" s="9"/>
      <c r="IU20" s="9"/>
      <c r="IV20" s="9"/>
    </row>
    <row r="21" spans="1:256" s="10" customFormat="1" ht="63.75">
      <c r="A21" s="273"/>
      <c r="B21" s="85">
        <v>20</v>
      </c>
      <c r="C21" s="294">
        <v>527844</v>
      </c>
      <c r="D21" s="227">
        <v>44214</v>
      </c>
      <c r="E21" s="1">
        <v>52048</v>
      </c>
      <c r="F21" s="1">
        <v>161819</v>
      </c>
      <c r="G21" s="1">
        <v>9739</v>
      </c>
      <c r="H21" s="1"/>
      <c r="I21" s="1"/>
      <c r="J21" s="1">
        <v>341</v>
      </c>
      <c r="K21" s="1">
        <v>6</v>
      </c>
      <c r="L21" s="204" t="s">
        <v>31</v>
      </c>
      <c r="M21" s="204" t="s">
        <v>160</v>
      </c>
      <c r="N21" s="204" t="s">
        <v>161</v>
      </c>
      <c r="O21" s="204"/>
      <c r="P21" s="204" t="s">
        <v>140</v>
      </c>
      <c r="Q21" s="204"/>
      <c r="R21" s="204"/>
      <c r="S21" s="204"/>
      <c r="T21" s="1"/>
      <c r="U21" s="2"/>
      <c r="V21" s="1">
        <v>1</v>
      </c>
      <c r="W21" s="1"/>
      <c r="X21" s="204" t="s">
        <v>162</v>
      </c>
      <c r="Y21" s="1"/>
      <c r="Z21" s="2"/>
      <c r="AA21" s="3"/>
      <c r="AB21" s="2"/>
      <c r="AC21" s="3"/>
      <c r="AD21" s="2"/>
      <c r="AE21" s="115"/>
      <c r="AF21" s="115">
        <v>150</v>
      </c>
      <c r="AG21" s="115"/>
      <c r="AH21" s="115">
        <v>144.80000000000001</v>
      </c>
      <c r="AI21" s="116"/>
      <c r="AJ21" s="117"/>
      <c r="AK21" s="118">
        <v>300</v>
      </c>
      <c r="AL21" s="118">
        <f>+(AF21+AH21)/AK21</f>
        <v>0.98266666666666669</v>
      </c>
      <c r="AM21" s="118">
        <f>+(AF21+AH21)/(AK21)</f>
        <v>0.98266666666666669</v>
      </c>
      <c r="AN21" s="157"/>
      <c r="AO21" s="169">
        <f>+AH21*12923</f>
        <v>1871250.4000000001</v>
      </c>
      <c r="AP21" s="169">
        <v>20988.81</v>
      </c>
      <c r="AQ21" s="193" t="s">
        <v>36</v>
      </c>
      <c r="AR21" s="5" t="s">
        <v>163</v>
      </c>
      <c r="AS21" s="211">
        <v>44232</v>
      </c>
      <c r="AT21" s="211"/>
      <c r="AU21" s="7"/>
      <c r="AV21" s="8"/>
      <c r="AW21" s="8"/>
      <c r="AX21" s="8"/>
      <c r="AY21" s="8"/>
      <c r="AZ21" s="8"/>
      <c r="BA21" s="8"/>
      <c r="BB21" s="8"/>
      <c r="BC21" s="8"/>
      <c r="BD21" s="8"/>
      <c r="BE21" s="8"/>
      <c r="BF21" s="8"/>
      <c r="BG21" s="9"/>
      <c r="BH21" s="9"/>
      <c r="BI21" s="9"/>
      <c r="BJ21" s="9"/>
      <c r="BK21" s="9"/>
      <c r="BL21" s="9"/>
      <c r="BM21" s="9"/>
      <c r="BN21" s="9"/>
      <c r="BO21" s="9"/>
      <c r="BP21" s="9"/>
      <c r="BQ21" s="9"/>
      <c r="BR21" s="9"/>
      <c r="BS21" s="9"/>
      <c r="BT21" s="9"/>
      <c r="BU21" s="9"/>
      <c r="BV21" s="9"/>
      <c r="IP21" s="9"/>
      <c r="IQ21" s="9"/>
      <c r="IR21" s="9"/>
      <c r="IS21" s="9"/>
      <c r="IT21" s="9"/>
      <c r="IU21" s="9"/>
      <c r="IV21" s="9"/>
    </row>
    <row r="22" spans="1:256" s="24" customFormat="1" ht="38.25">
      <c r="A22" s="273"/>
      <c r="B22" s="87">
        <v>21</v>
      </c>
      <c r="C22" s="204" t="s">
        <v>164</v>
      </c>
      <c r="D22" s="234">
        <v>41970</v>
      </c>
      <c r="E22" s="26"/>
      <c r="F22" s="26"/>
      <c r="G22" s="26">
        <v>3972</v>
      </c>
      <c r="H22" s="26"/>
      <c r="I22" s="26"/>
      <c r="J22" s="26">
        <v>152</v>
      </c>
      <c r="K22" s="26" t="s">
        <v>165</v>
      </c>
      <c r="L22" s="204" t="s">
        <v>130</v>
      </c>
      <c r="M22" s="204" t="s">
        <v>166</v>
      </c>
      <c r="N22" s="204"/>
      <c r="O22" s="204" t="s">
        <v>167</v>
      </c>
      <c r="P22" s="204" t="s">
        <v>168</v>
      </c>
      <c r="Q22" s="204"/>
      <c r="R22" s="204"/>
      <c r="S22" s="204"/>
      <c r="T22" s="26">
        <v>1</v>
      </c>
      <c r="U22" s="26"/>
      <c r="V22" s="26"/>
      <c r="W22" s="26"/>
      <c r="X22" s="204" t="s">
        <v>169</v>
      </c>
      <c r="Y22" s="26"/>
      <c r="Z22" s="26"/>
      <c r="AA22" s="26"/>
      <c r="AB22" s="26"/>
      <c r="AC22" s="26"/>
      <c r="AD22" s="26"/>
      <c r="AE22" s="125"/>
      <c r="AF22" s="125"/>
      <c r="AG22" s="125"/>
      <c r="AH22" s="115"/>
      <c r="AI22" s="115"/>
      <c r="AJ22" s="126"/>
      <c r="AK22" s="126"/>
      <c r="AL22" s="126"/>
      <c r="AM22" s="126"/>
      <c r="AN22" s="160"/>
      <c r="AO22" s="168"/>
      <c r="AP22" s="174">
        <v>1483.06</v>
      </c>
      <c r="AQ22" s="193" t="s">
        <v>36</v>
      </c>
      <c r="AR22" s="27" t="s">
        <v>170</v>
      </c>
      <c r="AS22" s="215">
        <v>44236</v>
      </c>
      <c r="AT22" s="215"/>
      <c r="AU22" s="28"/>
      <c r="AV22" s="22"/>
      <c r="AW22" s="22"/>
      <c r="AX22" s="22"/>
      <c r="AY22" s="22"/>
      <c r="AZ22" s="22"/>
      <c r="BA22" s="22"/>
      <c r="BB22" s="22"/>
      <c r="BC22" s="22"/>
      <c r="BD22" s="22"/>
      <c r="BE22" s="22"/>
      <c r="BF22" s="22"/>
      <c r="BG22" s="23"/>
      <c r="BH22" s="23"/>
      <c r="BI22" s="23"/>
      <c r="BJ22" s="23"/>
      <c r="BK22" s="23"/>
      <c r="BL22" s="23"/>
      <c r="BM22" s="23"/>
      <c r="BN22" s="23"/>
      <c r="BO22" s="23"/>
      <c r="BP22" s="23"/>
      <c r="BQ22" s="23"/>
      <c r="BR22" s="23"/>
      <c r="BS22" s="23"/>
      <c r="BT22" s="23"/>
      <c r="BU22" s="23"/>
      <c r="BV22" s="23"/>
      <c r="IP22" s="23"/>
      <c r="IQ22" s="23"/>
      <c r="IR22" s="23"/>
      <c r="IS22" s="23"/>
      <c r="IT22" s="23"/>
      <c r="IU22" s="23"/>
      <c r="IV22" s="23"/>
    </row>
    <row r="23" spans="1:256" s="10" customFormat="1" ht="102">
      <c r="A23" s="274"/>
      <c r="B23" s="86">
        <v>22</v>
      </c>
      <c r="C23" s="193">
        <v>526377</v>
      </c>
      <c r="D23" s="227">
        <v>44175</v>
      </c>
      <c r="E23" s="1">
        <v>53430</v>
      </c>
      <c r="F23" s="1">
        <v>163154</v>
      </c>
      <c r="G23" s="1">
        <v>21290</v>
      </c>
      <c r="H23" s="1">
        <v>34</v>
      </c>
      <c r="I23" s="1"/>
      <c r="J23" s="1">
        <v>351</v>
      </c>
      <c r="K23" s="1">
        <v>12</v>
      </c>
      <c r="L23" s="204" t="s">
        <v>39</v>
      </c>
      <c r="M23" s="204" t="s">
        <v>171</v>
      </c>
      <c r="N23" s="204" t="s">
        <v>172</v>
      </c>
      <c r="O23" s="204"/>
      <c r="P23" s="204" t="s">
        <v>173</v>
      </c>
      <c r="Q23" s="204" t="s">
        <v>173</v>
      </c>
      <c r="R23" s="204" t="s">
        <v>173</v>
      </c>
      <c r="S23" s="204" t="s">
        <v>174</v>
      </c>
      <c r="T23" s="1"/>
      <c r="U23" s="2"/>
      <c r="V23" s="1">
        <v>1</v>
      </c>
      <c r="W23" s="1"/>
      <c r="X23" s="204" t="s">
        <v>175</v>
      </c>
      <c r="Y23" s="1"/>
      <c r="Z23" s="2">
        <v>3</v>
      </c>
      <c r="AA23" s="3"/>
      <c r="AB23" s="2">
        <f>+Z23+2</f>
        <v>5</v>
      </c>
      <c r="AC23" s="3"/>
      <c r="AD23" s="2">
        <f>+Z23*2</f>
        <v>6</v>
      </c>
      <c r="AE23" s="115"/>
      <c r="AF23" s="115"/>
      <c r="AG23" s="115"/>
      <c r="AH23" s="115"/>
      <c r="AI23" s="116">
        <f>39.89+76.86+1.71/2+2.94/2+92.77+54.48+22.47/2</f>
        <v>277.56</v>
      </c>
      <c r="AJ23" s="117"/>
      <c r="AK23" s="118">
        <v>452.4</v>
      </c>
      <c r="AL23" s="118">
        <f>+(54.48+22.47+39.89+76.86+2.94+1.71)/AK23</f>
        <v>0.43843943412908931</v>
      </c>
      <c r="AM23" s="118">
        <f>+AI23/AK23</f>
        <v>0.613527851458886</v>
      </c>
      <c r="AN23" s="157"/>
      <c r="AO23" s="168">
        <f>+(4*16157+12923*6+9693*13)/23*(76.86+2.94/2+1.71/2+39.89+92.77)</f>
        <v>2470066.6467391304</v>
      </c>
      <c r="AP23" s="169">
        <v>36147.69</v>
      </c>
      <c r="AQ23" s="193" t="s">
        <v>107</v>
      </c>
      <c r="AR23" s="5" t="s">
        <v>176</v>
      </c>
      <c r="AS23" s="211">
        <v>44237</v>
      </c>
      <c r="AT23" s="211">
        <v>44938</v>
      </c>
      <c r="AU23" s="7" t="s">
        <v>177</v>
      </c>
      <c r="AV23" s="8"/>
      <c r="AW23" s="8"/>
      <c r="AX23" s="8"/>
      <c r="AY23" s="8"/>
      <c r="AZ23" s="8"/>
      <c r="BA23" s="8"/>
      <c r="BB23" s="8"/>
      <c r="BC23" s="8"/>
      <c r="BD23" s="8"/>
      <c r="BE23" s="8"/>
      <c r="BF23" s="8"/>
      <c r="BG23" s="9"/>
      <c r="BH23" s="9"/>
      <c r="BI23" s="9"/>
      <c r="BJ23" s="9"/>
      <c r="BK23" s="9"/>
      <c r="BL23" s="9"/>
      <c r="BM23" s="9"/>
      <c r="BN23" s="9"/>
      <c r="BO23" s="9"/>
      <c r="BP23" s="9"/>
      <c r="BQ23" s="9"/>
      <c r="BR23" s="9"/>
      <c r="BS23" s="9"/>
      <c r="BT23" s="9"/>
      <c r="BU23" s="9"/>
      <c r="BV23" s="9"/>
      <c r="IP23" s="9"/>
      <c r="IQ23" s="9"/>
      <c r="IR23" s="9"/>
      <c r="IS23" s="9"/>
      <c r="IT23" s="9"/>
      <c r="IU23" s="9"/>
      <c r="IV23" s="9"/>
    </row>
    <row r="24" spans="1:256" s="10" customFormat="1" ht="76.5">
      <c r="A24" s="273"/>
      <c r="B24" s="85">
        <v>23</v>
      </c>
      <c r="C24" s="294" t="s">
        <v>178</v>
      </c>
      <c r="D24" s="227">
        <v>44174</v>
      </c>
      <c r="E24" s="1"/>
      <c r="F24" s="1"/>
      <c r="G24" s="1"/>
      <c r="H24" s="1"/>
      <c r="I24" s="1"/>
      <c r="J24" s="1">
        <v>3</v>
      </c>
      <c r="K24" s="1">
        <v>8</v>
      </c>
      <c r="L24" s="204" t="s">
        <v>137</v>
      </c>
      <c r="M24" s="204" t="s">
        <v>179</v>
      </c>
      <c r="N24" s="204" t="s">
        <v>180</v>
      </c>
      <c r="O24" s="204"/>
      <c r="P24" s="204" t="s">
        <v>181</v>
      </c>
      <c r="Q24" s="204"/>
      <c r="R24" s="204"/>
      <c r="S24" s="204"/>
      <c r="T24" s="1">
        <v>1</v>
      </c>
      <c r="U24" s="2"/>
      <c r="V24" s="1"/>
      <c r="W24" s="1"/>
      <c r="X24" s="204" t="s">
        <v>67</v>
      </c>
      <c r="Y24" s="1"/>
      <c r="Z24" s="2">
        <v>2</v>
      </c>
      <c r="AA24" s="3"/>
      <c r="AB24" s="2">
        <f>+Z24+1</f>
        <v>3</v>
      </c>
      <c r="AC24" s="3"/>
      <c r="AD24" s="2">
        <f>+Z24*2</f>
        <v>4</v>
      </c>
      <c r="AE24" s="115"/>
      <c r="AF24" s="115"/>
      <c r="AG24" s="115"/>
      <c r="AH24" s="115"/>
      <c r="AI24" s="116">
        <f>158.5+41.3/2+46</f>
        <v>225.15</v>
      </c>
      <c r="AJ24" s="117"/>
      <c r="AK24" s="118">
        <v>801.8</v>
      </c>
      <c r="AL24" s="118">
        <f>+(158.5+41.3)/AK24</f>
        <v>0.2491893240209529</v>
      </c>
      <c r="AM24" s="118">
        <f>+AI24/AK24</f>
        <v>0.28080568720379151</v>
      </c>
      <c r="AN24" s="157">
        <f>+(12+9)/(6+3)</f>
        <v>2.3333333333333335</v>
      </c>
      <c r="AO24" s="168">
        <f>432500+((3*16157+12923*11+9693*9)/23*AI24)</f>
        <v>3152517.5717391302</v>
      </c>
      <c r="AP24" s="169">
        <v>34463.56</v>
      </c>
      <c r="AQ24" s="193" t="s">
        <v>36</v>
      </c>
      <c r="AR24" s="5" t="s">
        <v>182</v>
      </c>
      <c r="AS24" s="211">
        <v>44237</v>
      </c>
      <c r="AT24" s="211"/>
      <c r="AU24" s="7" t="s">
        <v>183</v>
      </c>
      <c r="AV24" s="8"/>
      <c r="AW24" s="8"/>
      <c r="AX24" s="8"/>
      <c r="AY24" s="8"/>
      <c r="AZ24" s="8"/>
      <c r="BA24" s="8"/>
      <c r="BB24" s="8"/>
      <c r="BC24" s="8"/>
      <c r="BD24" s="8"/>
      <c r="BE24" s="8"/>
      <c r="BF24" s="8"/>
      <c r="BG24" s="9"/>
      <c r="BH24" s="9"/>
      <c r="BI24" s="9"/>
      <c r="BJ24" s="9"/>
      <c r="BK24" s="9"/>
      <c r="BL24" s="9"/>
      <c r="BM24" s="9"/>
      <c r="BN24" s="9"/>
      <c r="BO24" s="9"/>
      <c r="BP24" s="9"/>
      <c r="BQ24" s="9"/>
      <c r="BR24" s="9"/>
      <c r="BS24" s="9"/>
      <c r="BT24" s="9"/>
      <c r="BU24" s="9"/>
      <c r="BV24" s="9"/>
      <c r="IP24" s="9"/>
      <c r="IQ24" s="9"/>
      <c r="IR24" s="9"/>
      <c r="IS24" s="9"/>
      <c r="IT24" s="9"/>
      <c r="IU24" s="9"/>
      <c r="IV24" s="9"/>
    </row>
    <row r="25" spans="1:256" s="10" customFormat="1" ht="38.25">
      <c r="A25" s="274"/>
      <c r="B25" s="86">
        <v>24</v>
      </c>
      <c r="C25" s="193" t="s">
        <v>184</v>
      </c>
      <c r="D25" s="227">
        <v>44187</v>
      </c>
      <c r="E25" s="1">
        <v>41055</v>
      </c>
      <c r="F25" s="1">
        <v>139488</v>
      </c>
      <c r="G25" s="1">
        <v>20551</v>
      </c>
      <c r="H25" s="1">
        <v>49</v>
      </c>
      <c r="I25" s="1"/>
      <c r="J25" s="1">
        <v>381</v>
      </c>
      <c r="K25" s="1">
        <v>3</v>
      </c>
      <c r="L25" s="204" t="s">
        <v>39</v>
      </c>
      <c r="M25" s="204" t="s">
        <v>185</v>
      </c>
      <c r="N25" s="204" t="s">
        <v>186</v>
      </c>
      <c r="O25" s="204"/>
      <c r="P25" s="204" t="s">
        <v>187</v>
      </c>
      <c r="Q25" s="204" t="s">
        <v>187</v>
      </c>
      <c r="R25" s="204" t="s">
        <v>187</v>
      </c>
      <c r="S25" s="204" t="s">
        <v>188</v>
      </c>
      <c r="T25" s="1"/>
      <c r="U25" s="2">
        <v>1</v>
      </c>
      <c r="V25" s="1"/>
      <c r="W25" s="1"/>
      <c r="X25" s="204" t="s">
        <v>67</v>
      </c>
      <c r="Y25" s="1"/>
      <c r="Z25" s="2">
        <v>1</v>
      </c>
      <c r="AA25" s="3"/>
      <c r="AB25" s="2">
        <f>+Z25+1</f>
        <v>2</v>
      </c>
      <c r="AC25" s="3"/>
      <c r="AD25" s="2">
        <f>+Z25*2</f>
        <v>2</v>
      </c>
      <c r="AE25" s="115"/>
      <c r="AF25" s="115"/>
      <c r="AG25" s="115"/>
      <c r="AH25" s="115"/>
      <c r="AI25" s="116">
        <v>88.88</v>
      </c>
      <c r="AJ25" s="117"/>
      <c r="AK25" s="118">
        <v>497.04</v>
      </c>
      <c r="AL25" s="118">
        <f>+AI25/AK25</f>
        <v>0.17881860614839851</v>
      </c>
      <c r="AM25" s="118">
        <f>+AI25/AK25</f>
        <v>0.17881860614839851</v>
      </c>
      <c r="AN25" s="157">
        <f>+(10+12+4+12)/(5+4+1+2)</f>
        <v>3.1666666666666665</v>
      </c>
      <c r="AO25" s="168">
        <f>+(2*16157+12923*7+7*9693+6462*6)/22*88.88</f>
        <v>926767.91999999993</v>
      </c>
      <c r="AP25" s="169">
        <v>4765.43</v>
      </c>
      <c r="AQ25" s="193" t="s">
        <v>107</v>
      </c>
      <c r="AR25" s="5" t="s">
        <v>189</v>
      </c>
      <c r="AS25" s="211">
        <v>44237</v>
      </c>
      <c r="AT25" s="211">
        <v>44981</v>
      </c>
      <c r="AU25" s="7" t="s">
        <v>190</v>
      </c>
      <c r="AV25" s="8"/>
      <c r="AW25" s="8"/>
      <c r="AX25" s="8"/>
      <c r="AY25" s="8"/>
      <c r="AZ25" s="8"/>
      <c r="BA25" s="8"/>
      <c r="BB25" s="8"/>
      <c r="BC25" s="8"/>
      <c r="BD25" s="8"/>
      <c r="BE25" s="8"/>
      <c r="BF25" s="8"/>
      <c r="BG25" s="9"/>
      <c r="BH25" s="9"/>
      <c r="BI25" s="9"/>
      <c r="BJ25" s="9"/>
      <c r="BK25" s="9"/>
      <c r="BL25" s="9"/>
      <c r="BM25" s="9"/>
      <c r="BN25" s="9"/>
      <c r="BO25" s="9"/>
      <c r="BP25" s="9"/>
      <c r="BQ25" s="9"/>
      <c r="BR25" s="9"/>
      <c r="BS25" s="9"/>
      <c r="BT25" s="9"/>
      <c r="BU25" s="9"/>
      <c r="BV25" s="9"/>
      <c r="IP25" s="9"/>
      <c r="IQ25" s="9"/>
      <c r="IR25" s="9"/>
      <c r="IS25" s="9"/>
      <c r="IT25" s="9"/>
      <c r="IU25" s="9"/>
      <c r="IV25" s="9"/>
    </row>
    <row r="26" spans="1:256" s="10" customFormat="1" ht="102">
      <c r="A26" s="274"/>
      <c r="B26" s="86">
        <v>25</v>
      </c>
      <c r="C26" s="193" t="s">
        <v>191</v>
      </c>
      <c r="D26" s="227">
        <v>44207</v>
      </c>
      <c r="E26" s="1">
        <v>48983</v>
      </c>
      <c r="F26" s="1">
        <v>159309</v>
      </c>
      <c r="G26" s="1">
        <v>32619</v>
      </c>
      <c r="H26" s="1">
        <v>355</v>
      </c>
      <c r="I26" s="1"/>
      <c r="J26" s="1">
        <v>14</v>
      </c>
      <c r="K26" s="1">
        <v>8</v>
      </c>
      <c r="L26" s="204" t="s">
        <v>192</v>
      </c>
      <c r="M26" s="204" t="s">
        <v>193</v>
      </c>
      <c r="N26" s="204" t="s">
        <v>194</v>
      </c>
      <c r="O26" s="204"/>
      <c r="P26" s="204" t="s">
        <v>195</v>
      </c>
      <c r="Q26" s="204"/>
      <c r="R26" s="204"/>
      <c r="S26" s="204"/>
      <c r="T26" s="1">
        <v>10</v>
      </c>
      <c r="U26" s="2"/>
      <c r="V26" s="1">
        <v>1</v>
      </c>
      <c r="W26" s="1"/>
      <c r="X26" s="204" t="s">
        <v>44</v>
      </c>
      <c r="Y26" s="1">
        <v>10</v>
      </c>
      <c r="Z26" s="2">
        <v>1</v>
      </c>
      <c r="AA26" s="3">
        <f>+Y26</f>
        <v>10</v>
      </c>
      <c r="AB26" s="2">
        <f>+Z26+2</f>
        <v>3</v>
      </c>
      <c r="AC26" s="3">
        <f>+Y26*2</f>
        <v>20</v>
      </c>
      <c r="AD26" s="2">
        <f>+Z26*2</f>
        <v>2</v>
      </c>
      <c r="AE26" s="115">
        <f>164.07+164.07+33.91/2+34.9/2</f>
        <v>362.54499999999996</v>
      </c>
      <c r="AF26" s="115"/>
      <c r="AG26" s="115">
        <f>32.48+164.38/2</f>
        <v>114.66999999999999</v>
      </c>
      <c r="AH26" s="115"/>
      <c r="AI26" s="116"/>
      <c r="AJ26" s="117"/>
      <c r="AK26" s="118">
        <v>805.6</v>
      </c>
      <c r="AL26" s="118">
        <f>+(164.07+33.91+32.48+164.38)/AK26</f>
        <v>0.49011916583912607</v>
      </c>
      <c r="AM26" s="118">
        <f>+(AE26+32.48)/AK26</f>
        <v>0.49034880834160871</v>
      </c>
      <c r="AN26" s="157"/>
      <c r="AO26" s="168">
        <f>+(3*16157+12923*6+8*9693+5*6462)/22*AG26</f>
        <v>1229382.282272727</v>
      </c>
      <c r="AP26" s="169">
        <v>16939.169999999998</v>
      </c>
      <c r="AQ26" s="193" t="s">
        <v>196</v>
      </c>
      <c r="AR26" s="5" t="s">
        <v>197</v>
      </c>
      <c r="AS26" s="211">
        <v>44237</v>
      </c>
      <c r="AT26" s="211"/>
      <c r="AU26" s="7"/>
      <c r="AV26" s="8"/>
      <c r="AW26" s="8"/>
      <c r="AX26" s="8"/>
      <c r="AY26" s="8"/>
      <c r="AZ26" s="8"/>
      <c r="BA26" s="8"/>
      <c r="BB26" s="8"/>
      <c r="BC26" s="8"/>
      <c r="BD26" s="8"/>
      <c r="BE26" s="8"/>
      <c r="BF26" s="8"/>
      <c r="BG26" s="9"/>
      <c r="BH26" s="9"/>
      <c r="BI26" s="9"/>
      <c r="BJ26" s="9"/>
      <c r="BK26" s="9"/>
      <c r="BL26" s="9"/>
      <c r="BM26" s="9"/>
      <c r="BN26" s="9"/>
      <c r="BO26" s="9"/>
      <c r="BP26" s="9"/>
      <c r="BQ26" s="9"/>
      <c r="BR26" s="9"/>
      <c r="BS26" s="9"/>
      <c r="BT26" s="9"/>
      <c r="BU26" s="9"/>
      <c r="BV26" s="9"/>
      <c r="IP26" s="9"/>
      <c r="IQ26" s="9"/>
      <c r="IR26" s="9"/>
      <c r="IS26" s="9"/>
      <c r="IT26" s="9"/>
      <c r="IU26" s="9"/>
      <c r="IV26" s="9"/>
    </row>
    <row r="27" spans="1:256" s="10" customFormat="1" ht="76.5">
      <c r="A27" s="274"/>
      <c r="B27" s="86">
        <v>26</v>
      </c>
      <c r="C27" s="193" t="s">
        <v>198</v>
      </c>
      <c r="D27" s="227">
        <v>44201</v>
      </c>
      <c r="E27" s="1">
        <v>42226</v>
      </c>
      <c r="F27" s="1">
        <v>140463</v>
      </c>
      <c r="G27" s="1">
        <v>8664</v>
      </c>
      <c r="H27" s="1"/>
      <c r="I27" s="1"/>
      <c r="J27" s="1">
        <v>151</v>
      </c>
      <c r="K27" s="1">
        <v>20</v>
      </c>
      <c r="L27" s="204" t="s">
        <v>199</v>
      </c>
      <c r="M27" s="204" t="s">
        <v>200</v>
      </c>
      <c r="N27" s="204" t="s">
        <v>201</v>
      </c>
      <c r="O27" s="204"/>
      <c r="P27" s="204" t="s">
        <v>202</v>
      </c>
      <c r="Q27" s="204" t="s">
        <v>202</v>
      </c>
      <c r="R27" s="204" t="s">
        <v>202</v>
      </c>
      <c r="S27" s="204" t="s">
        <v>203</v>
      </c>
      <c r="T27" s="1"/>
      <c r="U27" s="2">
        <v>1</v>
      </c>
      <c r="V27" s="1"/>
      <c r="W27" s="1"/>
      <c r="X27" s="204" t="s">
        <v>67</v>
      </c>
      <c r="Y27" s="1"/>
      <c r="Z27" s="2">
        <v>2</v>
      </c>
      <c r="AA27" s="3"/>
      <c r="AB27" s="2">
        <f>+Z27+1+1</f>
        <v>4</v>
      </c>
      <c r="AC27" s="3"/>
      <c r="AD27" s="2">
        <f>+Z27*2</f>
        <v>4</v>
      </c>
      <c r="AE27" s="115"/>
      <c r="AF27" s="115"/>
      <c r="AG27" s="115"/>
      <c r="AH27" s="115"/>
      <c r="AI27" s="116">
        <f>162.2+64.42/2</f>
        <v>194.41</v>
      </c>
      <c r="AJ27" s="117"/>
      <c r="AK27" s="118">
        <v>346.43</v>
      </c>
      <c r="AL27" s="118">
        <f>+(90.6+4.95+24.8+31.73)/AK27</f>
        <v>0.43899200415668382</v>
      </c>
      <c r="AM27" s="118">
        <f>+AI27/AK27</f>
        <v>0.56118119100539787</v>
      </c>
      <c r="AN27" s="157">
        <f>+(4+24+4+12)/(2+8+1+2)</f>
        <v>3.3846153846153846</v>
      </c>
      <c r="AO27" s="168">
        <f>+(8*16157+7*12923+6*9693+6462)/22*AI27</f>
        <v>2512634.3713636361</v>
      </c>
      <c r="AP27" s="169">
        <v>11027.79</v>
      </c>
      <c r="AQ27" s="193" t="s">
        <v>36</v>
      </c>
      <c r="AR27" s="5" t="s">
        <v>204</v>
      </c>
      <c r="AS27" s="211">
        <v>44238</v>
      </c>
      <c r="AT27" s="211"/>
      <c r="AU27" s="7"/>
      <c r="AV27" s="8"/>
      <c r="AW27" s="8"/>
      <c r="AX27" s="8"/>
      <c r="AY27" s="8"/>
      <c r="AZ27" s="8"/>
      <c r="BA27" s="8"/>
      <c r="BB27" s="8"/>
      <c r="BC27" s="8"/>
      <c r="BD27" s="8"/>
      <c r="BE27" s="8"/>
      <c r="BF27" s="8"/>
      <c r="BG27" s="9"/>
      <c r="BH27" s="9"/>
      <c r="BI27" s="9"/>
      <c r="BJ27" s="9"/>
      <c r="BK27" s="9"/>
      <c r="BL27" s="9"/>
      <c r="BM27" s="9"/>
      <c r="BN27" s="9"/>
      <c r="BO27" s="9"/>
      <c r="BP27" s="9"/>
      <c r="BQ27" s="9"/>
      <c r="BR27" s="9"/>
      <c r="BS27" s="9"/>
      <c r="BT27" s="9"/>
      <c r="BU27" s="9"/>
      <c r="BV27" s="9"/>
      <c r="IP27" s="9"/>
      <c r="IQ27" s="9"/>
      <c r="IR27" s="9"/>
      <c r="IS27" s="9"/>
      <c r="IT27" s="9"/>
      <c r="IU27" s="9"/>
      <c r="IV27" s="9"/>
    </row>
    <row r="28" spans="1:256" s="10" customFormat="1" ht="63.75">
      <c r="A28" s="274"/>
      <c r="B28" s="86">
        <v>27</v>
      </c>
      <c r="C28" s="193">
        <v>524694</v>
      </c>
      <c r="D28" s="227">
        <v>44118</v>
      </c>
      <c r="E28" s="1">
        <v>52843</v>
      </c>
      <c r="F28" s="1">
        <v>162995</v>
      </c>
      <c r="G28" s="1">
        <v>33302</v>
      </c>
      <c r="H28" s="1">
        <v>331</v>
      </c>
      <c r="I28" s="1"/>
      <c r="J28" s="1">
        <v>6</v>
      </c>
      <c r="K28" s="1">
        <v>4</v>
      </c>
      <c r="L28" s="204" t="s">
        <v>137</v>
      </c>
      <c r="M28" s="204" t="s">
        <v>205</v>
      </c>
      <c r="N28" s="204" t="s">
        <v>206</v>
      </c>
      <c r="O28" s="204"/>
      <c r="P28" s="204" t="s">
        <v>207</v>
      </c>
      <c r="Q28" s="204"/>
      <c r="R28" s="204"/>
      <c r="S28" s="204"/>
      <c r="T28" s="1">
        <v>1</v>
      </c>
      <c r="U28" s="2"/>
      <c r="V28" s="1"/>
      <c r="W28" s="1"/>
      <c r="X28" s="204" t="s">
        <v>67</v>
      </c>
      <c r="Y28" s="1"/>
      <c r="Z28" s="2">
        <v>3</v>
      </c>
      <c r="AA28" s="3"/>
      <c r="AB28" s="2">
        <f>+Z28+1</f>
        <v>4</v>
      </c>
      <c r="AC28" s="3"/>
      <c r="AD28" s="2">
        <f>+Z28*1</f>
        <v>3</v>
      </c>
      <c r="AE28" s="115"/>
      <c r="AF28" s="115"/>
      <c r="AG28" s="115">
        <f>93.44+43.67/2</f>
        <v>115.27500000000001</v>
      </c>
      <c r="AH28" s="115"/>
      <c r="AI28" s="116"/>
      <c r="AJ28" s="117"/>
      <c r="AK28" s="118">
        <v>1043.3499999999999</v>
      </c>
      <c r="AL28" s="118">
        <f>+(93.44+43.67)/AK28</f>
        <v>0.1314132362102842</v>
      </c>
      <c r="AM28" s="118">
        <f>+AG28/AK28</f>
        <v>0.11048545550390571</v>
      </c>
      <c r="AN28" s="157"/>
      <c r="AO28" s="168">
        <f>+(6*16157+12923+5*9693+8*6462)/20*AG28</f>
        <v>1210537.3574999999</v>
      </c>
      <c r="AP28" s="169">
        <v>21318.44</v>
      </c>
      <c r="AQ28" s="193" t="s">
        <v>45</v>
      </c>
      <c r="AR28" s="5" t="s">
        <v>208</v>
      </c>
      <c r="AS28" s="211">
        <v>44238</v>
      </c>
      <c r="AT28" s="211"/>
      <c r="AU28" s="7" t="s">
        <v>209</v>
      </c>
      <c r="AV28" s="8"/>
      <c r="AW28" s="8"/>
      <c r="AX28" s="8"/>
      <c r="AY28" s="8"/>
      <c r="AZ28" s="8"/>
      <c r="BA28" s="8"/>
      <c r="BB28" s="8"/>
      <c r="BC28" s="8"/>
      <c r="BD28" s="8"/>
      <c r="BE28" s="8"/>
      <c r="BF28" s="8"/>
      <c r="BG28" s="9"/>
      <c r="BH28" s="9"/>
      <c r="BI28" s="9"/>
      <c r="BJ28" s="9"/>
      <c r="BK28" s="9"/>
      <c r="BL28" s="9"/>
      <c r="BM28" s="9"/>
      <c r="BN28" s="9"/>
      <c r="BO28" s="9"/>
      <c r="BP28" s="9"/>
      <c r="BQ28" s="9"/>
      <c r="BR28" s="9"/>
      <c r="BS28" s="9"/>
      <c r="BT28" s="9"/>
      <c r="BU28" s="9"/>
      <c r="BV28" s="9"/>
      <c r="IP28" s="9"/>
      <c r="IQ28" s="9"/>
      <c r="IR28" s="9"/>
      <c r="IS28" s="9"/>
      <c r="IT28" s="9"/>
      <c r="IU28" s="9"/>
      <c r="IV28" s="9"/>
    </row>
    <row r="29" spans="1:256" s="10" customFormat="1" ht="63.75">
      <c r="A29" s="274"/>
      <c r="B29" s="86">
        <v>28</v>
      </c>
      <c r="C29" s="193" t="s">
        <v>210</v>
      </c>
      <c r="D29" s="227">
        <v>44209</v>
      </c>
      <c r="E29" s="1">
        <v>47117</v>
      </c>
      <c r="F29" s="1">
        <v>149998</v>
      </c>
      <c r="G29" s="1">
        <v>32343</v>
      </c>
      <c r="H29" s="1">
        <v>327</v>
      </c>
      <c r="I29" s="1"/>
      <c r="J29" s="1">
        <v>10</v>
      </c>
      <c r="K29" s="1">
        <v>9</v>
      </c>
      <c r="L29" s="204" t="s">
        <v>39</v>
      </c>
      <c r="M29" s="204" t="s">
        <v>211</v>
      </c>
      <c r="N29" s="204" t="s">
        <v>212</v>
      </c>
      <c r="O29" s="204"/>
      <c r="P29" s="204" t="s">
        <v>195</v>
      </c>
      <c r="Q29" s="204"/>
      <c r="R29" s="204"/>
      <c r="S29" s="204"/>
      <c r="T29" s="1">
        <v>1</v>
      </c>
      <c r="U29" s="2"/>
      <c r="V29" s="1"/>
      <c r="W29" s="1"/>
      <c r="X29" s="204" t="s">
        <v>67</v>
      </c>
      <c r="Y29" s="1">
        <v>2</v>
      </c>
      <c r="Z29" s="2"/>
      <c r="AA29" s="3">
        <f>+Y29+1</f>
        <v>3</v>
      </c>
      <c r="AB29" s="2"/>
      <c r="AC29" s="3">
        <f>+Y29*2</f>
        <v>4</v>
      </c>
      <c r="AD29" s="2"/>
      <c r="AE29" s="115"/>
      <c r="AF29" s="115"/>
      <c r="AG29" s="115">
        <f>37.7+37.7+39.69/2</f>
        <v>95.245000000000005</v>
      </c>
      <c r="AH29" s="115"/>
      <c r="AI29" s="116"/>
      <c r="AJ29" s="117"/>
      <c r="AK29" s="118">
        <v>321</v>
      </c>
      <c r="AL29" s="118">
        <f>+(37.7+39.69)/AK29</f>
        <v>0.24109034267912774</v>
      </c>
      <c r="AM29" s="118">
        <f>+AG29/AK29</f>
        <v>0.29671339563862931</v>
      </c>
      <c r="AN29" s="157"/>
      <c r="AO29" s="168">
        <f>+(16157+12923*11+7*9693+3*6462)/22*AG29</f>
        <v>1063051.0915909091</v>
      </c>
      <c r="AP29" s="169">
        <v>15991.43</v>
      </c>
      <c r="AQ29" s="193" t="s">
        <v>196</v>
      </c>
      <c r="AR29" s="5" t="s">
        <v>213</v>
      </c>
      <c r="AS29" s="211">
        <v>44238</v>
      </c>
      <c r="AT29" s="211"/>
      <c r="AU29" s="7" t="s">
        <v>214</v>
      </c>
      <c r="AV29" s="8"/>
      <c r="AW29" s="8"/>
      <c r="AX29" s="8"/>
      <c r="AY29" s="8"/>
      <c r="AZ29" s="8"/>
      <c r="BA29" s="8"/>
      <c r="BB29" s="8"/>
      <c r="BC29" s="8"/>
      <c r="BD29" s="8"/>
      <c r="BE29" s="8"/>
      <c r="BF29" s="8"/>
      <c r="BG29" s="9"/>
      <c r="BH29" s="9"/>
      <c r="BI29" s="9"/>
      <c r="BJ29" s="9"/>
      <c r="BK29" s="9"/>
      <c r="BL29" s="9"/>
      <c r="BM29" s="9"/>
      <c r="BN29" s="9"/>
      <c r="BO29" s="9"/>
      <c r="BP29" s="9"/>
      <c r="BQ29" s="9"/>
      <c r="BR29" s="9"/>
      <c r="BS29" s="9"/>
      <c r="BT29" s="9"/>
      <c r="BU29" s="9"/>
      <c r="BV29" s="9"/>
      <c r="IP29" s="9"/>
      <c r="IQ29" s="9"/>
      <c r="IR29" s="9"/>
      <c r="IS29" s="9"/>
      <c r="IT29" s="9"/>
      <c r="IU29" s="9"/>
      <c r="IV29" s="9"/>
    </row>
    <row r="30" spans="1:256" s="10" customFormat="1" ht="63.75">
      <c r="A30" s="273"/>
      <c r="B30" s="85">
        <v>29</v>
      </c>
      <c r="C30" s="294">
        <v>525264</v>
      </c>
      <c r="D30" s="227">
        <v>44151</v>
      </c>
      <c r="E30" s="1">
        <v>26756</v>
      </c>
      <c r="F30" s="1">
        <v>120000</v>
      </c>
      <c r="G30" s="1">
        <v>6030</v>
      </c>
      <c r="H30" s="1"/>
      <c r="I30" s="1"/>
      <c r="J30" s="1">
        <v>11</v>
      </c>
      <c r="K30" s="1">
        <v>13</v>
      </c>
      <c r="L30" s="204" t="s">
        <v>215</v>
      </c>
      <c r="M30" s="204" t="s">
        <v>216</v>
      </c>
      <c r="N30" s="204" t="s">
        <v>217</v>
      </c>
      <c r="O30" s="204"/>
      <c r="P30" s="204" t="s">
        <v>218</v>
      </c>
      <c r="Q30" s="204" t="s">
        <v>218</v>
      </c>
      <c r="R30" s="204" t="s">
        <v>218</v>
      </c>
      <c r="S30" s="204" t="s">
        <v>219</v>
      </c>
      <c r="T30" s="1"/>
      <c r="U30" s="2">
        <f>2+4</f>
        <v>6</v>
      </c>
      <c r="V30" s="1"/>
      <c r="W30" s="1"/>
      <c r="X30" s="204" t="s">
        <v>220</v>
      </c>
      <c r="Y30" s="1"/>
      <c r="Z30" s="2">
        <f>2*4</f>
        <v>8</v>
      </c>
      <c r="AA30" s="3"/>
      <c r="AB30" s="2">
        <f>+Z30+4</f>
        <v>12</v>
      </c>
      <c r="AC30" s="3"/>
      <c r="AD30" s="2">
        <f>+Z30*2</f>
        <v>16</v>
      </c>
      <c r="AE30" s="115"/>
      <c r="AF30" s="115"/>
      <c r="AG30" s="115"/>
      <c r="AH30" s="115"/>
      <c r="AI30" s="116">
        <f>30.26/2+135.11+8.81/2+9.12/2+135.11</f>
        <v>294.31500000000005</v>
      </c>
      <c r="AJ30" s="117">
        <f>51.41+80.04</f>
        <v>131.44999999999999</v>
      </c>
      <c r="AK30" s="118">
        <v>291.2</v>
      </c>
      <c r="AL30" s="118">
        <f>+(51.41+30.26+80.04)/AK30</f>
        <v>0.55532280219780228</v>
      </c>
      <c r="AM30" s="118">
        <f>+(AI30+AJ30-30.26)/AK30</f>
        <v>1.3581902472527474</v>
      </c>
      <c r="AN30" s="157"/>
      <c r="AO30" s="168">
        <f>+((3*16157+10*12923+8*9693+6462*1)/22*AI30)+(AJ30*12923)</f>
        <v>5199832.7002272736</v>
      </c>
      <c r="AP30" s="169">
        <v>22890.47</v>
      </c>
      <c r="AQ30" s="193" t="s">
        <v>45</v>
      </c>
      <c r="AR30" s="5" t="s">
        <v>221</v>
      </c>
      <c r="AS30" s="211">
        <v>44239</v>
      </c>
      <c r="AT30" s="211"/>
      <c r="AU30" s="7" t="s">
        <v>222</v>
      </c>
      <c r="AV30" s="8"/>
      <c r="AW30" s="8"/>
      <c r="AX30" s="8"/>
      <c r="AY30" s="8"/>
      <c r="AZ30" s="8"/>
      <c r="BA30" s="8"/>
      <c r="BB30" s="8"/>
      <c r="BC30" s="8"/>
      <c r="BD30" s="8"/>
      <c r="BE30" s="8"/>
      <c r="BF30" s="8"/>
      <c r="BG30" s="9"/>
      <c r="BH30" s="9"/>
      <c r="BI30" s="9"/>
      <c r="BJ30" s="9"/>
      <c r="BK30" s="9"/>
      <c r="BL30" s="9"/>
      <c r="BM30" s="9"/>
      <c r="BN30" s="9"/>
      <c r="BO30" s="9"/>
      <c r="BP30" s="9"/>
      <c r="BQ30" s="9"/>
      <c r="BR30" s="9"/>
      <c r="BS30" s="9"/>
      <c r="BT30" s="9"/>
      <c r="BU30" s="9"/>
      <c r="BV30" s="9"/>
      <c r="IP30" s="9"/>
      <c r="IQ30" s="9"/>
      <c r="IR30" s="9"/>
      <c r="IS30" s="9"/>
      <c r="IT30" s="9"/>
      <c r="IU30" s="9"/>
      <c r="IV30" s="9"/>
    </row>
    <row r="31" spans="1:256" s="10" customFormat="1" ht="51">
      <c r="A31" s="274"/>
      <c r="B31" s="86">
        <v>30</v>
      </c>
      <c r="C31" s="193" t="s">
        <v>223</v>
      </c>
      <c r="D31" s="227">
        <v>44130</v>
      </c>
      <c r="E31" s="1">
        <v>51628</v>
      </c>
      <c r="F31" s="1">
        <v>161454</v>
      </c>
      <c r="G31" s="1">
        <v>21216</v>
      </c>
      <c r="H31" s="1">
        <v>50</v>
      </c>
      <c r="I31" s="1"/>
      <c r="J31" s="1"/>
      <c r="K31" s="1">
        <v>7</v>
      </c>
      <c r="L31" s="204" t="s">
        <v>39</v>
      </c>
      <c r="M31" s="204" t="s">
        <v>224</v>
      </c>
      <c r="N31" s="204" t="s">
        <v>225</v>
      </c>
      <c r="O31" s="204"/>
      <c r="P31" s="204" t="s">
        <v>187</v>
      </c>
      <c r="Q31" s="204" t="s">
        <v>187</v>
      </c>
      <c r="R31" s="204" t="s">
        <v>187</v>
      </c>
      <c r="S31" s="204" t="s">
        <v>174</v>
      </c>
      <c r="T31" s="1"/>
      <c r="U31" s="2">
        <v>1</v>
      </c>
      <c r="V31" s="1"/>
      <c r="W31" s="1"/>
      <c r="X31" s="204" t="s">
        <v>67</v>
      </c>
      <c r="Y31" s="1"/>
      <c r="Z31" s="2">
        <v>1</v>
      </c>
      <c r="AA31" s="3"/>
      <c r="AB31" s="2">
        <f>+Z31+1</f>
        <v>2</v>
      </c>
      <c r="AC31" s="3"/>
      <c r="AD31" s="2">
        <f>+Z31*2</f>
        <v>2</v>
      </c>
      <c r="AE31" s="115"/>
      <c r="AF31" s="115"/>
      <c r="AG31" s="115"/>
      <c r="AH31" s="115"/>
      <c r="AI31" s="116">
        <f>62.96+17.03/2</f>
        <v>71.474999999999994</v>
      </c>
      <c r="AJ31" s="117"/>
      <c r="AK31" s="118">
        <v>442</v>
      </c>
      <c r="AL31" s="118">
        <f>+(62.96+17.03)/AK31</f>
        <v>0.18097285067873306</v>
      </c>
      <c r="AM31" s="118">
        <f>+AI31/AK31</f>
        <v>0.16170814479638007</v>
      </c>
      <c r="AN31" s="157">
        <f>+(4+18+4)/(2+6+1)</f>
        <v>2.8888888888888888</v>
      </c>
      <c r="AO31" s="168">
        <f>+(7*16157+5*12923+9693*6+2*6462)/20*AI31</f>
        <v>889134.70499999984</v>
      </c>
      <c r="AP31" s="169">
        <v>15395.52</v>
      </c>
      <c r="AQ31" s="193" t="s">
        <v>107</v>
      </c>
      <c r="AR31" s="5" t="s">
        <v>226</v>
      </c>
      <c r="AS31" s="211">
        <v>44239</v>
      </c>
      <c r="AT31" s="211"/>
      <c r="AU31" s="7" t="s">
        <v>227</v>
      </c>
      <c r="AV31" s="8"/>
      <c r="AW31" s="8"/>
      <c r="AX31" s="8"/>
      <c r="AY31" s="8"/>
      <c r="AZ31" s="8"/>
      <c r="BA31" s="8"/>
      <c r="BB31" s="8"/>
      <c r="BC31" s="8"/>
      <c r="BD31" s="8"/>
      <c r="BE31" s="8"/>
      <c r="BF31" s="8"/>
      <c r="BG31" s="9"/>
      <c r="BH31" s="9"/>
      <c r="BI31" s="9"/>
      <c r="BJ31" s="9"/>
      <c r="BK31" s="9"/>
      <c r="BL31" s="9"/>
      <c r="BM31" s="9"/>
      <c r="BN31" s="9"/>
      <c r="BO31" s="9"/>
      <c r="BP31" s="9"/>
      <c r="BQ31" s="9"/>
      <c r="BR31" s="9"/>
      <c r="BS31" s="9"/>
      <c r="BT31" s="9"/>
      <c r="BU31" s="9"/>
      <c r="BV31" s="9"/>
      <c r="IP31" s="9"/>
      <c r="IQ31" s="9"/>
      <c r="IR31" s="9"/>
      <c r="IS31" s="9"/>
      <c r="IT31" s="9"/>
      <c r="IU31" s="9"/>
      <c r="IV31" s="9"/>
    </row>
    <row r="32" spans="1:256" s="10" customFormat="1" ht="140.25">
      <c r="A32" s="274"/>
      <c r="B32" s="86">
        <v>31</v>
      </c>
      <c r="C32" s="193" t="s">
        <v>228</v>
      </c>
      <c r="D32" s="227">
        <v>44102</v>
      </c>
      <c r="E32" s="1">
        <v>47120</v>
      </c>
      <c r="F32" s="1">
        <v>150001</v>
      </c>
      <c r="G32" s="1">
        <v>9264</v>
      </c>
      <c r="H32" s="1"/>
      <c r="I32" s="1"/>
      <c r="J32" s="1">
        <v>124</v>
      </c>
      <c r="K32" s="1">
        <v>21</v>
      </c>
      <c r="L32" s="204" t="s">
        <v>130</v>
      </c>
      <c r="M32" s="204" t="s">
        <v>229</v>
      </c>
      <c r="N32" s="204" t="s">
        <v>230</v>
      </c>
      <c r="O32" s="204"/>
      <c r="P32" s="204" t="s">
        <v>231</v>
      </c>
      <c r="Q32" s="204"/>
      <c r="R32" s="204"/>
      <c r="S32" s="204"/>
      <c r="T32" s="1">
        <f>1+2</f>
        <v>3</v>
      </c>
      <c r="U32" s="2"/>
      <c r="V32" s="1"/>
      <c r="W32" s="1"/>
      <c r="X32" s="204" t="s">
        <v>44</v>
      </c>
      <c r="Y32" s="1">
        <f>3+2+2</f>
        <v>7</v>
      </c>
      <c r="Z32" s="2"/>
      <c r="AA32" s="3">
        <f>+Y32+1</f>
        <v>8</v>
      </c>
      <c r="AB32" s="2"/>
      <c r="AC32" s="3">
        <f>+Y32*2</f>
        <v>14</v>
      </c>
      <c r="AD32" s="2"/>
      <c r="AE32" s="115"/>
      <c r="AF32" s="115"/>
      <c r="AG32" s="115">
        <f>201.65+73.57</f>
        <v>275.22000000000003</v>
      </c>
      <c r="AH32" s="115"/>
      <c r="AI32" s="116"/>
      <c r="AJ32" s="117"/>
      <c r="AK32" s="118">
        <v>464</v>
      </c>
      <c r="AL32" s="118">
        <f>201.65/AK32</f>
        <v>0.43459051724137931</v>
      </c>
      <c r="AM32" s="118">
        <f>+AG32/AK32</f>
        <v>0.59314655172413799</v>
      </c>
      <c r="AN32" s="157"/>
      <c r="AO32" s="168">
        <f>+(6*16157+12923*5+9693*7+4*6462)/22*AG32</f>
        <v>3193252.56</v>
      </c>
      <c r="AP32" s="169">
        <v>47617.760000000002</v>
      </c>
      <c r="AQ32" s="193" t="s">
        <v>73</v>
      </c>
      <c r="AR32" s="5" t="s">
        <v>232</v>
      </c>
      <c r="AS32" s="211">
        <v>44239</v>
      </c>
      <c r="AT32" s="211"/>
      <c r="AU32" s="7"/>
      <c r="AV32" s="8"/>
      <c r="AW32" s="8"/>
      <c r="AX32" s="8"/>
      <c r="AY32" s="8"/>
      <c r="AZ32" s="8"/>
      <c r="BA32" s="8"/>
      <c r="BB32" s="8"/>
      <c r="BC32" s="8"/>
      <c r="BD32" s="8"/>
      <c r="BE32" s="8"/>
      <c r="BF32" s="8"/>
      <c r="BG32" s="9"/>
      <c r="BH32" s="9"/>
      <c r="BI32" s="9"/>
      <c r="BJ32" s="9"/>
      <c r="BK32" s="9"/>
      <c r="BL32" s="9"/>
      <c r="BM32" s="9"/>
      <c r="BN32" s="9"/>
      <c r="BO32" s="9"/>
      <c r="BP32" s="9"/>
      <c r="BQ32" s="9"/>
      <c r="BR32" s="9"/>
      <c r="BS32" s="9"/>
      <c r="BT32" s="9"/>
      <c r="BU32" s="9"/>
      <c r="BV32" s="9"/>
      <c r="IP32" s="9"/>
      <c r="IQ32" s="9"/>
      <c r="IR32" s="9"/>
      <c r="IS32" s="9"/>
      <c r="IT32" s="9"/>
      <c r="IU32" s="9"/>
      <c r="IV32" s="9"/>
    </row>
    <row r="33" spans="1:256" s="10" customFormat="1" ht="51">
      <c r="A33" s="273"/>
      <c r="B33" s="85">
        <v>32</v>
      </c>
      <c r="C33" s="294" t="s">
        <v>233</v>
      </c>
      <c r="D33" s="227">
        <v>44195</v>
      </c>
      <c r="E33" s="1">
        <v>55714</v>
      </c>
      <c r="F33" s="1">
        <v>1720</v>
      </c>
      <c r="G33" s="1">
        <v>2399</v>
      </c>
      <c r="H33" s="1"/>
      <c r="I33" s="1"/>
      <c r="J33" s="1">
        <v>29</v>
      </c>
      <c r="K33" s="1">
        <v>5</v>
      </c>
      <c r="L33" s="204" t="s">
        <v>48</v>
      </c>
      <c r="M33" s="204" t="s">
        <v>234</v>
      </c>
      <c r="N33" s="204" t="s">
        <v>235</v>
      </c>
      <c r="O33" s="204"/>
      <c r="P33" s="204" t="s">
        <v>236</v>
      </c>
      <c r="Q33" s="204"/>
      <c r="R33" s="204"/>
      <c r="S33" s="204"/>
      <c r="T33" s="1">
        <v>1</v>
      </c>
      <c r="U33" s="2"/>
      <c r="V33" s="1"/>
      <c r="W33" s="1"/>
      <c r="X33" s="204" t="s">
        <v>237</v>
      </c>
      <c r="Y33" s="1"/>
      <c r="Z33" s="2"/>
      <c r="AA33" s="3"/>
      <c r="AB33" s="2"/>
      <c r="AC33" s="3"/>
      <c r="AD33" s="2"/>
      <c r="AE33" s="115"/>
      <c r="AF33" s="115">
        <v>380.85</v>
      </c>
      <c r="AG33" s="115"/>
      <c r="AH33" s="115">
        <f>70.6+15.05/2</f>
        <v>78.125</v>
      </c>
      <c r="AI33" s="116"/>
      <c r="AJ33" s="117"/>
      <c r="AK33" s="118">
        <v>626.26</v>
      </c>
      <c r="AL33" s="118"/>
      <c r="AM33" s="118">
        <f>+(AF33+AH33)/AK33</f>
        <v>0.73288250886213402</v>
      </c>
      <c r="AN33" s="157"/>
      <c r="AO33" s="168">
        <f>+AH33*12923</f>
        <v>1009609.375</v>
      </c>
      <c r="AP33" s="168">
        <v>15169.13</v>
      </c>
      <c r="AQ33" s="193" t="s">
        <v>45</v>
      </c>
      <c r="AR33" s="5" t="s">
        <v>238</v>
      </c>
      <c r="AS33" s="211"/>
      <c r="AT33" s="211"/>
      <c r="AU33" s="7"/>
      <c r="AV33" s="8"/>
      <c r="AW33" s="8"/>
      <c r="AX33" s="8"/>
      <c r="AY33" s="8"/>
      <c r="AZ33" s="8"/>
      <c r="BA33" s="8"/>
      <c r="BB33" s="8"/>
      <c r="BC33" s="8"/>
      <c r="BD33" s="8"/>
      <c r="BE33" s="8"/>
      <c r="BF33" s="8"/>
      <c r="BG33" s="9"/>
      <c r="BH33" s="9"/>
      <c r="BI33" s="9"/>
      <c r="BJ33" s="9"/>
      <c r="BK33" s="9"/>
      <c r="BL33" s="9"/>
      <c r="BM33" s="9"/>
      <c r="BN33" s="9"/>
      <c r="BO33" s="9"/>
      <c r="BP33" s="9"/>
      <c r="BQ33" s="9"/>
      <c r="BR33" s="9"/>
      <c r="BS33" s="9"/>
      <c r="BT33" s="9"/>
      <c r="BU33" s="9"/>
      <c r="BV33" s="9"/>
      <c r="IP33" s="9"/>
      <c r="IQ33" s="9"/>
      <c r="IR33" s="9"/>
      <c r="IS33" s="9"/>
      <c r="IT33" s="9"/>
      <c r="IU33" s="9"/>
      <c r="IV33" s="9"/>
    </row>
    <row r="34" spans="1:256" s="24" customFormat="1" ht="76.5">
      <c r="A34" s="274"/>
      <c r="B34" s="88">
        <v>33</v>
      </c>
      <c r="C34" s="296">
        <v>528179</v>
      </c>
      <c r="D34" s="227">
        <v>44223</v>
      </c>
      <c r="E34" s="26">
        <v>30626</v>
      </c>
      <c r="F34" s="26">
        <v>102789</v>
      </c>
      <c r="G34" s="26">
        <v>1544</v>
      </c>
      <c r="H34" s="26"/>
      <c r="I34" s="26"/>
      <c r="J34" s="26">
        <v>152</v>
      </c>
      <c r="K34" s="26">
        <v>8</v>
      </c>
      <c r="L34" s="204" t="s">
        <v>130</v>
      </c>
      <c r="M34" s="204" t="s">
        <v>239</v>
      </c>
      <c r="N34" s="204" t="s">
        <v>240</v>
      </c>
      <c r="O34" s="204"/>
      <c r="P34" s="204" t="s">
        <v>241</v>
      </c>
      <c r="Q34" s="204"/>
      <c r="R34" s="204"/>
      <c r="S34" s="204"/>
      <c r="T34" s="26">
        <v>1</v>
      </c>
      <c r="U34" s="26"/>
      <c r="V34" s="26"/>
      <c r="W34" s="26"/>
      <c r="X34" s="204" t="s">
        <v>67</v>
      </c>
      <c r="Y34" s="26">
        <v>3</v>
      </c>
      <c r="Z34" s="26"/>
      <c r="AA34" s="26">
        <f>+Y34+1+1+1</f>
        <v>6</v>
      </c>
      <c r="AB34" s="26"/>
      <c r="AC34" s="26">
        <f>+Y34*2</f>
        <v>6</v>
      </c>
      <c r="AD34" s="26"/>
      <c r="AE34" s="125"/>
      <c r="AF34" s="125"/>
      <c r="AG34" s="125">
        <f>92.8+1.83/2+79.2</f>
        <v>172.91500000000002</v>
      </c>
      <c r="AH34" s="115"/>
      <c r="AI34" s="115"/>
      <c r="AJ34" s="126"/>
      <c r="AK34" s="126">
        <v>144.75</v>
      </c>
      <c r="AL34" s="126">
        <f>+(92.8+1.83)/AK34</f>
        <v>0.653747841105354</v>
      </c>
      <c r="AM34" s="126">
        <f>+AG34/AK34</f>
        <v>1.1945768566493957</v>
      </c>
      <c r="AN34" s="160">
        <f>+(4+18+8)/(2+6+2)</f>
        <v>3</v>
      </c>
      <c r="AO34" s="168">
        <f>+(7*16157+9*12923+6*9693+6462)/23*AG34</f>
        <v>2210500.2517391308</v>
      </c>
      <c r="AP34" s="174">
        <v>32112.07</v>
      </c>
      <c r="AQ34" s="193" t="s">
        <v>36</v>
      </c>
      <c r="AR34" s="4" t="s">
        <v>242</v>
      </c>
      <c r="AS34" s="215">
        <v>44239</v>
      </c>
      <c r="AT34" s="215"/>
      <c r="AU34" s="28" t="s">
        <v>243</v>
      </c>
      <c r="AV34" s="22"/>
      <c r="AW34" s="22"/>
      <c r="AX34" s="22"/>
      <c r="AY34" s="22"/>
      <c r="AZ34" s="22"/>
      <c r="BA34" s="22"/>
      <c r="BB34" s="22"/>
      <c r="BC34" s="22"/>
      <c r="BD34" s="22"/>
      <c r="BE34" s="22"/>
      <c r="BF34" s="22"/>
      <c r="BG34" s="23"/>
      <c r="BH34" s="23"/>
      <c r="BI34" s="23"/>
      <c r="BJ34" s="23"/>
      <c r="BK34" s="23"/>
      <c r="BL34" s="23"/>
      <c r="BM34" s="23"/>
      <c r="BN34" s="23"/>
      <c r="BO34" s="23"/>
      <c r="BP34" s="23"/>
      <c r="BQ34" s="23"/>
      <c r="BR34" s="23"/>
      <c r="BS34" s="23"/>
      <c r="BT34" s="23"/>
      <c r="BU34" s="23"/>
      <c r="BV34" s="23"/>
      <c r="IP34" s="23"/>
      <c r="IQ34" s="23"/>
      <c r="IR34" s="23"/>
      <c r="IS34" s="23"/>
      <c r="IT34" s="23"/>
      <c r="IU34" s="23"/>
      <c r="IV34" s="23"/>
    </row>
    <row r="35" spans="1:256" s="10" customFormat="1" ht="38.25">
      <c r="A35" s="273"/>
      <c r="B35" s="85">
        <v>34</v>
      </c>
      <c r="C35" s="294">
        <v>526139</v>
      </c>
      <c r="D35" s="227">
        <v>44169</v>
      </c>
      <c r="E35" s="1">
        <v>24400</v>
      </c>
      <c r="F35" s="1">
        <v>90518</v>
      </c>
      <c r="G35" s="1">
        <v>30262</v>
      </c>
      <c r="H35" s="1">
        <v>47</v>
      </c>
      <c r="I35" s="1"/>
      <c r="J35" s="1"/>
      <c r="K35" s="1">
        <v>1</v>
      </c>
      <c r="L35" s="204" t="s">
        <v>244</v>
      </c>
      <c r="M35" s="204" t="s">
        <v>245</v>
      </c>
      <c r="N35" s="204" t="s">
        <v>246</v>
      </c>
      <c r="O35" s="204"/>
      <c r="P35" s="204" t="s">
        <v>247</v>
      </c>
      <c r="Q35" s="204" t="s">
        <v>247</v>
      </c>
      <c r="R35" s="204" t="s">
        <v>247</v>
      </c>
      <c r="S35" s="204" t="s">
        <v>52</v>
      </c>
      <c r="T35" s="1"/>
      <c r="U35" s="2">
        <v>1</v>
      </c>
      <c r="V35" s="1"/>
      <c r="W35" s="1"/>
      <c r="X35" s="204" t="s">
        <v>248</v>
      </c>
      <c r="Y35" s="1"/>
      <c r="Z35" s="2"/>
      <c r="AA35" s="3"/>
      <c r="AB35" s="2"/>
      <c r="AC35" s="3"/>
      <c r="AD35" s="2"/>
      <c r="AE35" s="115"/>
      <c r="AF35" s="115"/>
      <c r="AG35" s="115"/>
      <c r="AH35" s="115">
        <f>477.12+10.28</f>
        <v>487.4</v>
      </c>
      <c r="AI35" s="116"/>
      <c r="AJ35" s="117">
        <f>1107.69+57.97</f>
        <v>1165.6600000000001</v>
      </c>
      <c r="AK35" s="118">
        <v>62984</v>
      </c>
      <c r="AL35" s="118"/>
      <c r="AM35" s="118">
        <f>+(AJ35+AH35)/AK35</f>
        <v>2.6245713197002411E-2</v>
      </c>
      <c r="AN35" s="157"/>
      <c r="AO35" s="168"/>
      <c r="AP35" s="169">
        <v>35717.040000000001</v>
      </c>
      <c r="AQ35" s="193" t="s">
        <v>36</v>
      </c>
      <c r="AR35" s="5" t="s">
        <v>249</v>
      </c>
      <c r="AS35" s="211">
        <v>44239</v>
      </c>
      <c r="AT35" s="211"/>
      <c r="AU35" s="7" t="s">
        <v>250</v>
      </c>
      <c r="AV35" s="8"/>
      <c r="AW35" s="8"/>
      <c r="AX35" s="8"/>
      <c r="AY35" s="8"/>
      <c r="AZ35" s="8"/>
      <c r="BA35" s="8"/>
      <c r="BB35" s="8"/>
      <c r="BC35" s="8"/>
      <c r="BD35" s="8"/>
      <c r="BE35" s="8"/>
      <c r="BF35" s="8"/>
      <c r="BG35" s="9"/>
      <c r="BH35" s="9"/>
      <c r="BI35" s="9"/>
      <c r="BJ35" s="9"/>
      <c r="BK35" s="9"/>
      <c r="BL35" s="9"/>
      <c r="BM35" s="9"/>
      <c r="BN35" s="9"/>
      <c r="BO35" s="9"/>
      <c r="BP35" s="9"/>
      <c r="BQ35" s="9"/>
      <c r="BR35" s="9"/>
      <c r="BS35" s="9"/>
      <c r="BT35" s="9"/>
      <c r="BU35" s="9"/>
      <c r="BV35" s="9"/>
      <c r="IP35" s="9"/>
      <c r="IQ35" s="9"/>
      <c r="IR35" s="9"/>
      <c r="IS35" s="9"/>
      <c r="IT35" s="9"/>
      <c r="IU35" s="9"/>
      <c r="IV35" s="9"/>
    </row>
    <row r="36" spans="1:256" s="10" customFormat="1" ht="51">
      <c r="A36" s="273"/>
      <c r="B36" s="89">
        <v>35</v>
      </c>
      <c r="C36" s="297" t="s">
        <v>251</v>
      </c>
      <c r="D36" s="230">
        <v>44165</v>
      </c>
      <c r="E36" s="32">
        <v>56540</v>
      </c>
      <c r="F36" s="32">
        <v>165337</v>
      </c>
      <c r="G36" s="32">
        <v>21366</v>
      </c>
      <c r="H36" s="32">
        <v>27</v>
      </c>
      <c r="I36" s="32"/>
      <c r="J36" s="32">
        <v>338</v>
      </c>
      <c r="K36" s="32">
        <v>17</v>
      </c>
      <c r="L36" s="207" t="s">
        <v>39</v>
      </c>
      <c r="M36" s="207" t="s">
        <v>252</v>
      </c>
      <c r="N36" s="207" t="s">
        <v>253</v>
      </c>
      <c r="O36" s="207"/>
      <c r="P36" s="207" t="s">
        <v>202</v>
      </c>
      <c r="Q36" s="207"/>
      <c r="R36" s="207"/>
      <c r="S36" s="207"/>
      <c r="T36" s="32"/>
      <c r="U36" s="33">
        <v>1</v>
      </c>
      <c r="V36" s="32"/>
      <c r="W36" s="32"/>
      <c r="X36" s="207" t="s">
        <v>67</v>
      </c>
      <c r="Y36" s="32"/>
      <c r="Z36" s="33">
        <v>2</v>
      </c>
      <c r="AA36" s="34"/>
      <c r="AB36" s="33">
        <f>+Z36+1</f>
        <v>3</v>
      </c>
      <c r="AC36" s="34"/>
      <c r="AD36" s="33">
        <f>+Z36*2</f>
        <v>4</v>
      </c>
      <c r="AE36" s="129"/>
      <c r="AF36" s="129"/>
      <c r="AG36" s="129"/>
      <c r="AH36" s="129"/>
      <c r="AI36" s="130">
        <f>79+1.2/2</f>
        <v>79.599999999999994</v>
      </c>
      <c r="AJ36" s="131"/>
      <c r="AK36" s="132">
        <v>310.49</v>
      </c>
      <c r="AL36" s="132">
        <f>+(79+1.2)/AK36</f>
        <v>0.25830139456987344</v>
      </c>
      <c r="AM36" s="132">
        <f>+AI36/AK36</f>
        <v>0.25636896518406388</v>
      </c>
      <c r="AN36" s="162"/>
      <c r="AO36" s="177">
        <f>+(11*12923+9693*6+3*6462)/20*AI36</f>
        <v>874394.05999999994</v>
      </c>
      <c r="AP36" s="178">
        <v>6519.14</v>
      </c>
      <c r="AQ36" s="197" t="s">
        <v>36</v>
      </c>
      <c r="AR36" s="35" t="s">
        <v>254</v>
      </c>
      <c r="AS36" s="218">
        <v>44249</v>
      </c>
      <c r="AT36" s="218"/>
      <c r="AU36" s="36" t="s">
        <v>255</v>
      </c>
      <c r="AV36" s="8"/>
      <c r="AW36" s="8"/>
      <c r="AX36" s="8"/>
      <c r="AY36" s="8"/>
      <c r="AZ36" s="8"/>
      <c r="BA36" s="8"/>
      <c r="BB36" s="8"/>
      <c r="BC36" s="8"/>
      <c r="BD36" s="8"/>
      <c r="BE36" s="8"/>
      <c r="BF36" s="8"/>
      <c r="BG36" s="9"/>
      <c r="BH36" s="9"/>
      <c r="BI36" s="9"/>
      <c r="BJ36" s="9"/>
      <c r="BK36" s="9"/>
      <c r="BL36" s="9"/>
      <c r="BM36" s="9"/>
      <c r="BN36" s="9"/>
      <c r="BO36" s="9"/>
      <c r="BP36" s="9"/>
      <c r="BQ36" s="9"/>
      <c r="BR36" s="9"/>
      <c r="BS36" s="9"/>
      <c r="BT36" s="9"/>
      <c r="BU36" s="9"/>
      <c r="BV36" s="9"/>
      <c r="IP36" s="9"/>
      <c r="IQ36" s="9"/>
      <c r="IR36" s="9"/>
      <c r="IS36" s="9"/>
      <c r="IT36" s="9"/>
      <c r="IU36" s="9"/>
      <c r="IV36" s="9"/>
    </row>
    <row r="37" spans="1:256" s="10" customFormat="1" ht="76.5">
      <c r="A37" s="274"/>
      <c r="B37" s="86">
        <v>36</v>
      </c>
      <c r="C37" s="193" t="s">
        <v>256</v>
      </c>
      <c r="D37" s="227">
        <v>44165</v>
      </c>
      <c r="E37" s="1">
        <v>19053</v>
      </c>
      <c r="F37" s="1">
        <v>108832</v>
      </c>
      <c r="G37" s="1">
        <v>3569</v>
      </c>
      <c r="H37" s="1"/>
      <c r="I37" s="1"/>
      <c r="J37" s="1">
        <v>55</v>
      </c>
      <c r="K37" s="1">
        <v>18</v>
      </c>
      <c r="L37" s="204" t="s">
        <v>130</v>
      </c>
      <c r="M37" s="204" t="s">
        <v>257</v>
      </c>
      <c r="N37" s="204" t="s">
        <v>258</v>
      </c>
      <c r="O37" s="204"/>
      <c r="P37" s="204" t="s">
        <v>259</v>
      </c>
      <c r="Q37" s="204"/>
      <c r="R37" s="204"/>
      <c r="S37" s="204"/>
      <c r="T37" s="1">
        <v>2</v>
      </c>
      <c r="U37" s="2"/>
      <c r="V37" s="1"/>
      <c r="W37" s="1"/>
      <c r="X37" s="204" t="s">
        <v>44</v>
      </c>
      <c r="Y37" s="1">
        <f>2+1</f>
        <v>3</v>
      </c>
      <c r="Z37" s="2"/>
      <c r="AA37" s="3">
        <f>+Y37+1+2</f>
        <v>6</v>
      </c>
      <c r="AB37" s="2"/>
      <c r="AC37" s="3">
        <f>+Y37*2</f>
        <v>6</v>
      </c>
      <c r="AD37" s="2"/>
      <c r="AE37" s="115"/>
      <c r="AF37" s="115"/>
      <c r="AG37" s="115">
        <f>67.8+2.85/2+35.88+4.16/2</f>
        <v>107.18499999999999</v>
      </c>
      <c r="AH37" s="115"/>
      <c r="AI37" s="116"/>
      <c r="AJ37" s="117"/>
      <c r="AK37" s="118">
        <v>252</v>
      </c>
      <c r="AL37" s="118">
        <f>+(67.8+2.85+35.88+4.16)/AK37</f>
        <v>0.43924603174603172</v>
      </c>
      <c r="AM37" s="118">
        <f>+AG37/AK37</f>
        <v>0.42533730158730154</v>
      </c>
      <c r="AN37" s="157">
        <f>+(12+20)/(4+5)</f>
        <v>3.5555555555555554</v>
      </c>
      <c r="AO37" s="168">
        <f>+(5*16157+5*12923+8*9693+4*6462)/22*AG37</f>
        <v>1212125.9327272726</v>
      </c>
      <c r="AP37" s="169">
        <v>19743.21</v>
      </c>
      <c r="AQ37" s="193" t="s">
        <v>36</v>
      </c>
      <c r="AR37" s="5" t="s">
        <v>260</v>
      </c>
      <c r="AS37" s="211">
        <v>44249</v>
      </c>
      <c r="AT37" s="211"/>
      <c r="AU37" s="7" t="s">
        <v>261</v>
      </c>
      <c r="AV37" s="8"/>
      <c r="AW37" s="8"/>
      <c r="AX37" s="8"/>
      <c r="AY37" s="8"/>
      <c r="AZ37" s="8"/>
      <c r="BA37" s="8"/>
      <c r="BB37" s="8"/>
      <c r="BC37" s="8"/>
      <c r="BD37" s="8"/>
      <c r="BE37" s="8"/>
      <c r="BF37" s="8"/>
      <c r="BG37" s="9"/>
      <c r="BH37" s="9"/>
      <c r="BI37" s="9"/>
      <c r="BJ37" s="9"/>
      <c r="BK37" s="9"/>
      <c r="BL37" s="9"/>
      <c r="BM37" s="9"/>
      <c r="BN37" s="9"/>
      <c r="BO37" s="9"/>
      <c r="BP37" s="9"/>
      <c r="BQ37" s="9"/>
      <c r="BR37" s="9"/>
      <c r="BS37" s="9"/>
      <c r="BT37" s="9"/>
      <c r="BU37" s="9"/>
      <c r="BV37" s="9"/>
      <c r="IP37" s="9"/>
      <c r="IQ37" s="9"/>
      <c r="IR37" s="9"/>
      <c r="IS37" s="9"/>
      <c r="IT37" s="9"/>
      <c r="IU37" s="9"/>
      <c r="IV37" s="9"/>
    </row>
    <row r="38" spans="1:256" s="10" customFormat="1" ht="63.75">
      <c r="A38" s="274"/>
      <c r="B38" s="86">
        <v>37</v>
      </c>
      <c r="C38" s="193">
        <v>528181</v>
      </c>
      <c r="D38" s="227">
        <v>44223</v>
      </c>
      <c r="E38" s="1">
        <v>52970</v>
      </c>
      <c r="F38" s="1">
        <v>162560</v>
      </c>
      <c r="G38" s="1">
        <v>33194</v>
      </c>
      <c r="H38" s="1">
        <v>225</v>
      </c>
      <c r="I38" s="1"/>
      <c r="J38" s="1">
        <v>6</v>
      </c>
      <c r="K38" s="1">
        <v>4</v>
      </c>
      <c r="L38" s="204" t="s">
        <v>262</v>
      </c>
      <c r="M38" s="204" t="s">
        <v>193</v>
      </c>
      <c r="N38" s="204" t="s">
        <v>263</v>
      </c>
      <c r="O38" s="204"/>
      <c r="P38" s="204" t="s">
        <v>241</v>
      </c>
      <c r="Q38" s="204"/>
      <c r="R38" s="204"/>
      <c r="S38" s="204" t="s">
        <v>264</v>
      </c>
      <c r="T38" s="1">
        <v>2</v>
      </c>
      <c r="U38" s="2"/>
      <c r="V38" s="1"/>
      <c r="W38" s="1"/>
      <c r="X38" s="204" t="s">
        <v>44</v>
      </c>
      <c r="Y38" s="3">
        <f>2+2</f>
        <v>4</v>
      </c>
      <c r="Z38" s="2"/>
      <c r="AA38" s="3">
        <f>2+2</f>
        <v>4</v>
      </c>
      <c r="AB38" s="2"/>
      <c r="AC38" s="3">
        <f>+Y38*2</f>
        <v>8</v>
      </c>
      <c r="AD38" s="2">
        <f>+Z38*2</f>
        <v>0</v>
      </c>
      <c r="AE38" s="115"/>
      <c r="AF38" s="115"/>
      <c r="AG38" s="115">
        <f>110.16+11.1/2</f>
        <v>115.71</v>
      </c>
      <c r="AH38" s="115"/>
      <c r="AI38" s="116"/>
      <c r="AJ38" s="117"/>
      <c r="AK38" s="118">
        <v>584.64</v>
      </c>
      <c r="AL38" s="118">
        <f>+(110.16+11.1)/AK38</f>
        <v>0.20740968801313628</v>
      </c>
      <c r="AM38" s="118">
        <f>+(AG38/AK38)</f>
        <v>0.19791666666666666</v>
      </c>
      <c r="AN38" s="157">
        <f>+(6+20+5+6)/(2+5+1+1)</f>
        <v>4.1111111111111107</v>
      </c>
      <c r="AO38" s="168">
        <f>+(6*16157+12923+5*9693+6*6462)/18*AG38</f>
        <v>1267037.3566666667</v>
      </c>
      <c r="AP38" s="169">
        <v>20257.939999999999</v>
      </c>
      <c r="AQ38" s="193" t="s">
        <v>36</v>
      </c>
      <c r="AR38" s="5" t="s">
        <v>265</v>
      </c>
      <c r="AS38" s="211">
        <v>44251</v>
      </c>
      <c r="AT38" s="211"/>
      <c r="AU38" s="7"/>
      <c r="AV38" s="8"/>
      <c r="AW38" s="8"/>
      <c r="AX38" s="8"/>
      <c r="AY38" s="8"/>
      <c r="AZ38" s="8"/>
      <c r="BA38" s="8"/>
      <c r="BB38" s="8"/>
      <c r="BC38" s="8"/>
      <c r="BD38" s="8"/>
      <c r="BE38" s="8"/>
      <c r="BF38" s="8"/>
      <c r="BG38" s="9"/>
      <c r="BH38" s="9"/>
      <c r="BI38" s="9"/>
      <c r="BJ38" s="9"/>
      <c r="BK38" s="9"/>
      <c r="BL38" s="9"/>
      <c r="BM38" s="9"/>
      <c r="BN38" s="9"/>
      <c r="BO38" s="9"/>
      <c r="BP38" s="9"/>
      <c r="BQ38" s="9"/>
      <c r="BR38" s="9"/>
      <c r="BS38" s="9"/>
      <c r="BT38" s="9"/>
      <c r="BU38" s="9"/>
      <c r="BV38" s="9"/>
      <c r="IP38" s="9"/>
      <c r="IQ38" s="9"/>
      <c r="IR38" s="9"/>
      <c r="IS38" s="9"/>
      <c r="IT38" s="9"/>
      <c r="IU38" s="9"/>
      <c r="IV38" s="9"/>
    </row>
    <row r="39" spans="1:256" s="10" customFormat="1" ht="51">
      <c r="A39" s="274"/>
      <c r="B39" s="86">
        <v>38</v>
      </c>
      <c r="C39" s="193" t="s">
        <v>266</v>
      </c>
      <c r="D39" s="235">
        <v>44208</v>
      </c>
      <c r="E39" s="1">
        <v>52839</v>
      </c>
      <c r="F39" s="1">
        <v>162302</v>
      </c>
      <c r="G39" s="1">
        <v>33154</v>
      </c>
      <c r="H39" s="1">
        <v>367</v>
      </c>
      <c r="I39" s="1"/>
      <c r="J39" s="1">
        <v>2</v>
      </c>
      <c r="K39" s="1">
        <v>9</v>
      </c>
      <c r="L39" s="204" t="s">
        <v>192</v>
      </c>
      <c r="M39" s="204" t="s">
        <v>267</v>
      </c>
      <c r="N39" s="204" t="s">
        <v>268</v>
      </c>
      <c r="O39" s="204"/>
      <c r="P39" s="204" t="s">
        <v>269</v>
      </c>
      <c r="Q39" s="204" t="s">
        <v>269</v>
      </c>
      <c r="R39" s="204" t="s">
        <v>269</v>
      </c>
      <c r="S39" s="204" t="s">
        <v>270</v>
      </c>
      <c r="T39" s="1">
        <v>5</v>
      </c>
      <c r="U39" s="2"/>
      <c r="V39" s="1"/>
      <c r="W39" s="1"/>
      <c r="X39" s="204" t="s">
        <v>271</v>
      </c>
      <c r="Y39" s="1">
        <v>8</v>
      </c>
      <c r="Z39" s="2"/>
      <c r="AA39" s="3">
        <v>11</v>
      </c>
      <c r="AB39" s="2"/>
      <c r="AC39" s="3">
        <v>16</v>
      </c>
      <c r="AD39" s="2"/>
      <c r="AE39" s="115">
        <f>139.16+134.64+40/2</f>
        <v>293.79999999999995</v>
      </c>
      <c r="AF39" s="115"/>
      <c r="AG39" s="115"/>
      <c r="AH39" s="115"/>
      <c r="AI39" s="116">
        <f>34.22/2</f>
        <v>17.11</v>
      </c>
      <c r="AJ39" s="117"/>
      <c r="AK39" s="118">
        <v>805.6</v>
      </c>
      <c r="AL39" s="118">
        <f>+(34.22+134.64+40)/AK39</f>
        <v>0.25926017874875867</v>
      </c>
      <c r="AM39" s="118">
        <f>+(AE39+AI39)/AK39</f>
        <v>0.38593594836146966</v>
      </c>
      <c r="AN39" s="157"/>
      <c r="AO39" s="168">
        <f>+(AI39*12923)+450000</f>
        <v>671112.53</v>
      </c>
      <c r="AP39" s="168">
        <v>24777.9</v>
      </c>
      <c r="AQ39" s="193" t="s">
        <v>107</v>
      </c>
      <c r="AR39" s="5" t="s">
        <v>272</v>
      </c>
      <c r="AS39" s="211">
        <v>44252</v>
      </c>
      <c r="AT39" s="211"/>
      <c r="AU39" s="7" t="s">
        <v>273</v>
      </c>
      <c r="AV39" s="8"/>
      <c r="AW39" s="8"/>
      <c r="AX39" s="8"/>
      <c r="AY39" s="8"/>
      <c r="AZ39" s="8"/>
      <c r="BA39" s="8"/>
      <c r="BB39" s="8"/>
      <c r="BC39" s="8"/>
      <c r="BD39" s="8"/>
      <c r="BE39" s="8"/>
      <c r="BF39" s="8"/>
      <c r="BG39" s="9"/>
      <c r="BH39" s="9"/>
      <c r="BI39" s="9"/>
      <c r="BJ39" s="9"/>
      <c r="BK39" s="9"/>
      <c r="BL39" s="9"/>
      <c r="BM39" s="9"/>
      <c r="BN39" s="9"/>
      <c r="BO39" s="9"/>
      <c r="BP39" s="9"/>
      <c r="BQ39" s="9"/>
      <c r="BR39" s="9"/>
      <c r="BS39" s="9"/>
      <c r="BT39" s="9"/>
      <c r="BU39" s="9"/>
      <c r="BV39" s="9"/>
      <c r="IP39" s="9"/>
      <c r="IQ39" s="9"/>
      <c r="IR39" s="9"/>
      <c r="IS39" s="9"/>
      <c r="IT39" s="9"/>
      <c r="IU39" s="9"/>
      <c r="IV39" s="9"/>
    </row>
    <row r="40" spans="1:256" s="10" customFormat="1" ht="63.75">
      <c r="A40" s="272" t="s">
        <v>274</v>
      </c>
      <c r="B40" s="86">
        <v>39</v>
      </c>
      <c r="C40" s="193" t="s">
        <v>275</v>
      </c>
      <c r="D40" s="236">
        <v>44505</v>
      </c>
      <c r="E40" s="1">
        <v>49409</v>
      </c>
      <c r="F40" s="1"/>
      <c r="G40" s="1">
        <v>4746</v>
      </c>
      <c r="H40" s="1"/>
      <c r="I40" s="1"/>
      <c r="J40" s="1">
        <v>68</v>
      </c>
      <c r="K40" s="1">
        <v>11</v>
      </c>
      <c r="L40" s="204" t="s">
        <v>130</v>
      </c>
      <c r="M40" s="204" t="s">
        <v>276</v>
      </c>
      <c r="N40" s="204" t="s">
        <v>277</v>
      </c>
      <c r="O40" s="204"/>
      <c r="P40" s="204" t="s">
        <v>140</v>
      </c>
      <c r="Q40" s="204" t="s">
        <v>140</v>
      </c>
      <c r="R40" s="204" t="s">
        <v>140</v>
      </c>
      <c r="S40" s="204" t="s">
        <v>52</v>
      </c>
      <c r="T40" s="1"/>
      <c r="U40" s="2">
        <v>1</v>
      </c>
      <c r="V40" s="1"/>
      <c r="W40" s="1"/>
      <c r="X40" s="204" t="s">
        <v>67</v>
      </c>
      <c r="Y40" s="1"/>
      <c r="Z40" s="2">
        <v>2</v>
      </c>
      <c r="AA40" s="3"/>
      <c r="AB40" s="2">
        <f>+Z40+1+1</f>
        <v>4</v>
      </c>
      <c r="AC40" s="3"/>
      <c r="AD40" s="2">
        <f>+Z40*2</f>
        <v>4</v>
      </c>
      <c r="AE40" s="115"/>
      <c r="AF40" s="115"/>
      <c r="AG40" s="115"/>
      <c r="AH40" s="115"/>
      <c r="AI40" s="116">
        <f>148.81+84.29/2</f>
        <v>190.95500000000001</v>
      </c>
      <c r="AJ40" s="117"/>
      <c r="AK40" s="118">
        <v>475.45</v>
      </c>
      <c r="AL40" s="118">
        <f>+(148.81+84.29)/AK40</f>
        <v>0.49027237354085607</v>
      </c>
      <c r="AM40" s="118">
        <f>+AI40/AK40</f>
        <v>0.40163003470396469</v>
      </c>
      <c r="AN40" s="157"/>
      <c r="AO40" s="168">
        <f>+(6*16157+6*12923+7*9693+6162)/20*AI40</f>
        <v>2372549.0407500002</v>
      </c>
      <c r="AP40" s="169">
        <v>9192.3700000000008</v>
      </c>
      <c r="AQ40" s="193" t="s">
        <v>36</v>
      </c>
      <c r="AR40" s="5" t="s">
        <v>278</v>
      </c>
      <c r="AS40" s="211">
        <v>44257</v>
      </c>
      <c r="AT40" s="211"/>
      <c r="AU40" s="7" t="s">
        <v>279</v>
      </c>
      <c r="AV40" s="8"/>
      <c r="AW40" s="8"/>
      <c r="AX40" s="8"/>
      <c r="AY40" s="8"/>
      <c r="AZ40" s="8"/>
      <c r="BA40" s="8"/>
      <c r="BB40" s="8"/>
      <c r="BC40" s="8"/>
      <c r="BD40" s="8"/>
      <c r="BE40" s="8"/>
      <c r="BF40" s="8"/>
      <c r="BG40" s="9"/>
      <c r="BH40" s="9"/>
      <c r="BI40" s="9"/>
      <c r="BJ40" s="9"/>
      <c r="BK40" s="9"/>
      <c r="BL40" s="9"/>
      <c r="BM40" s="9"/>
      <c r="BN40" s="9"/>
      <c r="BO40" s="9"/>
      <c r="BP40" s="9"/>
      <c r="BQ40" s="9"/>
      <c r="BR40" s="9"/>
      <c r="BS40" s="9"/>
      <c r="BT40" s="9"/>
      <c r="BU40" s="9"/>
      <c r="BV40" s="9"/>
      <c r="IP40" s="9"/>
      <c r="IQ40" s="9"/>
      <c r="IR40" s="9"/>
      <c r="IS40" s="9"/>
      <c r="IT40" s="9"/>
      <c r="IU40" s="9"/>
      <c r="IV40" s="9"/>
    </row>
    <row r="41" spans="1:256" s="10" customFormat="1" ht="51">
      <c r="A41" s="272"/>
      <c r="B41" s="86">
        <v>40</v>
      </c>
      <c r="C41" s="193">
        <v>523033</v>
      </c>
      <c r="D41" s="227">
        <v>44061</v>
      </c>
      <c r="E41" s="1">
        <v>16346</v>
      </c>
      <c r="F41" s="1">
        <v>678</v>
      </c>
      <c r="G41" s="1">
        <v>4056</v>
      </c>
      <c r="H41" s="1"/>
      <c r="I41" s="1"/>
      <c r="J41" s="1">
        <v>13</v>
      </c>
      <c r="K41" s="1">
        <v>18</v>
      </c>
      <c r="L41" s="204" t="s">
        <v>31</v>
      </c>
      <c r="M41" s="204" t="s">
        <v>280</v>
      </c>
      <c r="N41" s="204" t="s">
        <v>281</v>
      </c>
      <c r="O41" s="204"/>
      <c r="P41" s="204" t="s">
        <v>241</v>
      </c>
      <c r="Q41" s="204" t="s">
        <v>241</v>
      </c>
      <c r="R41" s="204"/>
      <c r="S41" s="204" t="s">
        <v>282</v>
      </c>
      <c r="T41" s="1"/>
      <c r="U41" s="2">
        <v>2</v>
      </c>
      <c r="V41" s="1"/>
      <c r="W41" s="1"/>
      <c r="X41" s="204" t="s">
        <v>44</v>
      </c>
      <c r="Y41" s="1"/>
      <c r="Z41" s="2">
        <v>2</v>
      </c>
      <c r="AA41" s="3"/>
      <c r="AB41" s="2">
        <v>2</v>
      </c>
      <c r="AC41" s="3"/>
      <c r="AD41" s="2">
        <f>+Z41*2</f>
        <v>4</v>
      </c>
      <c r="AE41" s="115"/>
      <c r="AF41" s="115"/>
      <c r="AG41" s="115"/>
      <c r="AH41" s="115"/>
      <c r="AI41" s="116">
        <f>54+9/2</f>
        <v>58.5</v>
      </c>
      <c r="AJ41" s="117"/>
      <c r="AK41" s="118">
        <v>289.5</v>
      </c>
      <c r="AL41" s="118">
        <f>+(54+9)/AK41</f>
        <v>0.21761658031088082</v>
      </c>
      <c r="AM41" s="118">
        <f>+AI41/AK41</f>
        <v>0.20207253886010362</v>
      </c>
      <c r="AN41" s="157">
        <f>+(3+24+5+6)/(1+6+1+1)</f>
        <v>4.2222222222222223</v>
      </c>
      <c r="AO41" s="168">
        <f>+(18109*3+2*14484+4*10864+7243*12)/21*AI41</f>
        <v>595215.21428571432</v>
      </c>
      <c r="AP41" s="169">
        <v>3924.76</v>
      </c>
      <c r="AQ41" s="193" t="s">
        <v>36</v>
      </c>
      <c r="AR41" s="5" t="s">
        <v>283</v>
      </c>
      <c r="AS41" s="211">
        <v>44258</v>
      </c>
      <c r="AT41" s="211"/>
      <c r="AU41" s="5" t="s">
        <v>284</v>
      </c>
      <c r="AV41" s="8"/>
      <c r="AW41" s="8"/>
      <c r="AX41" s="8"/>
      <c r="AY41" s="8"/>
      <c r="AZ41" s="8"/>
      <c r="BA41" s="8"/>
      <c r="BB41" s="8"/>
      <c r="BC41" s="8"/>
      <c r="BD41" s="8"/>
      <c r="BE41" s="8"/>
      <c r="BF41" s="8"/>
      <c r="BG41" s="9"/>
      <c r="BH41" s="9"/>
      <c r="BI41" s="9"/>
      <c r="BJ41" s="9"/>
      <c r="BK41" s="9"/>
      <c r="BL41" s="9"/>
      <c r="BM41" s="9"/>
      <c r="BN41" s="9"/>
      <c r="BO41" s="9"/>
      <c r="BP41" s="9"/>
      <c r="BQ41" s="9"/>
      <c r="BR41" s="9"/>
      <c r="BS41" s="9"/>
      <c r="BT41" s="9"/>
      <c r="BU41" s="9"/>
      <c r="BV41" s="9"/>
      <c r="IP41" s="9"/>
      <c r="IQ41" s="9"/>
      <c r="IR41" s="9"/>
      <c r="IS41" s="9"/>
      <c r="IT41" s="9"/>
      <c r="IU41" s="9"/>
      <c r="IV41" s="9"/>
    </row>
    <row r="42" spans="1:256" s="10" customFormat="1" ht="89.25">
      <c r="A42" s="272"/>
      <c r="B42" s="86">
        <v>41</v>
      </c>
      <c r="C42" s="193" t="s">
        <v>285</v>
      </c>
      <c r="D42" s="227">
        <v>44182</v>
      </c>
      <c r="E42" s="1">
        <v>42392</v>
      </c>
      <c r="F42" s="1">
        <v>140619</v>
      </c>
      <c r="G42" s="1">
        <v>31824</v>
      </c>
      <c r="H42" s="1">
        <v>3</v>
      </c>
      <c r="I42" s="1"/>
      <c r="J42" s="1">
        <v>7</v>
      </c>
      <c r="K42" s="1">
        <v>10</v>
      </c>
      <c r="L42" s="204" t="s">
        <v>286</v>
      </c>
      <c r="M42" s="204" t="s">
        <v>287</v>
      </c>
      <c r="N42" s="204" t="s">
        <v>288</v>
      </c>
      <c r="O42" s="204"/>
      <c r="P42" s="204" t="s">
        <v>289</v>
      </c>
      <c r="Q42" s="204" t="s">
        <v>289</v>
      </c>
      <c r="R42" s="204" t="s">
        <v>289</v>
      </c>
      <c r="S42" s="204" t="s">
        <v>98</v>
      </c>
      <c r="T42" s="1"/>
      <c r="U42" s="2"/>
      <c r="V42" s="1">
        <v>1</v>
      </c>
      <c r="W42" s="1"/>
      <c r="X42" s="204" t="s">
        <v>175</v>
      </c>
      <c r="Y42" s="1">
        <f>3+1</f>
        <v>4</v>
      </c>
      <c r="Z42" s="2">
        <v>1</v>
      </c>
      <c r="AA42" s="3">
        <f>+Y42+2</f>
        <v>6</v>
      </c>
      <c r="AB42" s="2"/>
      <c r="AC42" s="3">
        <f>+Y42*2</f>
        <v>8</v>
      </c>
      <c r="AD42" s="2">
        <f>+Z42*2</f>
        <v>2</v>
      </c>
      <c r="AE42" s="115">
        <f>130.96+42.68/2</f>
        <v>152.30000000000001</v>
      </c>
      <c r="AF42" s="115"/>
      <c r="AG42" s="115"/>
      <c r="AH42" s="115"/>
      <c r="AI42" s="115">
        <f>2.81+3.55+16.22+15.86</f>
        <v>38.44</v>
      </c>
      <c r="AJ42" s="117"/>
      <c r="AK42" s="118">
        <v>886.31</v>
      </c>
      <c r="AL42" s="118">
        <f>+(130.96+42.68+2.81+3.55)/AK42</f>
        <v>0.20308921257799195</v>
      </c>
      <c r="AM42" s="118">
        <f>+(AE42+AG42)/AK42</f>
        <v>0.1718360393090454</v>
      </c>
      <c r="AN42" s="157">
        <f>+(8+15+18)/(4+5+3)</f>
        <v>3.4166666666666665</v>
      </c>
      <c r="AO42" s="168">
        <f>+(7*18109+10*14484+10864*5+7243)/23*AI42</f>
        <v>556821.78434782603</v>
      </c>
      <c r="AP42" s="169">
        <v>32760.43</v>
      </c>
      <c r="AQ42" s="193" t="s">
        <v>36</v>
      </c>
      <c r="AR42" s="5" t="s">
        <v>290</v>
      </c>
      <c r="AS42" s="211">
        <v>44260</v>
      </c>
      <c r="AT42" s="211"/>
      <c r="AU42" s="5" t="s">
        <v>291</v>
      </c>
      <c r="AV42" s="8"/>
      <c r="AW42" s="8"/>
      <c r="AX42" s="8"/>
      <c r="AY42" s="8"/>
      <c r="AZ42" s="8"/>
      <c r="BA42" s="8"/>
      <c r="BB42" s="8"/>
      <c r="BC42" s="8"/>
      <c r="BD42" s="8"/>
      <c r="BE42" s="8"/>
      <c r="BF42" s="8"/>
      <c r="BG42" s="9"/>
      <c r="BH42" s="9"/>
      <c r="BI42" s="9"/>
      <c r="BJ42" s="9"/>
      <c r="BK42" s="9"/>
      <c r="BL42" s="9"/>
      <c r="BM42" s="9"/>
      <c r="BN42" s="9"/>
      <c r="BO42" s="9"/>
      <c r="BP42" s="9"/>
      <c r="BQ42" s="9"/>
      <c r="BR42" s="9"/>
      <c r="BS42" s="9"/>
      <c r="BT42" s="9"/>
      <c r="BU42" s="9"/>
      <c r="BV42" s="9"/>
      <c r="IP42" s="9"/>
      <c r="IQ42" s="9"/>
      <c r="IR42" s="9"/>
      <c r="IS42" s="9"/>
      <c r="IT42" s="9"/>
      <c r="IU42" s="9"/>
      <c r="IV42" s="9"/>
    </row>
    <row r="43" spans="1:256" s="10" customFormat="1" ht="89.25">
      <c r="A43" s="272"/>
      <c r="B43" s="86">
        <v>42</v>
      </c>
      <c r="C43" s="193" t="s">
        <v>292</v>
      </c>
      <c r="D43" s="227">
        <v>44210</v>
      </c>
      <c r="E43" s="1">
        <v>56872</v>
      </c>
      <c r="F43" s="1">
        <v>137921</v>
      </c>
      <c r="G43" s="1">
        <v>31518</v>
      </c>
      <c r="H43" s="1">
        <v>3</v>
      </c>
      <c r="I43" s="1"/>
      <c r="J43" s="1">
        <v>8</v>
      </c>
      <c r="K43" s="1">
        <v>4</v>
      </c>
      <c r="L43" s="204" t="s">
        <v>293</v>
      </c>
      <c r="M43" s="204" t="s">
        <v>294</v>
      </c>
      <c r="N43" s="204" t="s">
        <v>295</v>
      </c>
      <c r="O43" s="204"/>
      <c r="P43" s="204" t="s">
        <v>296</v>
      </c>
      <c r="Q43" s="204" t="s">
        <v>296</v>
      </c>
      <c r="R43" s="204" t="s">
        <v>296</v>
      </c>
      <c r="S43" s="204" t="s">
        <v>52</v>
      </c>
      <c r="T43" s="1"/>
      <c r="U43" s="2">
        <v>1</v>
      </c>
      <c r="V43" s="1"/>
      <c r="W43" s="1"/>
      <c r="X43" s="204" t="s">
        <v>67</v>
      </c>
      <c r="Y43" s="1"/>
      <c r="Z43" s="2">
        <v>2</v>
      </c>
      <c r="AA43" s="3"/>
      <c r="AB43" s="2">
        <f>+Z43+1+1</f>
        <v>4</v>
      </c>
      <c r="AC43" s="3"/>
      <c r="AD43" s="2">
        <f>+Z43*2</f>
        <v>4</v>
      </c>
      <c r="AE43" s="115"/>
      <c r="AF43" s="115"/>
      <c r="AG43" s="115"/>
      <c r="AH43" s="115"/>
      <c r="AI43" s="116">
        <f>145.89+62.53/2+125.16+20.74/2</f>
        <v>312.68499999999995</v>
      </c>
      <c r="AJ43" s="117"/>
      <c r="AK43" s="118">
        <v>842.38</v>
      </c>
      <c r="AL43" s="118">
        <f>+(145.89+62.53)/AK43</f>
        <v>0.24741802986775563</v>
      </c>
      <c r="AM43" s="118">
        <f>+AI43/AK43</f>
        <v>0.37119233600037982</v>
      </c>
      <c r="AN43" s="157">
        <f>+(1+8+12+4+12)/(1+4+4+1+2)</f>
        <v>3.0833333333333335</v>
      </c>
      <c r="AO43" s="168">
        <f>820000+((9*18109+14484*11+3*10864)/23*AI43)</f>
        <v>5644824.7149999989</v>
      </c>
      <c r="AP43" s="169">
        <v>58381.93</v>
      </c>
      <c r="AQ43" s="193" t="s">
        <v>36</v>
      </c>
      <c r="AR43" s="5" t="s">
        <v>297</v>
      </c>
      <c r="AS43" s="211">
        <v>44264</v>
      </c>
      <c r="AT43" s="211"/>
      <c r="AU43" s="7" t="s">
        <v>298</v>
      </c>
      <c r="AV43" s="8"/>
      <c r="AW43" s="8"/>
      <c r="AX43" s="8"/>
      <c r="AY43" s="8"/>
      <c r="AZ43" s="8"/>
      <c r="BA43" s="8"/>
      <c r="BB43" s="8"/>
      <c r="BC43" s="8"/>
      <c r="BD43" s="8"/>
      <c r="BE43" s="8"/>
      <c r="BF43" s="8"/>
      <c r="BG43" s="9"/>
      <c r="BH43" s="9"/>
      <c r="BI43" s="9"/>
      <c r="BJ43" s="9"/>
      <c r="BK43" s="9"/>
      <c r="BL43" s="9"/>
      <c r="BM43" s="9"/>
      <c r="BN43" s="9"/>
      <c r="BO43" s="9"/>
      <c r="BP43" s="9"/>
      <c r="BQ43" s="9"/>
      <c r="BR43" s="9"/>
      <c r="BS43" s="9"/>
      <c r="BT43" s="9"/>
      <c r="BU43" s="9"/>
      <c r="BV43" s="9"/>
      <c r="IP43" s="9"/>
      <c r="IQ43" s="9"/>
      <c r="IR43" s="9"/>
      <c r="IS43" s="9"/>
      <c r="IT43" s="9"/>
      <c r="IU43" s="9"/>
      <c r="IV43" s="9"/>
    </row>
    <row r="44" spans="1:256" s="10" customFormat="1" ht="76.5">
      <c r="A44" s="272"/>
      <c r="B44" s="86">
        <v>43</v>
      </c>
      <c r="C44" s="193" t="s">
        <v>299</v>
      </c>
      <c r="D44" s="227">
        <v>44166</v>
      </c>
      <c r="E44" s="1">
        <v>50854</v>
      </c>
      <c r="F44" s="1">
        <v>159884</v>
      </c>
      <c r="G44" s="1">
        <v>32716</v>
      </c>
      <c r="H44" s="1">
        <v>111</v>
      </c>
      <c r="I44" s="1"/>
      <c r="J44" s="1">
        <v>13</v>
      </c>
      <c r="K44" s="1">
        <v>6</v>
      </c>
      <c r="L44" s="204" t="s">
        <v>102</v>
      </c>
      <c r="M44" s="204" t="s">
        <v>300</v>
      </c>
      <c r="N44" s="204" t="s">
        <v>301</v>
      </c>
      <c r="O44" s="204"/>
      <c r="P44" s="204" t="s">
        <v>302</v>
      </c>
      <c r="Q44" s="204"/>
      <c r="R44" s="204"/>
      <c r="S44" s="204"/>
      <c r="T44" s="1">
        <v>2</v>
      </c>
      <c r="U44" s="2"/>
      <c r="V44" s="1"/>
      <c r="W44" s="1"/>
      <c r="X44" s="204" t="s">
        <v>44</v>
      </c>
      <c r="Y44" s="1"/>
      <c r="Z44" s="2"/>
      <c r="AA44" s="3"/>
      <c r="AB44" s="2"/>
      <c r="AC44" s="3"/>
      <c r="AD44" s="2"/>
      <c r="AE44" s="115">
        <f>72+46.53/2</f>
        <v>95.265000000000001</v>
      </c>
      <c r="AF44" s="115"/>
      <c r="AG44" s="115">
        <v>35.979999999999997</v>
      </c>
      <c r="AH44" s="115"/>
      <c r="AI44" s="116"/>
      <c r="AJ44" s="117"/>
      <c r="AK44" s="118">
        <v>1758.34</v>
      </c>
      <c r="AL44" s="118">
        <f>+(72+46.53+AG44)/AK44</f>
        <v>8.7872652615535105E-2</v>
      </c>
      <c r="AM44" s="118">
        <f>+(AE44+AG44)/AK44</f>
        <v>7.4641423160480919E-2</v>
      </c>
      <c r="AN44" s="157"/>
      <c r="AO44" s="168">
        <f>630000+((2*18109+14484*3+10864*7+8*7243)/20*AG44)</f>
        <v>1014377.938</v>
      </c>
      <c r="AP44" s="169">
        <v>41496.36</v>
      </c>
      <c r="AQ44" s="193" t="s">
        <v>36</v>
      </c>
      <c r="AR44" s="5" t="s">
        <v>303</v>
      </c>
      <c r="AS44" s="211">
        <v>44265</v>
      </c>
      <c r="AT44" s="211"/>
      <c r="AU44" s="7" t="s">
        <v>304</v>
      </c>
      <c r="AV44" s="8"/>
      <c r="AW44" s="8"/>
      <c r="AX44" s="8"/>
      <c r="AY44" s="8"/>
      <c r="AZ44" s="8"/>
      <c r="BA44" s="8"/>
      <c r="BB44" s="8"/>
      <c r="BC44" s="8"/>
      <c r="BD44" s="8"/>
      <c r="BE44" s="8"/>
      <c r="BF44" s="8"/>
      <c r="BG44" s="9"/>
      <c r="BH44" s="9"/>
      <c r="BI44" s="9"/>
      <c r="BJ44" s="9"/>
      <c r="BK44" s="9"/>
      <c r="BL44" s="9"/>
      <c r="BM44" s="9"/>
      <c r="BN44" s="9"/>
      <c r="BO44" s="9"/>
      <c r="BP44" s="9"/>
      <c r="BQ44" s="9"/>
      <c r="BR44" s="9"/>
      <c r="BS44" s="9"/>
      <c r="BT44" s="9"/>
      <c r="BU44" s="9"/>
      <c r="BV44" s="9"/>
      <c r="IP44" s="9"/>
      <c r="IQ44" s="9"/>
      <c r="IR44" s="9"/>
      <c r="IS44" s="9"/>
      <c r="IT44" s="9"/>
      <c r="IU44" s="9"/>
      <c r="IV44" s="9"/>
    </row>
    <row r="45" spans="1:256" s="10" customFormat="1" ht="51">
      <c r="A45" s="272"/>
      <c r="B45" s="86">
        <v>44</v>
      </c>
      <c r="C45" s="193" t="s">
        <v>305</v>
      </c>
      <c r="D45" s="227">
        <v>44207</v>
      </c>
      <c r="E45" s="1">
        <v>57949</v>
      </c>
      <c r="F45" s="1">
        <v>166377</v>
      </c>
      <c r="G45" s="1">
        <v>21393</v>
      </c>
      <c r="H45" s="1">
        <v>91</v>
      </c>
      <c r="I45" s="1"/>
      <c r="J45" s="1">
        <v>571</v>
      </c>
      <c r="K45" s="1">
        <v>4</v>
      </c>
      <c r="L45" s="204" t="s">
        <v>48</v>
      </c>
      <c r="M45" s="204" t="s">
        <v>306</v>
      </c>
      <c r="N45" s="204" t="s">
        <v>307</v>
      </c>
      <c r="O45" s="204"/>
      <c r="P45" s="204" t="s">
        <v>308</v>
      </c>
      <c r="Q45" s="204" t="s">
        <v>308</v>
      </c>
      <c r="R45" s="204" t="s">
        <v>308</v>
      </c>
      <c r="S45" s="204" t="s">
        <v>98</v>
      </c>
      <c r="T45" s="1"/>
      <c r="U45" s="2">
        <v>1</v>
      </c>
      <c r="V45" s="1"/>
      <c r="W45" s="1"/>
      <c r="X45" s="204" t="s">
        <v>67</v>
      </c>
      <c r="Y45" s="1"/>
      <c r="Z45" s="2">
        <v>2</v>
      </c>
      <c r="AA45" s="3"/>
      <c r="AB45" s="2">
        <f>+Z45+1</f>
        <v>3</v>
      </c>
      <c r="AC45" s="3"/>
      <c r="AD45" s="2">
        <f>+Z45*2</f>
        <v>4</v>
      </c>
      <c r="AE45" s="115"/>
      <c r="AF45" s="115"/>
      <c r="AG45" s="115"/>
      <c r="AH45" s="115"/>
      <c r="AI45" s="116">
        <v>69.84</v>
      </c>
      <c r="AJ45" s="117"/>
      <c r="AK45" s="118">
        <v>347.75</v>
      </c>
      <c r="AL45" s="118">
        <f>+AI45/AK45</f>
        <v>0.20083393242271749</v>
      </c>
      <c r="AM45" s="118">
        <f>+AI45/AK45</f>
        <v>0.20083393242271749</v>
      </c>
      <c r="AN45" s="157"/>
      <c r="AO45" s="168">
        <f>+(12*14484+6*10864+2*7243)/20*AI45</f>
        <v>885145.17599999998</v>
      </c>
      <c r="AP45" s="169">
        <v>5789.61</v>
      </c>
      <c r="AQ45" s="193" t="s">
        <v>36</v>
      </c>
      <c r="AR45" s="5" t="s">
        <v>309</v>
      </c>
      <c r="AS45" s="211">
        <v>44266</v>
      </c>
      <c r="AT45" s="211"/>
      <c r="AU45" s="5" t="s">
        <v>310</v>
      </c>
      <c r="AV45" s="8"/>
      <c r="AW45" s="8"/>
      <c r="AX45" s="8"/>
      <c r="AY45" s="8"/>
      <c r="AZ45" s="8"/>
      <c r="BA45" s="8"/>
      <c r="BB45" s="8"/>
      <c r="BC45" s="8"/>
      <c r="BD45" s="8"/>
      <c r="BE45" s="8"/>
      <c r="BF45" s="8"/>
      <c r="BG45" s="9"/>
      <c r="BH45" s="9"/>
      <c r="BI45" s="9"/>
      <c r="BJ45" s="9"/>
      <c r="BK45" s="9"/>
      <c r="BL45" s="9"/>
      <c r="BM45" s="9"/>
      <c r="BN45" s="9"/>
      <c r="BO45" s="9"/>
      <c r="BP45" s="9"/>
      <c r="BQ45" s="9"/>
      <c r="BR45" s="9"/>
      <c r="BS45" s="9"/>
      <c r="BT45" s="9"/>
      <c r="BU45" s="9"/>
      <c r="BV45" s="9"/>
      <c r="IP45" s="9"/>
      <c r="IQ45" s="9"/>
      <c r="IR45" s="9"/>
      <c r="IS45" s="9"/>
      <c r="IT45" s="9"/>
      <c r="IU45" s="9"/>
      <c r="IV45" s="9"/>
    </row>
    <row r="46" spans="1:256" s="10" customFormat="1" ht="89.25">
      <c r="A46" s="272"/>
      <c r="B46" s="86">
        <v>45</v>
      </c>
      <c r="C46" s="193" t="s">
        <v>311</v>
      </c>
      <c r="D46" s="227">
        <v>44202</v>
      </c>
      <c r="E46" s="1">
        <v>22323</v>
      </c>
      <c r="F46" s="1">
        <v>111334</v>
      </c>
      <c r="G46" s="1">
        <v>1886</v>
      </c>
      <c r="H46" s="1"/>
      <c r="I46" s="1"/>
      <c r="J46" s="1">
        <v>375</v>
      </c>
      <c r="K46" s="1">
        <v>24</v>
      </c>
      <c r="L46" s="204" t="s">
        <v>39</v>
      </c>
      <c r="M46" s="204" t="s">
        <v>312</v>
      </c>
      <c r="N46" s="204" t="s">
        <v>313</v>
      </c>
      <c r="O46" s="204"/>
      <c r="P46" s="204" t="s">
        <v>308</v>
      </c>
      <c r="Q46" s="204" t="s">
        <v>308</v>
      </c>
      <c r="R46" s="204" t="s">
        <v>308</v>
      </c>
      <c r="S46" s="204" t="s">
        <v>52</v>
      </c>
      <c r="T46" s="1"/>
      <c r="U46" s="2"/>
      <c r="V46" s="1">
        <v>2</v>
      </c>
      <c r="W46" s="1"/>
      <c r="X46" s="204" t="s">
        <v>44</v>
      </c>
      <c r="Y46" s="1">
        <f>2+2</f>
        <v>4</v>
      </c>
      <c r="Z46" s="2"/>
      <c r="AA46" s="3">
        <f>2+2+1+1</f>
        <v>6</v>
      </c>
      <c r="AB46" s="2"/>
      <c r="AC46" s="3">
        <f>+Y46*2</f>
        <v>8</v>
      </c>
      <c r="AD46" s="2"/>
      <c r="AE46" s="115">
        <f>71.26+75.17+3.85/2</f>
        <v>148.35500000000002</v>
      </c>
      <c r="AF46" s="115"/>
      <c r="AG46" s="115">
        <v>17.239999999999998</v>
      </c>
      <c r="AH46" s="115"/>
      <c r="AI46" s="116"/>
      <c r="AJ46" s="117"/>
      <c r="AK46" s="118">
        <v>201.18</v>
      </c>
      <c r="AL46" s="118">
        <f>+(71.26+3.85+17.24)/AK46</f>
        <v>0.45904165423998405</v>
      </c>
      <c r="AM46" s="118">
        <f>+(AE46+AG46/2)/AK46</f>
        <v>0.78027139874739049</v>
      </c>
      <c r="AN46" s="157"/>
      <c r="AO46" s="168">
        <f>+(1*18109+12*14484+9*10864)/22*AG46</f>
        <v>227013.96909090906</v>
      </c>
      <c r="AP46" s="169">
        <v>2319.98</v>
      </c>
      <c r="AQ46" s="193" t="s">
        <v>36</v>
      </c>
      <c r="AR46" s="5" t="s">
        <v>314</v>
      </c>
      <c r="AS46" s="211">
        <v>44266</v>
      </c>
      <c r="AT46" s="211"/>
      <c r="AU46" s="5" t="s">
        <v>310</v>
      </c>
      <c r="AV46" s="8"/>
      <c r="AW46" s="8"/>
      <c r="AX46" s="8"/>
      <c r="AY46" s="8"/>
      <c r="AZ46" s="8"/>
      <c r="BA46" s="8"/>
      <c r="BB46" s="8"/>
      <c r="BC46" s="8"/>
      <c r="BD46" s="8"/>
      <c r="BE46" s="8"/>
      <c r="BF46" s="8"/>
      <c r="BG46" s="9"/>
      <c r="BH46" s="9"/>
      <c r="BI46" s="9"/>
      <c r="BJ46" s="9"/>
      <c r="BK46" s="9"/>
      <c r="BL46" s="9"/>
      <c r="BM46" s="9"/>
      <c r="BN46" s="9"/>
      <c r="BO46" s="9"/>
      <c r="BP46" s="9"/>
      <c r="BQ46" s="9"/>
      <c r="BR46" s="9"/>
      <c r="BS46" s="9"/>
      <c r="BT46" s="9"/>
      <c r="BU46" s="9"/>
      <c r="BV46" s="9"/>
      <c r="IP46" s="9"/>
      <c r="IQ46" s="9"/>
      <c r="IR46" s="9"/>
      <c r="IS46" s="9"/>
      <c r="IT46" s="9"/>
      <c r="IU46" s="9"/>
      <c r="IV46" s="9"/>
    </row>
    <row r="47" spans="1:256" s="10" customFormat="1" ht="51">
      <c r="A47" s="272"/>
      <c r="B47" s="86">
        <v>46</v>
      </c>
      <c r="C47" s="193">
        <v>527537</v>
      </c>
      <c r="D47" s="236">
        <v>44207</v>
      </c>
      <c r="E47" s="1">
        <v>46477</v>
      </c>
      <c r="F47" s="1">
        <v>138418</v>
      </c>
      <c r="G47" s="1">
        <v>31616</v>
      </c>
      <c r="H47" s="1">
        <v>3</v>
      </c>
      <c r="I47" s="1"/>
      <c r="J47" s="1">
        <v>2</v>
      </c>
      <c r="K47" s="1">
        <v>5</v>
      </c>
      <c r="L47" s="204" t="s">
        <v>315</v>
      </c>
      <c r="M47" s="204" t="s">
        <v>316</v>
      </c>
      <c r="N47" s="204" t="s">
        <v>317</v>
      </c>
      <c r="O47" s="204"/>
      <c r="P47" s="204" t="s">
        <v>318</v>
      </c>
      <c r="Q47" s="204" t="s">
        <v>318</v>
      </c>
      <c r="R47" s="204" t="s">
        <v>318</v>
      </c>
      <c r="S47" s="204" t="s">
        <v>319</v>
      </c>
      <c r="T47" s="1"/>
      <c r="U47" s="2"/>
      <c r="V47" s="1">
        <v>1</v>
      </c>
      <c r="W47" s="1"/>
      <c r="X47" s="204" t="s">
        <v>67</v>
      </c>
      <c r="Y47" s="1">
        <v>3</v>
      </c>
      <c r="Z47" s="2"/>
      <c r="AA47" s="3">
        <f>+Y47+1</f>
        <v>4</v>
      </c>
      <c r="AB47" s="2"/>
      <c r="AC47" s="3">
        <f>+Y47*2</f>
        <v>6</v>
      </c>
      <c r="AD47" s="2"/>
      <c r="AE47" s="115">
        <f>101.52+22.87</f>
        <v>124.39</v>
      </c>
      <c r="AF47" s="115"/>
      <c r="AG47" s="115"/>
      <c r="AH47" s="115"/>
      <c r="AI47" s="116">
        <v>7.7</v>
      </c>
      <c r="AJ47" s="117"/>
      <c r="AK47" s="118">
        <v>806.84</v>
      </c>
      <c r="AL47" s="118">
        <f>+(101.52+7.7+22.87*2)/AK47</f>
        <v>0.1920579049129939</v>
      </c>
      <c r="AM47" s="118">
        <f>+(101.52+7.7+22.87)/AK47</f>
        <v>0.16371275593674087</v>
      </c>
      <c r="AN47" s="157"/>
      <c r="AO47" s="168">
        <f>+(8*18109+14484*10+10864*3)/21*AI47</f>
        <v>118178.13333333333</v>
      </c>
      <c r="AP47" s="169">
        <v>43087.95</v>
      </c>
      <c r="AQ47" s="193" t="s">
        <v>36</v>
      </c>
      <c r="AR47" s="5" t="s">
        <v>320</v>
      </c>
      <c r="AS47" s="211">
        <v>44267</v>
      </c>
      <c r="AT47" s="211"/>
      <c r="AU47" s="7" t="s">
        <v>321</v>
      </c>
      <c r="AV47" s="8"/>
      <c r="AW47" s="8"/>
      <c r="AX47" s="8"/>
      <c r="AY47" s="8"/>
      <c r="AZ47" s="8"/>
      <c r="BA47" s="8"/>
      <c r="BB47" s="8"/>
      <c r="BC47" s="8"/>
      <c r="BD47" s="8"/>
      <c r="BE47" s="8"/>
      <c r="BF47" s="8"/>
      <c r="BG47" s="9"/>
      <c r="BH47" s="9"/>
      <c r="BI47" s="9"/>
      <c r="BJ47" s="9"/>
      <c r="BK47" s="9"/>
      <c r="BL47" s="9"/>
      <c r="BM47" s="9"/>
      <c r="BN47" s="9"/>
      <c r="BO47" s="9"/>
      <c r="BP47" s="9"/>
      <c r="BQ47" s="9"/>
      <c r="BR47" s="9"/>
      <c r="BS47" s="9"/>
      <c r="BT47" s="9"/>
      <c r="BU47" s="9"/>
      <c r="BV47" s="9"/>
      <c r="IP47" s="9"/>
      <c r="IQ47" s="9"/>
      <c r="IR47" s="9"/>
      <c r="IS47" s="9"/>
      <c r="IT47" s="9"/>
      <c r="IU47" s="9"/>
      <c r="IV47" s="9"/>
    </row>
    <row r="48" spans="1:256" s="24" customFormat="1" ht="89.25">
      <c r="A48" s="272"/>
      <c r="B48" s="88">
        <v>47</v>
      </c>
      <c r="C48" s="296" t="s">
        <v>322</v>
      </c>
      <c r="D48" s="237">
        <v>44236</v>
      </c>
      <c r="E48" s="26">
        <v>45962</v>
      </c>
      <c r="F48" s="26">
        <v>149091</v>
      </c>
      <c r="G48" s="26">
        <v>20915</v>
      </c>
      <c r="H48" s="26">
        <v>78</v>
      </c>
      <c r="I48" s="26"/>
      <c r="J48" s="26">
        <v>518</v>
      </c>
      <c r="K48" s="26">
        <v>5</v>
      </c>
      <c r="L48" s="204" t="s">
        <v>39</v>
      </c>
      <c r="M48" s="204" t="s">
        <v>323</v>
      </c>
      <c r="N48" s="204" t="s">
        <v>324</v>
      </c>
      <c r="O48" s="204"/>
      <c r="P48" s="204" t="s">
        <v>259</v>
      </c>
      <c r="Q48" s="204"/>
      <c r="R48" s="204"/>
      <c r="S48" s="204"/>
      <c r="T48" s="26">
        <v>2</v>
      </c>
      <c r="U48" s="26"/>
      <c r="V48" s="26"/>
      <c r="W48" s="26"/>
      <c r="X48" s="204" t="s">
        <v>44</v>
      </c>
      <c r="Y48" s="26">
        <f>4+1</f>
        <v>5</v>
      </c>
      <c r="Z48" s="26"/>
      <c r="AA48" s="26">
        <f>+Y48+1+1</f>
        <v>7</v>
      </c>
      <c r="AB48" s="26"/>
      <c r="AC48" s="26">
        <f>+Y48*2</f>
        <v>10</v>
      </c>
      <c r="AD48" s="26"/>
      <c r="AE48" s="125"/>
      <c r="AF48" s="115"/>
      <c r="AG48" s="115">
        <f>110.91+4.72/2+12.15/2+51.48+14.18/2</f>
        <v>177.91499999999999</v>
      </c>
      <c r="AH48" s="133"/>
      <c r="AI48" s="133"/>
      <c r="AJ48" s="133"/>
      <c r="AK48" s="133">
        <v>307.5</v>
      </c>
      <c r="AL48" s="133">
        <f>+(110.91+12.15+4.72)/AK48</f>
        <v>0.41554471544715449</v>
      </c>
      <c r="AM48" s="127">
        <f>+AG48/AK48</f>
        <v>0.5785853658536585</v>
      </c>
      <c r="AN48" s="163">
        <f>+(12+20)/(4+5)</f>
        <v>3.5555555555555554</v>
      </c>
      <c r="AO48" s="179">
        <f>+(5*16157+7*12923+9*9693+2*6462)/23*AG48</f>
        <v>2099451.1480434779</v>
      </c>
      <c r="AP48" s="180">
        <v>32094.61</v>
      </c>
      <c r="AQ48" s="196" t="s">
        <v>36</v>
      </c>
      <c r="AR48" s="6" t="s">
        <v>325</v>
      </c>
      <c r="AS48" s="219">
        <v>44267</v>
      </c>
      <c r="AT48" s="220"/>
      <c r="AU48" s="28" t="s">
        <v>326</v>
      </c>
      <c r="AV48" s="37"/>
      <c r="AW48" s="38"/>
      <c r="AX48" s="38"/>
      <c r="AY48" s="38"/>
      <c r="AZ48" s="38"/>
      <c r="BA48" s="38"/>
      <c r="BB48" s="38"/>
      <c r="BC48" s="38"/>
      <c r="BD48" s="38"/>
      <c r="BE48" s="23"/>
      <c r="BF48" s="23"/>
      <c r="BG48" s="23"/>
      <c r="BH48" s="23"/>
      <c r="BI48" s="23"/>
      <c r="BJ48" s="23"/>
      <c r="BK48" s="23"/>
      <c r="BL48" s="23"/>
      <c r="BM48" s="23"/>
      <c r="BN48" s="23"/>
      <c r="BO48" s="23"/>
      <c r="BP48" s="23"/>
      <c r="BQ48" s="23"/>
      <c r="BR48" s="23"/>
      <c r="BS48" s="23"/>
      <c r="BT48" s="23"/>
      <c r="IN48" s="23"/>
      <c r="IO48" s="23"/>
      <c r="IP48" s="23"/>
      <c r="IQ48" s="23"/>
      <c r="IR48" s="23"/>
      <c r="IS48" s="23"/>
      <c r="IT48" s="23"/>
      <c r="IU48" s="23"/>
      <c r="IV48" s="23"/>
    </row>
    <row r="49" spans="1:256" s="10" customFormat="1" ht="140.25">
      <c r="A49" s="272"/>
      <c r="B49" s="86">
        <v>48</v>
      </c>
      <c r="C49" s="193">
        <v>529262</v>
      </c>
      <c r="D49" s="227">
        <v>44256</v>
      </c>
      <c r="E49" s="1">
        <v>47878</v>
      </c>
      <c r="F49" s="1">
        <v>50149</v>
      </c>
      <c r="G49" s="1">
        <v>2959</v>
      </c>
      <c r="H49" s="1"/>
      <c r="I49" s="1"/>
      <c r="J49" s="1">
        <v>709</v>
      </c>
      <c r="K49" s="1">
        <v>3</v>
      </c>
      <c r="L49" s="204" t="s">
        <v>130</v>
      </c>
      <c r="M49" s="204" t="s">
        <v>327</v>
      </c>
      <c r="N49" s="204" t="s">
        <v>328</v>
      </c>
      <c r="O49" s="204"/>
      <c r="P49" s="204" t="s">
        <v>241</v>
      </c>
      <c r="Q49" s="204"/>
      <c r="R49" s="204"/>
      <c r="S49" s="204"/>
      <c r="T49" s="1">
        <f>2+3</f>
        <v>5</v>
      </c>
      <c r="U49" s="2"/>
      <c r="V49" s="1"/>
      <c r="W49" s="1"/>
      <c r="X49" s="204" t="s">
        <v>44</v>
      </c>
      <c r="Y49" s="1">
        <f>1+1+1+1+1+1+2</f>
        <v>8</v>
      </c>
      <c r="Z49" s="2"/>
      <c r="AA49" s="3">
        <f>+Y49+1+1+1</f>
        <v>11</v>
      </c>
      <c r="AB49" s="2"/>
      <c r="AC49" s="3">
        <f>+Y49</f>
        <v>8</v>
      </c>
      <c r="AD49" s="2"/>
      <c r="AE49" s="115">
        <f>78+24.5/2+54+85.3+34.3</f>
        <v>263.85000000000002</v>
      </c>
      <c r="AF49" s="115"/>
      <c r="AG49" s="115">
        <f>2.8+6+63.3+3.2/2</f>
        <v>73.699999999999989</v>
      </c>
      <c r="AH49" s="115"/>
      <c r="AI49" s="116"/>
      <c r="AJ49" s="117"/>
      <c r="AK49" s="118">
        <v>541.79999999999995</v>
      </c>
      <c r="AL49" s="118">
        <f>+(78+24.5+54+2.8+6)/AK49</f>
        <v>0.3050941306755261</v>
      </c>
      <c r="AM49" s="118">
        <f>+(78+24.5/2+54+2.8+6/2+85.3+34.3+63.3+3.2/2)/AK49</f>
        <v>0.6174787744555188</v>
      </c>
      <c r="AN49" s="157">
        <f>+(2+15+12)/(1+5+3)</f>
        <v>3.2222222222222223</v>
      </c>
      <c r="AO49" s="168">
        <f>+(2*18109+5*14484+11*10864+3*7243)/21*AG49</f>
        <v>876928.22380952362</v>
      </c>
      <c r="AP49" s="169">
        <v>15286.85</v>
      </c>
      <c r="AQ49" s="193" t="s">
        <v>36</v>
      </c>
      <c r="AR49" s="5" t="s">
        <v>329</v>
      </c>
      <c r="AS49" s="211">
        <v>44267</v>
      </c>
      <c r="AT49" s="211"/>
      <c r="AU49" s="5"/>
      <c r="AV49" s="8"/>
      <c r="AW49" s="8"/>
      <c r="AX49" s="8"/>
      <c r="AY49" s="8"/>
      <c r="AZ49" s="8"/>
      <c r="BA49" s="8"/>
      <c r="BB49" s="8"/>
      <c r="BC49" s="8"/>
      <c r="BD49" s="8"/>
      <c r="BE49" s="8"/>
      <c r="BF49" s="8"/>
      <c r="BG49" s="9"/>
      <c r="BH49" s="9"/>
      <c r="BI49" s="9"/>
      <c r="BJ49" s="9"/>
      <c r="BK49" s="9"/>
      <c r="BL49" s="9"/>
      <c r="BM49" s="9"/>
      <c r="BN49" s="9"/>
      <c r="BO49" s="9"/>
      <c r="BP49" s="9"/>
      <c r="BQ49" s="9"/>
      <c r="BR49" s="9"/>
      <c r="BS49" s="9"/>
      <c r="BT49" s="9"/>
      <c r="BU49" s="9"/>
      <c r="BV49" s="9"/>
      <c r="IP49" s="9"/>
      <c r="IQ49" s="9"/>
      <c r="IR49" s="9"/>
      <c r="IS49" s="9"/>
      <c r="IT49" s="9"/>
      <c r="IU49" s="9"/>
      <c r="IV49" s="9"/>
    </row>
    <row r="50" spans="1:256" s="10" customFormat="1" ht="63.75">
      <c r="A50" s="272"/>
      <c r="B50" s="258">
        <v>49</v>
      </c>
      <c r="C50" s="197">
        <v>526770</v>
      </c>
      <c r="D50" s="238">
        <v>44182</v>
      </c>
      <c r="E50" s="1">
        <v>44415</v>
      </c>
      <c r="F50" s="1">
        <v>141995</v>
      </c>
      <c r="G50" s="1">
        <v>20782</v>
      </c>
      <c r="H50" s="1">
        <v>36</v>
      </c>
      <c r="I50" s="1"/>
      <c r="J50" s="1">
        <v>355</v>
      </c>
      <c r="K50" s="1">
        <v>16</v>
      </c>
      <c r="L50" s="207" t="s">
        <v>39</v>
      </c>
      <c r="M50" s="207" t="s">
        <v>330</v>
      </c>
      <c r="N50" s="207" t="s">
        <v>331</v>
      </c>
      <c r="O50" s="207"/>
      <c r="P50" s="207" t="s">
        <v>332</v>
      </c>
      <c r="Q50" s="207" t="s">
        <v>332</v>
      </c>
      <c r="R50" s="207" t="s">
        <v>332</v>
      </c>
      <c r="S50" s="207" t="s">
        <v>333</v>
      </c>
      <c r="T50" s="32"/>
      <c r="U50" s="33">
        <v>5</v>
      </c>
      <c r="V50" s="32"/>
      <c r="W50" s="32"/>
      <c r="X50" s="207" t="s">
        <v>44</v>
      </c>
      <c r="Y50" s="1"/>
      <c r="Z50" s="2">
        <v>5</v>
      </c>
      <c r="AA50" s="3"/>
      <c r="AB50" s="2">
        <f>+Z50+5</f>
        <v>10</v>
      </c>
      <c r="AC50" s="3"/>
      <c r="AD50" s="2">
        <f>+Z50*2</f>
        <v>10</v>
      </c>
      <c r="AE50" s="115"/>
      <c r="AF50" s="115"/>
      <c r="AG50" s="115"/>
      <c r="AH50" s="115"/>
      <c r="AI50" s="116">
        <f>204.16+34.84/2</f>
        <v>221.57999999999998</v>
      </c>
      <c r="AJ50" s="117"/>
      <c r="AK50" s="118">
        <v>350</v>
      </c>
      <c r="AL50" s="118">
        <f>+(204.16+34.84)/AK50</f>
        <v>0.68285714285714283</v>
      </c>
      <c r="AM50" s="118">
        <f>+AI50/AK50</f>
        <v>0.63308571428571425</v>
      </c>
      <c r="AN50" s="157"/>
      <c r="AO50" s="168">
        <f>323637+((1*18109+14484*8+10864*10+1*7243)/20*AI50)</f>
        <v>3091880.2560000001</v>
      </c>
      <c r="AP50" s="169">
        <v>29543.62</v>
      </c>
      <c r="AQ50" s="197" t="s">
        <v>36</v>
      </c>
      <c r="AR50" s="5" t="s">
        <v>334</v>
      </c>
      <c r="AS50" s="211">
        <v>44278</v>
      </c>
      <c r="AT50" s="211"/>
      <c r="AU50" s="5" t="s">
        <v>335</v>
      </c>
      <c r="AV50" s="8"/>
      <c r="AW50" s="8"/>
      <c r="AX50" s="8"/>
      <c r="AY50" s="8"/>
      <c r="AZ50" s="8"/>
      <c r="BA50" s="8"/>
      <c r="BB50" s="8"/>
      <c r="BC50" s="8"/>
      <c r="BD50" s="8"/>
      <c r="BE50" s="8"/>
      <c r="BF50" s="8"/>
      <c r="BG50" s="9"/>
      <c r="BH50" s="9"/>
      <c r="BI50" s="9"/>
      <c r="BJ50" s="9"/>
      <c r="BK50" s="9"/>
      <c r="BL50" s="9"/>
      <c r="BM50" s="9"/>
      <c r="BN50" s="9"/>
      <c r="BO50" s="9"/>
      <c r="BP50" s="9"/>
      <c r="BQ50" s="9"/>
      <c r="BR50" s="9"/>
      <c r="BS50" s="9"/>
      <c r="BT50" s="9"/>
      <c r="BU50" s="9"/>
      <c r="BV50" s="9"/>
      <c r="IP50" s="9"/>
      <c r="IQ50" s="9"/>
      <c r="IR50" s="9"/>
      <c r="IS50" s="9"/>
      <c r="IT50" s="9"/>
      <c r="IU50" s="9"/>
      <c r="IV50" s="9"/>
    </row>
    <row r="51" spans="1:256" s="10" customFormat="1" ht="38.25">
      <c r="A51" s="274" t="s">
        <v>336</v>
      </c>
      <c r="B51" s="86">
        <v>50</v>
      </c>
      <c r="C51" s="193">
        <v>528497</v>
      </c>
      <c r="D51" s="227">
        <v>44232</v>
      </c>
      <c r="E51" s="1">
        <v>52221</v>
      </c>
      <c r="F51" s="1">
        <v>161073</v>
      </c>
      <c r="G51" s="1">
        <v>32895</v>
      </c>
      <c r="H51" s="1">
        <v>111</v>
      </c>
      <c r="I51" s="1"/>
      <c r="J51" s="1">
        <v>11</v>
      </c>
      <c r="K51" s="1">
        <v>3</v>
      </c>
      <c r="L51" s="204" t="s">
        <v>102</v>
      </c>
      <c r="M51" s="204" t="s">
        <v>337</v>
      </c>
      <c r="N51" s="204" t="s">
        <v>338</v>
      </c>
      <c r="O51" s="204"/>
      <c r="P51" s="204" t="s">
        <v>339</v>
      </c>
      <c r="Q51" s="204" t="s">
        <v>339</v>
      </c>
      <c r="R51" s="204" t="s">
        <v>339</v>
      </c>
      <c r="S51" s="204" t="s">
        <v>340</v>
      </c>
      <c r="T51" s="1"/>
      <c r="U51" s="2">
        <v>1</v>
      </c>
      <c r="V51" s="1"/>
      <c r="W51" s="1"/>
      <c r="X51" s="204" t="s">
        <v>67</v>
      </c>
      <c r="Y51" s="1"/>
      <c r="Z51" s="2">
        <v>2</v>
      </c>
      <c r="AA51" s="3"/>
      <c r="AB51" s="2">
        <f>+Z51+1</f>
        <v>3</v>
      </c>
      <c r="AC51" s="3"/>
      <c r="AD51" s="2">
        <f>+Z51*2</f>
        <v>4</v>
      </c>
      <c r="AE51" s="115"/>
      <c r="AF51" s="115"/>
      <c r="AG51" s="115"/>
      <c r="AH51" s="115"/>
      <c r="AI51" s="116">
        <f>139+47</f>
        <v>186</v>
      </c>
      <c r="AJ51" s="117"/>
      <c r="AK51" s="118">
        <v>2160</v>
      </c>
      <c r="AL51" s="118">
        <f>+(139+47*2)/AK51</f>
        <v>0.10787037037037037</v>
      </c>
      <c r="AM51" s="118">
        <f>+(139+47)/AK51</f>
        <v>8.611111111111111E-2</v>
      </c>
      <c r="AN51" s="157">
        <f>+(3+18+4)/(3+6+1)</f>
        <v>2.5</v>
      </c>
      <c r="AO51" s="168">
        <f>+(6*18109+10*14484+10864*3+2*7243)/21*AI51</f>
        <v>2662209.1428571432</v>
      </c>
      <c r="AP51" s="169">
        <v>9485.81</v>
      </c>
      <c r="AQ51" s="193" t="s">
        <v>36</v>
      </c>
      <c r="AR51" s="5" t="s">
        <v>341</v>
      </c>
      <c r="AS51" s="211">
        <v>44291</v>
      </c>
      <c r="AT51" s="211"/>
      <c r="AU51" s="5" t="s">
        <v>342</v>
      </c>
      <c r="AV51" s="8"/>
      <c r="AW51" s="8"/>
      <c r="AX51" s="8"/>
      <c r="AY51" s="8"/>
      <c r="AZ51" s="8"/>
      <c r="BA51" s="8"/>
      <c r="BB51" s="8"/>
      <c r="BC51" s="8"/>
      <c r="BD51" s="8"/>
      <c r="BE51" s="8"/>
      <c r="BF51" s="8"/>
      <c r="BG51" s="9"/>
      <c r="BH51" s="9"/>
      <c r="BI51" s="9"/>
      <c r="BJ51" s="9"/>
      <c r="BK51" s="9"/>
      <c r="BL51" s="9"/>
      <c r="BM51" s="9"/>
      <c r="BN51" s="9"/>
      <c r="BO51" s="9"/>
      <c r="BP51" s="9"/>
      <c r="BQ51" s="9"/>
      <c r="BR51" s="9"/>
      <c r="BS51" s="9"/>
      <c r="BT51" s="9"/>
      <c r="BU51" s="9"/>
      <c r="BV51" s="9"/>
      <c r="IP51" s="9"/>
      <c r="IQ51" s="9"/>
      <c r="IR51" s="9"/>
      <c r="IS51" s="9"/>
      <c r="IT51" s="9"/>
      <c r="IU51" s="9"/>
      <c r="IV51" s="9"/>
    </row>
    <row r="52" spans="1:256" s="10" customFormat="1" ht="38.25">
      <c r="A52" s="274"/>
      <c r="B52" s="86">
        <v>526955</v>
      </c>
      <c r="C52" s="249">
        <v>44188</v>
      </c>
      <c r="D52" s="235" t="s">
        <v>343</v>
      </c>
      <c r="E52" s="1">
        <v>29430</v>
      </c>
      <c r="F52" s="1">
        <v>50535</v>
      </c>
      <c r="G52" s="1">
        <v>1580</v>
      </c>
      <c r="H52" s="1"/>
      <c r="I52" s="1"/>
      <c r="J52" s="1">
        <v>731</v>
      </c>
      <c r="K52" s="1">
        <v>1</v>
      </c>
      <c r="L52" s="204" t="s">
        <v>130</v>
      </c>
      <c r="M52" s="204" t="s">
        <v>344</v>
      </c>
      <c r="N52" s="204" t="s">
        <v>345</v>
      </c>
      <c r="O52" s="204"/>
      <c r="P52" s="204" t="s">
        <v>346</v>
      </c>
      <c r="Q52" s="204" t="s">
        <v>346</v>
      </c>
      <c r="R52" s="204"/>
      <c r="S52" s="204" t="s">
        <v>347</v>
      </c>
      <c r="T52" s="1"/>
      <c r="U52" s="2"/>
      <c r="V52" s="1"/>
      <c r="W52" s="1"/>
      <c r="X52" s="204" t="s">
        <v>44</v>
      </c>
      <c r="Y52" s="1"/>
      <c r="Z52" s="2"/>
      <c r="AA52" s="3"/>
      <c r="AB52" s="2"/>
      <c r="AC52" s="3"/>
      <c r="AD52" s="2"/>
      <c r="AE52" s="115"/>
      <c r="AF52" s="115"/>
      <c r="AG52" s="115"/>
      <c r="AH52" s="115"/>
      <c r="AI52" s="116"/>
      <c r="AJ52" s="117"/>
      <c r="AK52" s="118">
        <v>200.41</v>
      </c>
      <c r="AL52" s="118"/>
      <c r="AM52" s="118"/>
      <c r="AN52" s="157"/>
      <c r="AO52" s="168"/>
      <c r="AP52" s="169"/>
      <c r="AQ52" s="193" t="s">
        <v>36</v>
      </c>
      <c r="AR52" s="5" t="s">
        <v>348</v>
      </c>
      <c r="AS52" s="211"/>
      <c r="AT52" s="211"/>
      <c r="AU52" s="7" t="s">
        <v>349</v>
      </c>
      <c r="AV52" s="8"/>
      <c r="AW52" s="8"/>
      <c r="AX52" s="8"/>
      <c r="AY52" s="8"/>
      <c r="AZ52" s="8"/>
      <c r="BA52" s="8"/>
      <c r="BB52" s="8"/>
      <c r="BC52" s="8"/>
      <c r="BD52" s="8"/>
      <c r="BE52" s="8"/>
      <c r="BF52" s="8"/>
      <c r="BG52" s="9"/>
      <c r="BH52" s="9"/>
      <c r="BI52" s="9"/>
      <c r="BJ52" s="9"/>
      <c r="BK52" s="9"/>
      <c r="BL52" s="9"/>
      <c r="BM52" s="9"/>
      <c r="BN52" s="9"/>
      <c r="BO52" s="9"/>
      <c r="BP52" s="9"/>
      <c r="BQ52" s="9"/>
      <c r="BR52" s="9"/>
      <c r="BS52" s="9"/>
      <c r="BT52" s="9"/>
      <c r="BU52" s="9"/>
      <c r="BV52" s="9"/>
      <c r="IP52" s="9"/>
      <c r="IQ52" s="9"/>
      <c r="IR52" s="9"/>
      <c r="IS52" s="9"/>
      <c r="IT52" s="9"/>
      <c r="IU52" s="9"/>
      <c r="IV52" s="9"/>
    </row>
    <row r="53" spans="1:256" s="10" customFormat="1" ht="102">
      <c r="A53" s="274"/>
      <c r="B53" s="86">
        <v>51</v>
      </c>
      <c r="C53" s="193">
        <v>528615</v>
      </c>
      <c r="D53" s="227">
        <v>44236</v>
      </c>
      <c r="E53" s="1">
        <v>56291</v>
      </c>
      <c r="F53" s="1">
        <v>165061</v>
      </c>
      <c r="G53" s="1">
        <v>33559</v>
      </c>
      <c r="H53" s="1">
        <v>341</v>
      </c>
      <c r="I53" s="1"/>
      <c r="J53" s="1">
        <v>2</v>
      </c>
      <c r="K53" s="1">
        <v>6</v>
      </c>
      <c r="L53" s="204" t="s">
        <v>350</v>
      </c>
      <c r="M53" s="204" t="s">
        <v>193</v>
      </c>
      <c r="N53" s="204" t="s">
        <v>351</v>
      </c>
      <c r="O53" s="204"/>
      <c r="P53" s="204" t="s">
        <v>140</v>
      </c>
      <c r="Q53" s="204"/>
      <c r="R53" s="204"/>
      <c r="S53" s="204"/>
      <c r="T53" s="1">
        <f>1+2</f>
        <v>3</v>
      </c>
      <c r="U53" s="2"/>
      <c r="V53" s="1"/>
      <c r="W53" s="1"/>
      <c r="X53" s="204" t="s">
        <v>271</v>
      </c>
      <c r="Y53" s="1"/>
      <c r="Z53" s="2"/>
      <c r="AA53" s="3"/>
      <c r="AB53" s="2"/>
      <c r="AC53" s="3"/>
      <c r="AD53" s="2"/>
      <c r="AE53" s="115">
        <f>212.17+86.15/2</f>
        <v>255.245</v>
      </c>
      <c r="AF53" s="115"/>
      <c r="AG53" s="115"/>
      <c r="AH53" s="115">
        <f>8+6.25/2</f>
        <v>11.125</v>
      </c>
      <c r="AI53" s="116"/>
      <c r="AJ53" s="117"/>
      <c r="AK53" s="118">
        <v>996.89</v>
      </c>
      <c r="AL53" s="118">
        <v>0.31</v>
      </c>
      <c r="AM53" s="118">
        <f>+(AE53+AH53)/AK53</f>
        <v>0.26720099509474465</v>
      </c>
      <c r="AN53" s="157"/>
      <c r="AO53" s="168">
        <f>+AH53*10864</f>
        <v>120862</v>
      </c>
      <c r="AP53" s="169">
        <v>18874.73</v>
      </c>
      <c r="AQ53" s="193" t="s">
        <v>36</v>
      </c>
      <c r="AR53" s="5" t="s">
        <v>352</v>
      </c>
      <c r="AS53" s="211">
        <v>44291</v>
      </c>
      <c r="AT53" s="211"/>
      <c r="AU53" s="5" t="s">
        <v>353</v>
      </c>
      <c r="AV53" s="8"/>
      <c r="AW53" s="8"/>
      <c r="AX53" s="8"/>
      <c r="AY53" s="8"/>
      <c r="AZ53" s="8"/>
      <c r="BA53" s="8"/>
      <c r="BB53" s="8"/>
      <c r="BC53" s="8"/>
      <c r="BD53" s="8"/>
      <c r="BE53" s="8"/>
      <c r="BF53" s="8"/>
      <c r="BG53" s="9"/>
      <c r="BH53" s="9"/>
      <c r="BI53" s="9"/>
      <c r="BJ53" s="9"/>
      <c r="BK53" s="9"/>
      <c r="BL53" s="9"/>
      <c r="BM53" s="9"/>
      <c r="BN53" s="9"/>
      <c r="BO53" s="9"/>
      <c r="BP53" s="9"/>
      <c r="BQ53" s="9"/>
      <c r="BR53" s="9"/>
      <c r="BS53" s="9"/>
      <c r="BT53" s="9"/>
      <c r="BU53" s="9"/>
      <c r="BV53" s="9"/>
      <c r="IP53" s="9"/>
      <c r="IQ53" s="9"/>
      <c r="IR53" s="9"/>
      <c r="IS53" s="9"/>
      <c r="IT53" s="9"/>
      <c r="IU53" s="9"/>
      <c r="IV53" s="9"/>
    </row>
    <row r="54" spans="1:256" s="10" customFormat="1" ht="76.5">
      <c r="A54" s="274"/>
      <c r="B54" s="86">
        <v>52</v>
      </c>
      <c r="C54" s="193">
        <v>529534</v>
      </c>
      <c r="D54" s="227">
        <v>44265</v>
      </c>
      <c r="E54" s="1">
        <v>49243</v>
      </c>
      <c r="F54" s="1">
        <v>159566</v>
      </c>
      <c r="G54" s="1">
        <v>21131</v>
      </c>
      <c r="H54" s="1">
        <v>34</v>
      </c>
      <c r="I54" s="1"/>
      <c r="J54" s="1">
        <v>351</v>
      </c>
      <c r="K54" s="1">
        <v>5</v>
      </c>
      <c r="L54" s="204" t="s">
        <v>39</v>
      </c>
      <c r="M54" s="204" t="s">
        <v>354</v>
      </c>
      <c r="N54" s="204" t="s">
        <v>355</v>
      </c>
      <c r="O54" s="204"/>
      <c r="P54" s="204" t="s">
        <v>113</v>
      </c>
      <c r="Q54" s="204" t="s">
        <v>113</v>
      </c>
      <c r="R54" s="204" t="s">
        <v>113</v>
      </c>
      <c r="S54" s="204" t="s">
        <v>356</v>
      </c>
      <c r="T54" s="1"/>
      <c r="U54" s="2"/>
      <c r="V54" s="1">
        <v>1</v>
      </c>
      <c r="W54" s="1"/>
      <c r="X54" s="204" t="s">
        <v>67</v>
      </c>
      <c r="Y54" s="1">
        <v>1</v>
      </c>
      <c r="Z54" s="2">
        <v>2</v>
      </c>
      <c r="AA54" s="3">
        <f>+Y54+1</f>
        <v>2</v>
      </c>
      <c r="AB54" s="2">
        <f>+Z54</f>
        <v>2</v>
      </c>
      <c r="AC54" s="3">
        <f>+Y54*2</f>
        <v>2</v>
      </c>
      <c r="AD54" s="2">
        <f>+Z54*2</f>
        <v>4</v>
      </c>
      <c r="AE54" s="134">
        <f>73.92+69.85/2</f>
        <v>108.845</v>
      </c>
      <c r="AF54" s="115"/>
      <c r="AG54" s="115"/>
      <c r="AH54" s="115"/>
      <c r="AI54" s="116">
        <v>45.35</v>
      </c>
      <c r="AJ54" s="117"/>
      <c r="AK54" s="118">
        <v>304.8</v>
      </c>
      <c r="AL54" s="118">
        <f>+(72.83+69.85)/AK54</f>
        <v>0.46811023622047243</v>
      </c>
      <c r="AM54" s="118">
        <f>+(AE54+AI54)/AK54</f>
        <v>0.50588910761154848</v>
      </c>
      <c r="AN54" s="157">
        <f>+(24+4)/(8+1)</f>
        <v>3.1111111111111112</v>
      </c>
      <c r="AO54" s="168">
        <f>+(18109+5*14484+9*10864+7*7243)/22*AI54</f>
        <v>492678.27727272722</v>
      </c>
      <c r="AP54" s="169">
        <v>3075.59</v>
      </c>
      <c r="AQ54" s="193" t="s">
        <v>107</v>
      </c>
      <c r="AR54" s="5" t="s">
        <v>357</v>
      </c>
      <c r="AS54" s="211">
        <v>44295</v>
      </c>
      <c r="AT54" s="211"/>
      <c r="AU54" s="5" t="s">
        <v>358</v>
      </c>
      <c r="AV54" s="8"/>
      <c r="AW54" s="8"/>
      <c r="AX54" s="8"/>
      <c r="AY54" s="8"/>
      <c r="AZ54" s="8"/>
      <c r="BA54" s="8"/>
      <c r="BB54" s="8"/>
      <c r="BC54" s="8"/>
      <c r="BD54" s="8"/>
      <c r="BE54" s="8"/>
      <c r="BF54" s="8"/>
      <c r="BG54" s="9"/>
      <c r="BH54" s="9"/>
      <c r="BI54" s="9"/>
      <c r="BJ54" s="9"/>
      <c r="BK54" s="9"/>
      <c r="BL54" s="9"/>
      <c r="BM54" s="9"/>
      <c r="BN54" s="9"/>
      <c r="BO54" s="9"/>
      <c r="BP54" s="9"/>
      <c r="BQ54" s="9"/>
      <c r="BR54" s="9"/>
      <c r="BS54" s="9"/>
      <c r="BT54" s="9"/>
      <c r="BU54" s="9"/>
      <c r="BV54" s="9"/>
      <c r="IP54" s="9"/>
      <c r="IQ54" s="9"/>
      <c r="IR54" s="9"/>
      <c r="IS54" s="9"/>
      <c r="IT54" s="9"/>
      <c r="IU54" s="9"/>
      <c r="IV54" s="9"/>
    </row>
    <row r="55" spans="1:256" s="10" customFormat="1" ht="89.25">
      <c r="A55" s="274"/>
      <c r="B55" s="86">
        <v>53</v>
      </c>
      <c r="C55" s="193">
        <v>529027</v>
      </c>
      <c r="D55" s="227">
        <v>44249</v>
      </c>
      <c r="E55" s="1">
        <v>5543</v>
      </c>
      <c r="F55" s="1">
        <v>2032</v>
      </c>
      <c r="G55" s="1">
        <v>2271</v>
      </c>
      <c r="H55" s="1"/>
      <c r="I55" s="1"/>
      <c r="J55" s="1">
        <v>71</v>
      </c>
      <c r="K55" s="1">
        <v>12</v>
      </c>
      <c r="L55" s="204" t="s">
        <v>48</v>
      </c>
      <c r="M55" s="204" t="s">
        <v>359</v>
      </c>
      <c r="N55" s="204" t="s">
        <v>360</v>
      </c>
      <c r="O55" s="204"/>
      <c r="P55" s="204" t="s">
        <v>361</v>
      </c>
      <c r="Q55" s="204" t="s">
        <v>361</v>
      </c>
      <c r="R55" s="204" t="s">
        <v>361</v>
      </c>
      <c r="S55" s="204" t="s">
        <v>340</v>
      </c>
      <c r="T55" s="1"/>
      <c r="U55" s="2"/>
      <c r="V55" s="1">
        <v>1</v>
      </c>
      <c r="W55" s="1"/>
      <c r="X55" s="204" t="s">
        <v>67</v>
      </c>
      <c r="Y55" s="1"/>
      <c r="Z55" s="2">
        <v>2</v>
      </c>
      <c r="AA55" s="3"/>
      <c r="AB55" s="2">
        <f>+Z55+1+1</f>
        <v>4</v>
      </c>
      <c r="AC55" s="3"/>
      <c r="AD55" s="2">
        <f>+Z55*2</f>
        <v>4</v>
      </c>
      <c r="AE55" s="115">
        <v>67.17</v>
      </c>
      <c r="AF55" s="115"/>
      <c r="AG55" s="115"/>
      <c r="AH55" s="115"/>
      <c r="AI55" s="116">
        <f>8.17+55.1+2.54</f>
        <v>65.81</v>
      </c>
      <c r="AJ55" s="117"/>
      <c r="AK55" s="118">
        <v>296.19</v>
      </c>
      <c r="AL55" s="118">
        <f>+(67.17+8.17*2+55.1+2.54*2)/AK55</f>
        <v>0.48512778959451713</v>
      </c>
      <c r="AM55" s="118">
        <f>+(AE55+AI55)/AK55</f>
        <v>0.44896856747358121</v>
      </c>
      <c r="AN55" s="157">
        <f>+(8+12+4+5)/(4+4+1+1)</f>
        <v>2.9</v>
      </c>
      <c r="AO55" s="168">
        <f>202.3+502500+95250+25290+19600+10560+29180+19600+36300+6000+(((2*18109+14484*11+10864*3+6*7243)/22*(55.1+2.54)))</f>
        <v>1456053.34</v>
      </c>
      <c r="AP55" s="169">
        <v>14867.68</v>
      </c>
      <c r="AQ55" s="193" t="s">
        <v>36</v>
      </c>
      <c r="AR55" s="5" t="s">
        <v>362</v>
      </c>
      <c r="AS55" s="211">
        <v>44295</v>
      </c>
      <c r="AT55" s="211"/>
      <c r="AU55" s="5" t="s">
        <v>363</v>
      </c>
      <c r="AV55" s="8"/>
      <c r="AW55" s="8"/>
      <c r="AX55" s="8"/>
      <c r="AY55" s="8"/>
      <c r="AZ55" s="8"/>
      <c r="BA55" s="8"/>
      <c r="BB55" s="8"/>
      <c r="BC55" s="8"/>
      <c r="BD55" s="8"/>
      <c r="BE55" s="8"/>
      <c r="BF55" s="8"/>
      <c r="BG55" s="9"/>
      <c r="BH55" s="9"/>
      <c r="BI55" s="9"/>
      <c r="BJ55" s="9"/>
      <c r="BK55" s="9"/>
      <c r="BL55" s="9"/>
      <c r="BM55" s="9"/>
      <c r="BN55" s="9"/>
      <c r="BO55" s="9"/>
      <c r="BP55" s="9"/>
      <c r="BQ55" s="9"/>
      <c r="BR55" s="9"/>
      <c r="BS55" s="9"/>
      <c r="BT55" s="9"/>
      <c r="BU55" s="9"/>
      <c r="BV55" s="9"/>
      <c r="IP55" s="9"/>
      <c r="IQ55" s="9"/>
      <c r="IR55" s="9"/>
      <c r="IS55" s="9"/>
      <c r="IT55" s="9"/>
      <c r="IU55" s="9"/>
      <c r="IV55" s="9"/>
    </row>
    <row r="56" spans="1:256" s="10" customFormat="1" ht="140.25">
      <c r="A56" s="274"/>
      <c r="B56" s="86">
        <v>54</v>
      </c>
      <c r="C56" s="193" t="s">
        <v>364</v>
      </c>
      <c r="D56" s="227">
        <v>44260</v>
      </c>
      <c r="E56" s="1">
        <v>43481</v>
      </c>
      <c r="F56" s="1">
        <v>141347</v>
      </c>
      <c r="G56" s="1">
        <v>32026</v>
      </c>
      <c r="H56" s="1">
        <v>3</v>
      </c>
      <c r="I56" s="1"/>
      <c r="J56" s="1">
        <v>8</v>
      </c>
      <c r="K56" s="1">
        <v>6</v>
      </c>
      <c r="L56" s="204" t="s">
        <v>365</v>
      </c>
      <c r="M56" s="204" t="s">
        <v>366</v>
      </c>
      <c r="N56" s="204" t="s">
        <v>367</v>
      </c>
      <c r="O56" s="204"/>
      <c r="P56" s="204" t="s">
        <v>173</v>
      </c>
      <c r="Q56" s="204" t="s">
        <v>368</v>
      </c>
      <c r="R56" s="204" t="s">
        <v>173</v>
      </c>
      <c r="S56" s="204" t="s">
        <v>369</v>
      </c>
      <c r="T56" s="1"/>
      <c r="U56" s="2">
        <v>1</v>
      </c>
      <c r="V56" s="1"/>
      <c r="W56" s="1"/>
      <c r="X56" s="204" t="s">
        <v>67</v>
      </c>
      <c r="Y56" s="1"/>
      <c r="Z56" s="2">
        <v>4</v>
      </c>
      <c r="AA56" s="3"/>
      <c r="AB56" s="2">
        <f>+Z56+1+1+1</f>
        <v>7</v>
      </c>
      <c r="AC56" s="3"/>
      <c r="AD56" s="2">
        <f>+Z56*2</f>
        <v>8</v>
      </c>
      <c r="AE56" s="115"/>
      <c r="AF56" s="115"/>
      <c r="AG56" s="115"/>
      <c r="AH56" s="115"/>
      <c r="AI56" s="116">
        <f>150.9+64/2+115.44+50.66/2+47.32</f>
        <v>370.99</v>
      </c>
      <c r="AJ56" s="117"/>
      <c r="AK56" s="118">
        <v>906.28</v>
      </c>
      <c r="AL56" s="118">
        <f>+(150.9+64)/AK56</f>
        <v>0.2371231848876727</v>
      </c>
      <c r="AM56" s="118">
        <f>+(150.9+64/2+115.44+50.66/2)/AK56</f>
        <v>0.3571412808403584</v>
      </c>
      <c r="AN56" s="157">
        <f>+(1+10+9+8+12)/(1+5+3+2+2)</f>
        <v>3.0769230769230771</v>
      </c>
      <c r="AO56" s="168">
        <f>+(10*14109+5*14484+8*10864)/23*AI56</f>
        <v>4845806.8600000003</v>
      </c>
      <c r="AP56" s="169">
        <v>17799.759999999998</v>
      </c>
      <c r="AQ56" s="193" t="s">
        <v>107</v>
      </c>
      <c r="AR56" s="5" t="s">
        <v>370</v>
      </c>
      <c r="AS56" s="211">
        <v>44302</v>
      </c>
      <c r="AT56" s="211"/>
      <c r="AU56" s="5"/>
      <c r="AV56" s="8"/>
      <c r="AW56" s="8"/>
      <c r="AX56" s="8"/>
      <c r="AY56" s="8"/>
      <c r="AZ56" s="8"/>
      <c r="BA56" s="8"/>
      <c r="BB56" s="8"/>
      <c r="BC56" s="8"/>
      <c r="BD56" s="8"/>
      <c r="BE56" s="8"/>
      <c r="BF56" s="8"/>
      <c r="BG56" s="9"/>
      <c r="BH56" s="9"/>
      <c r="BI56" s="9"/>
      <c r="BJ56" s="9"/>
      <c r="BK56" s="9"/>
      <c r="BL56" s="9"/>
      <c r="BM56" s="9"/>
      <c r="BN56" s="9"/>
      <c r="BO56" s="9"/>
      <c r="BP56" s="9"/>
      <c r="BQ56" s="9"/>
      <c r="BR56" s="9"/>
      <c r="BS56" s="9"/>
      <c r="BT56" s="9"/>
      <c r="BU56" s="9"/>
      <c r="BV56" s="9"/>
      <c r="IP56" s="9"/>
      <c r="IQ56" s="9"/>
      <c r="IR56" s="9"/>
      <c r="IS56" s="9"/>
      <c r="IT56" s="9"/>
      <c r="IU56" s="9"/>
      <c r="IV56" s="9"/>
    </row>
    <row r="57" spans="1:256" s="10" customFormat="1" ht="63.75">
      <c r="A57" s="274"/>
      <c r="B57" s="86">
        <v>55</v>
      </c>
      <c r="C57" s="193">
        <v>530167</v>
      </c>
      <c r="D57" s="227">
        <v>44286</v>
      </c>
      <c r="E57" s="1">
        <v>39363</v>
      </c>
      <c r="F57" s="1">
        <v>138185</v>
      </c>
      <c r="G57" s="1">
        <v>20418</v>
      </c>
      <c r="H57" s="1"/>
      <c r="I57" s="1"/>
      <c r="J57" s="1">
        <v>258</v>
      </c>
      <c r="K57" s="1">
        <v>4</v>
      </c>
      <c r="L57" s="204" t="s">
        <v>39</v>
      </c>
      <c r="M57" s="204" t="s">
        <v>371</v>
      </c>
      <c r="N57" s="204" t="s">
        <v>372</v>
      </c>
      <c r="O57" s="204"/>
      <c r="P57" s="204" t="s">
        <v>373</v>
      </c>
      <c r="Q57" s="204"/>
      <c r="R57" s="204"/>
      <c r="S57" s="204"/>
      <c r="T57" s="1">
        <v>4</v>
      </c>
      <c r="U57" s="2"/>
      <c r="V57" s="1"/>
      <c r="W57" s="1"/>
      <c r="X57" s="204" t="s">
        <v>44</v>
      </c>
      <c r="Y57" s="1">
        <v>4</v>
      </c>
      <c r="Z57" s="2"/>
      <c r="AA57" s="3">
        <f>+Y57</f>
        <v>4</v>
      </c>
      <c r="AB57" s="2"/>
      <c r="AC57" s="3">
        <f>+Y57*2</f>
        <v>8</v>
      </c>
      <c r="AD57" s="2"/>
      <c r="AE57" s="115"/>
      <c r="AF57" s="115"/>
      <c r="AG57" s="115">
        <f>8.45/2+56.28+7.32/2+3.64/2+62.51+1.63/2</f>
        <v>129.31</v>
      </c>
      <c r="AH57" s="115"/>
      <c r="AI57" s="116"/>
      <c r="AJ57" s="117"/>
      <c r="AK57" s="118">
        <v>308.39999999999998</v>
      </c>
      <c r="AL57" s="118">
        <f>+(3.64+62.51+1.63)/AK57</f>
        <v>0.21977950713359271</v>
      </c>
      <c r="AM57" s="118">
        <f>+AG57/AK57</f>
        <v>0.4192931258106356</v>
      </c>
      <c r="AN57" s="157">
        <f>+(3+20+20)/(1+5+4)</f>
        <v>4.3</v>
      </c>
      <c r="AO57" s="168">
        <f>+(2*18109+14484*2+5*10864+7243*11)/20*AG57</f>
        <v>1287791.8245000001</v>
      </c>
      <c r="AP57" s="169">
        <v>17459.490000000002</v>
      </c>
      <c r="AQ57" s="193" t="s">
        <v>36</v>
      </c>
      <c r="AR57" s="5" t="s">
        <v>374</v>
      </c>
      <c r="AS57" s="211">
        <v>44302</v>
      </c>
      <c r="AT57" s="211"/>
      <c r="AU57" s="5" t="s">
        <v>375</v>
      </c>
      <c r="AV57" s="8"/>
      <c r="AW57" s="8"/>
      <c r="AX57" s="8"/>
      <c r="AY57" s="8"/>
      <c r="AZ57" s="8"/>
      <c r="BA57" s="8"/>
      <c r="BB57" s="8"/>
      <c r="BC57" s="8"/>
      <c r="BD57" s="8"/>
      <c r="BE57" s="8"/>
      <c r="BF57" s="8"/>
      <c r="BG57" s="9"/>
      <c r="BH57" s="9"/>
      <c r="BI57" s="9"/>
      <c r="BJ57" s="9"/>
      <c r="BK57" s="9"/>
      <c r="BL57" s="9"/>
      <c r="BM57" s="9"/>
      <c r="BN57" s="9"/>
      <c r="BO57" s="9"/>
      <c r="BP57" s="9"/>
      <c r="BQ57" s="9"/>
      <c r="BR57" s="9"/>
      <c r="BS57" s="9"/>
      <c r="BT57" s="9"/>
      <c r="BU57" s="9"/>
      <c r="BV57" s="9"/>
      <c r="IP57" s="9"/>
      <c r="IQ57" s="9"/>
      <c r="IR57" s="9"/>
      <c r="IS57" s="9"/>
      <c r="IT57" s="9"/>
      <c r="IU57" s="9"/>
      <c r="IV57" s="9"/>
    </row>
    <row r="58" spans="1:256" s="10" customFormat="1" ht="76.5">
      <c r="A58" s="274"/>
      <c r="B58" s="86">
        <v>56</v>
      </c>
      <c r="C58" s="193">
        <v>525421</v>
      </c>
      <c r="D58" s="227">
        <v>44152</v>
      </c>
      <c r="E58" s="1">
        <v>12423</v>
      </c>
      <c r="F58" s="1">
        <v>103869</v>
      </c>
      <c r="G58" s="1">
        <v>3309</v>
      </c>
      <c r="H58" s="1"/>
      <c r="I58" s="1"/>
      <c r="J58" s="1">
        <v>29</v>
      </c>
      <c r="K58" s="1">
        <v>2</v>
      </c>
      <c r="L58" s="204" t="s">
        <v>48</v>
      </c>
      <c r="M58" s="204" t="s">
        <v>376</v>
      </c>
      <c r="N58" s="204" t="s">
        <v>377</v>
      </c>
      <c r="O58" s="204"/>
      <c r="P58" s="204" t="s">
        <v>378</v>
      </c>
      <c r="Q58" s="204" t="s">
        <v>52</v>
      </c>
      <c r="R58" s="204" t="s">
        <v>52</v>
      </c>
      <c r="S58" s="204" t="s">
        <v>52</v>
      </c>
      <c r="T58" s="1">
        <v>1</v>
      </c>
      <c r="U58" s="2"/>
      <c r="V58" s="1"/>
      <c r="W58" s="1"/>
      <c r="X58" s="204" t="s">
        <v>126</v>
      </c>
      <c r="Y58" s="1"/>
      <c r="Z58" s="2"/>
      <c r="AA58" s="3"/>
      <c r="AB58" s="2"/>
      <c r="AC58" s="3"/>
      <c r="AD58" s="2"/>
      <c r="AE58" s="115"/>
      <c r="AF58" s="115"/>
      <c r="AG58" s="115"/>
      <c r="AH58" s="115"/>
      <c r="AI58" s="116"/>
      <c r="AJ58" s="117">
        <f>156.38+200.2</f>
        <v>356.58</v>
      </c>
      <c r="AK58" s="118">
        <v>476.3</v>
      </c>
      <c r="AL58" s="118">
        <f>+AJ58/AK58</f>
        <v>0.7486458114633634</v>
      </c>
      <c r="AM58" s="118">
        <f>+AJ58/AK58</f>
        <v>0.7486458114633634</v>
      </c>
      <c r="AN58" s="157"/>
      <c r="AO58" s="169">
        <f>+AJ58*12923</f>
        <v>4608083.34</v>
      </c>
      <c r="AP58" s="169">
        <v>61022.96</v>
      </c>
      <c r="AQ58" s="193" t="s">
        <v>36</v>
      </c>
      <c r="AR58" s="5" t="s">
        <v>379</v>
      </c>
      <c r="AS58" s="211">
        <v>44305</v>
      </c>
      <c r="AT58" s="211"/>
      <c r="AU58" s="5" t="s">
        <v>380</v>
      </c>
      <c r="AV58" s="8"/>
      <c r="AW58" s="8"/>
      <c r="AX58" s="8"/>
      <c r="AY58" s="8"/>
      <c r="AZ58" s="8"/>
      <c r="BA58" s="8"/>
      <c r="BB58" s="8"/>
      <c r="BC58" s="8"/>
      <c r="BD58" s="8"/>
      <c r="BE58" s="8"/>
      <c r="BF58" s="8"/>
      <c r="BG58" s="9"/>
      <c r="BH58" s="9"/>
      <c r="BI58" s="9"/>
      <c r="BJ58" s="9"/>
      <c r="BK58" s="9"/>
      <c r="BL58" s="9"/>
      <c r="BM58" s="9"/>
      <c r="BN58" s="9"/>
      <c r="BO58" s="9"/>
      <c r="BP58" s="9"/>
      <c r="BQ58" s="9"/>
      <c r="BR58" s="9"/>
      <c r="BS58" s="9"/>
      <c r="BT58" s="9"/>
      <c r="BU58" s="9"/>
      <c r="BV58" s="9"/>
      <c r="IP58" s="9"/>
      <c r="IQ58" s="9"/>
      <c r="IR58" s="9"/>
      <c r="IS58" s="9"/>
      <c r="IT58" s="9"/>
      <c r="IU58" s="9"/>
      <c r="IV58" s="9"/>
    </row>
    <row r="59" spans="1:256" s="10" customFormat="1" ht="51">
      <c r="A59" s="275"/>
      <c r="B59" s="90">
        <v>525330</v>
      </c>
      <c r="C59" s="249">
        <v>44151</v>
      </c>
      <c r="D59" s="235" t="s">
        <v>343</v>
      </c>
      <c r="E59" s="1">
        <v>32851</v>
      </c>
      <c r="F59" s="1">
        <v>131574</v>
      </c>
      <c r="G59" s="1">
        <v>4080</v>
      </c>
      <c r="H59" s="1"/>
      <c r="I59" s="1"/>
      <c r="J59" s="1">
        <v>56</v>
      </c>
      <c r="K59" s="1">
        <v>9</v>
      </c>
      <c r="L59" s="204" t="s">
        <v>48</v>
      </c>
      <c r="M59" s="204" t="s">
        <v>381</v>
      </c>
      <c r="N59" s="204" t="s">
        <v>377</v>
      </c>
      <c r="O59" s="204"/>
      <c r="P59" s="204" t="s">
        <v>378</v>
      </c>
      <c r="Q59" s="204"/>
      <c r="R59" s="204"/>
      <c r="S59" s="204"/>
      <c r="T59" s="1">
        <f>1+1</f>
        <v>2</v>
      </c>
      <c r="U59" s="2"/>
      <c r="V59" s="1"/>
      <c r="W59" s="1"/>
      <c r="X59" s="204" t="s">
        <v>382</v>
      </c>
      <c r="Y59" s="1">
        <v>4</v>
      </c>
      <c r="Z59" s="2"/>
      <c r="AA59" s="3">
        <f>+Y59+2</f>
        <v>6</v>
      </c>
      <c r="AB59" s="2"/>
      <c r="AC59" s="3">
        <f>+Y59*2</f>
        <v>8</v>
      </c>
      <c r="AD59" s="2"/>
      <c r="AE59" s="115"/>
      <c r="AF59" s="115"/>
      <c r="AG59" s="115">
        <v>261.39999999999998</v>
      </c>
      <c r="AH59" s="115">
        <v>362.7</v>
      </c>
      <c r="AI59" s="116"/>
      <c r="AJ59" s="117"/>
      <c r="AK59" s="118">
        <v>389.11</v>
      </c>
      <c r="AL59" s="118">
        <f>+(204.9+115.34+42.45)/AK59</f>
        <v>0.93210146231142865</v>
      </c>
      <c r="AM59" s="118">
        <f>+(204.9+115.34+42.45+162.41+79.1)/AK59</f>
        <v>1.5527742797666471</v>
      </c>
      <c r="AN59" s="157"/>
      <c r="AO59" s="168"/>
      <c r="AP59" s="169"/>
      <c r="AQ59" s="193" t="s">
        <v>36</v>
      </c>
      <c r="AR59" s="5" t="s">
        <v>383</v>
      </c>
      <c r="AS59" s="211"/>
      <c r="AT59" s="211"/>
      <c r="AU59" s="5" t="s">
        <v>384</v>
      </c>
      <c r="AV59" s="8"/>
      <c r="AW59" s="8"/>
      <c r="AX59" s="8"/>
      <c r="AY59" s="8"/>
      <c r="AZ59" s="8"/>
      <c r="BA59" s="8"/>
      <c r="BB59" s="8"/>
      <c r="BC59" s="8"/>
      <c r="BD59" s="8"/>
      <c r="BE59" s="8"/>
      <c r="BF59" s="8"/>
      <c r="BG59" s="9"/>
      <c r="BH59" s="9"/>
      <c r="BI59" s="9"/>
      <c r="BJ59" s="9"/>
      <c r="BK59" s="9"/>
      <c r="BL59" s="9"/>
      <c r="BM59" s="9"/>
      <c r="BN59" s="9"/>
      <c r="BO59" s="9"/>
      <c r="BP59" s="9"/>
      <c r="BQ59" s="9"/>
      <c r="BR59" s="9"/>
      <c r="BS59" s="9"/>
      <c r="BT59" s="9"/>
      <c r="BU59" s="9"/>
      <c r="BV59" s="9"/>
      <c r="IP59" s="9"/>
      <c r="IQ59" s="9"/>
      <c r="IR59" s="9"/>
      <c r="IS59" s="9"/>
      <c r="IT59" s="9"/>
      <c r="IU59" s="9"/>
      <c r="IV59" s="9"/>
    </row>
    <row r="60" spans="1:256" s="10" customFormat="1" ht="89.25">
      <c r="A60" s="274"/>
      <c r="B60" s="262">
        <v>57</v>
      </c>
      <c r="C60" s="260" t="s">
        <v>385</v>
      </c>
      <c r="D60" s="238">
        <v>44263</v>
      </c>
      <c r="E60" s="1">
        <v>53902</v>
      </c>
      <c r="F60" s="1">
        <v>906</v>
      </c>
      <c r="G60" s="1">
        <v>4509</v>
      </c>
      <c r="H60" s="1"/>
      <c r="I60" s="1"/>
      <c r="J60" s="32">
        <v>123</v>
      </c>
      <c r="K60" s="1">
        <v>9</v>
      </c>
      <c r="L60" s="207" t="s">
        <v>130</v>
      </c>
      <c r="M60" s="204" t="s">
        <v>386</v>
      </c>
      <c r="N60" s="204" t="s">
        <v>387</v>
      </c>
      <c r="O60" s="204"/>
      <c r="P60" s="204" t="s">
        <v>388</v>
      </c>
      <c r="Q60" s="204" t="s">
        <v>388</v>
      </c>
      <c r="R60" s="204" t="s">
        <v>388</v>
      </c>
      <c r="S60" s="204" t="s">
        <v>389</v>
      </c>
      <c r="T60" s="1"/>
      <c r="U60" s="33">
        <v>1</v>
      </c>
      <c r="V60" s="1"/>
      <c r="W60" s="1"/>
      <c r="X60" s="207" t="s">
        <v>67</v>
      </c>
      <c r="Y60" s="1"/>
      <c r="Z60" s="2">
        <v>2</v>
      </c>
      <c r="AA60" s="3"/>
      <c r="AB60" s="2">
        <f>+Z60+1</f>
        <v>3</v>
      </c>
      <c r="AC60" s="3"/>
      <c r="AD60" s="2">
        <f>+Z60*2</f>
        <v>4</v>
      </c>
      <c r="AE60" s="115"/>
      <c r="AF60" s="115"/>
      <c r="AG60" s="115"/>
      <c r="AH60" s="115"/>
      <c r="AI60" s="116">
        <f>39.94+5.08</f>
        <v>45.019999999999996</v>
      </c>
      <c r="AJ60" s="117"/>
      <c r="AK60" s="118">
        <v>176.85</v>
      </c>
      <c r="AL60" s="118">
        <f>+AI60/AK60</f>
        <v>0.25456601639807747</v>
      </c>
      <c r="AM60" s="118">
        <f>+(39.94+5.06/2)/AK60</f>
        <v>0.2401470172462539</v>
      </c>
      <c r="AN60" s="162"/>
      <c r="AO60" s="259" t="e">
        <f>+(5*18109+10*14484+4*10864)/19*(AI60+#REF!)</f>
        <v>#REF!</v>
      </c>
      <c r="AP60" s="266">
        <v>6052.47</v>
      </c>
      <c r="AQ60" s="260" t="s">
        <v>36</v>
      </c>
      <c r="AR60" s="261" t="s">
        <v>390</v>
      </c>
      <c r="AS60" s="211">
        <v>44305</v>
      </c>
      <c r="AT60" s="211"/>
      <c r="AU60" s="31" t="s">
        <v>391</v>
      </c>
      <c r="AV60" s="8"/>
      <c r="AW60" s="8"/>
      <c r="AX60" s="8"/>
      <c r="AY60" s="8"/>
      <c r="AZ60" s="8"/>
      <c r="BA60" s="8"/>
      <c r="BB60" s="8"/>
      <c r="BC60" s="8"/>
      <c r="BD60" s="8"/>
      <c r="BE60" s="8"/>
      <c r="BF60" s="8"/>
      <c r="BG60" s="9"/>
      <c r="BH60" s="9"/>
      <c r="BI60" s="9"/>
      <c r="BJ60" s="9"/>
      <c r="BK60" s="9"/>
      <c r="BL60" s="9"/>
      <c r="BM60" s="9"/>
      <c r="BN60" s="9"/>
      <c r="BO60" s="9"/>
      <c r="BP60" s="9"/>
      <c r="BQ60" s="9"/>
      <c r="BR60" s="9"/>
      <c r="BS60" s="9"/>
      <c r="BT60" s="9"/>
      <c r="BU60" s="9"/>
      <c r="BV60" s="9"/>
      <c r="IP60" s="9"/>
      <c r="IQ60" s="9"/>
      <c r="IR60" s="9"/>
      <c r="IS60" s="9"/>
      <c r="IT60" s="9"/>
      <c r="IU60" s="9"/>
      <c r="IV60" s="9"/>
    </row>
    <row r="61" spans="1:256" s="10" customFormat="1" ht="38.25">
      <c r="A61" s="274"/>
      <c r="B61" s="86">
        <v>58</v>
      </c>
      <c r="C61" s="193">
        <v>529647</v>
      </c>
      <c r="D61" s="227">
        <v>44267</v>
      </c>
      <c r="E61" s="1">
        <v>49801</v>
      </c>
      <c r="F61" s="1">
        <v>159965</v>
      </c>
      <c r="G61" s="1">
        <v>32723</v>
      </c>
      <c r="H61" s="1">
        <v>46</v>
      </c>
      <c r="I61" s="1"/>
      <c r="J61" s="1"/>
      <c r="K61" s="1">
        <v>6</v>
      </c>
      <c r="L61" s="204" t="s">
        <v>392</v>
      </c>
      <c r="M61" s="204" t="s">
        <v>393</v>
      </c>
      <c r="N61" s="204" t="s">
        <v>394</v>
      </c>
      <c r="O61" s="204"/>
      <c r="P61" s="204" t="s">
        <v>395</v>
      </c>
      <c r="Q61" s="204"/>
      <c r="R61" s="204"/>
      <c r="S61" s="204"/>
      <c r="T61" s="1">
        <v>1</v>
      </c>
      <c r="U61" s="2"/>
      <c r="V61" s="1"/>
      <c r="W61" s="1"/>
      <c r="X61" s="204" t="s">
        <v>114</v>
      </c>
      <c r="Y61" s="1"/>
      <c r="Z61" s="2"/>
      <c r="AA61" s="3"/>
      <c r="AB61" s="2"/>
      <c r="AC61" s="3"/>
      <c r="AD61" s="2"/>
      <c r="AE61" s="115"/>
      <c r="AF61" s="115"/>
      <c r="AG61" s="115"/>
      <c r="AH61" s="115">
        <v>179.26</v>
      </c>
      <c r="AI61" s="116"/>
      <c r="AJ61" s="117"/>
      <c r="AK61" s="118">
        <v>1998.77</v>
      </c>
      <c r="AL61" s="118">
        <f>+AH61/AK61</f>
        <v>8.9685156371168265E-2</v>
      </c>
      <c r="AM61" s="118">
        <f>+AH61/AK61</f>
        <v>8.9685156371168265E-2</v>
      </c>
      <c r="AN61" s="157"/>
      <c r="AO61" s="168">
        <f>+AH61*10864</f>
        <v>1947480.64</v>
      </c>
      <c r="AP61" s="169">
        <v>33933.050000000003</v>
      </c>
      <c r="AQ61" s="193" t="s">
        <v>36</v>
      </c>
      <c r="AR61" s="5" t="s">
        <v>396</v>
      </c>
      <c r="AS61" s="211">
        <v>44305</v>
      </c>
      <c r="AT61" s="211"/>
      <c r="AU61" s="5" t="s">
        <v>397</v>
      </c>
      <c r="AV61" s="8"/>
      <c r="AW61" s="8"/>
      <c r="AX61" s="8"/>
      <c r="AY61" s="8"/>
      <c r="AZ61" s="8"/>
      <c r="BA61" s="8"/>
      <c r="BB61" s="8"/>
      <c r="BC61" s="8"/>
      <c r="BD61" s="8"/>
      <c r="BE61" s="8"/>
      <c r="BF61" s="8"/>
      <c r="BG61" s="9"/>
      <c r="BH61" s="9"/>
      <c r="BI61" s="9"/>
      <c r="BJ61" s="9"/>
      <c r="BK61" s="9"/>
      <c r="BL61" s="9"/>
      <c r="BM61" s="9"/>
      <c r="BN61" s="9"/>
      <c r="BO61" s="9"/>
      <c r="BP61" s="9"/>
      <c r="BQ61" s="9"/>
      <c r="BR61" s="9"/>
      <c r="BS61" s="9"/>
      <c r="BT61" s="9"/>
      <c r="BU61" s="9"/>
      <c r="BV61" s="9"/>
      <c r="IP61" s="9"/>
      <c r="IQ61" s="9"/>
      <c r="IR61" s="9"/>
      <c r="IS61" s="9"/>
      <c r="IT61" s="9"/>
      <c r="IU61" s="9"/>
      <c r="IV61" s="9"/>
    </row>
    <row r="62" spans="1:256" s="10" customFormat="1" ht="76.5">
      <c r="A62" s="274"/>
      <c r="B62" s="86">
        <v>59</v>
      </c>
      <c r="C62" s="193">
        <v>528986</v>
      </c>
      <c r="D62" s="227">
        <v>44246</v>
      </c>
      <c r="E62" s="1">
        <v>5172</v>
      </c>
      <c r="F62" s="1">
        <v>784</v>
      </c>
      <c r="G62" s="1">
        <v>711</v>
      </c>
      <c r="H62" s="1"/>
      <c r="I62" s="1"/>
      <c r="J62" s="1">
        <v>158</v>
      </c>
      <c r="K62" s="1">
        <v>12</v>
      </c>
      <c r="L62" s="204" t="s">
        <v>81</v>
      </c>
      <c r="M62" s="204" t="s">
        <v>398</v>
      </c>
      <c r="N62" s="204" t="s">
        <v>399</v>
      </c>
      <c r="O62" s="204"/>
      <c r="P62" s="204" t="s">
        <v>400</v>
      </c>
      <c r="Q62" s="204"/>
      <c r="R62" s="204"/>
      <c r="S62" s="204"/>
      <c r="T62" s="1">
        <v>1</v>
      </c>
      <c r="U62" s="2"/>
      <c r="V62" s="1"/>
      <c r="W62" s="1"/>
      <c r="X62" s="204" t="s">
        <v>114</v>
      </c>
      <c r="Y62" s="1"/>
      <c r="Z62" s="2"/>
      <c r="AA62" s="3"/>
      <c r="AB62" s="2"/>
      <c r="AC62" s="3"/>
      <c r="AD62" s="2"/>
      <c r="AE62" s="115"/>
      <c r="AF62" s="115"/>
      <c r="AG62" s="115"/>
      <c r="AH62" s="115">
        <f>213.17+14.42</f>
        <v>227.58999999999997</v>
      </c>
      <c r="AI62" s="116"/>
      <c r="AJ62" s="117"/>
      <c r="AK62" s="118">
        <v>600.79</v>
      </c>
      <c r="AL62" s="118">
        <f>213.17/AK62</f>
        <v>0.3548161587243463</v>
      </c>
      <c r="AM62" s="118">
        <f>+AH62/AK62</f>
        <v>0.37881788977845837</v>
      </c>
      <c r="AN62" s="157"/>
      <c r="AO62" s="168">
        <f>+AH62*14484</f>
        <v>3296413.5599999996</v>
      </c>
      <c r="AP62" s="169">
        <v>43512.38</v>
      </c>
      <c r="AQ62" s="193" t="s">
        <v>36</v>
      </c>
      <c r="AR62" s="5" t="s">
        <v>401</v>
      </c>
      <c r="AS62" s="211">
        <v>44313</v>
      </c>
      <c r="AT62" s="211"/>
      <c r="AU62" s="5" t="s">
        <v>402</v>
      </c>
      <c r="AV62" s="8"/>
      <c r="AW62" s="8"/>
      <c r="AX62" s="8"/>
      <c r="AY62" s="8"/>
      <c r="AZ62" s="8"/>
      <c r="BA62" s="8"/>
      <c r="BB62" s="8"/>
      <c r="BC62" s="8"/>
      <c r="BD62" s="8"/>
      <c r="BE62" s="8"/>
      <c r="BF62" s="8"/>
      <c r="BG62" s="9"/>
      <c r="BH62" s="9"/>
      <c r="BI62" s="9"/>
      <c r="BJ62" s="9"/>
      <c r="BK62" s="9"/>
      <c r="BL62" s="9"/>
      <c r="BM62" s="9"/>
      <c r="BN62" s="9"/>
      <c r="BO62" s="9"/>
      <c r="BP62" s="9"/>
      <c r="BQ62" s="9"/>
      <c r="BR62" s="9"/>
      <c r="BS62" s="9"/>
      <c r="BT62" s="9"/>
      <c r="BU62" s="9"/>
      <c r="BV62" s="9"/>
      <c r="IP62" s="9"/>
      <c r="IQ62" s="9"/>
      <c r="IR62" s="9"/>
      <c r="IS62" s="9"/>
      <c r="IT62" s="9"/>
      <c r="IU62" s="9"/>
      <c r="IV62" s="9"/>
    </row>
    <row r="63" spans="1:256" s="10" customFormat="1" ht="63.75">
      <c r="A63" s="274"/>
      <c r="B63" s="86">
        <v>60</v>
      </c>
      <c r="C63" s="193" t="s">
        <v>403</v>
      </c>
      <c r="D63" s="227">
        <v>44273</v>
      </c>
      <c r="E63" s="1">
        <v>41495</v>
      </c>
      <c r="F63" s="1">
        <v>139986</v>
      </c>
      <c r="G63" s="1">
        <v>8577</v>
      </c>
      <c r="H63" s="1"/>
      <c r="I63" s="1"/>
      <c r="J63" s="1">
        <v>578</v>
      </c>
      <c r="K63" s="1">
        <v>3</v>
      </c>
      <c r="L63" s="204" t="s">
        <v>39</v>
      </c>
      <c r="M63" s="204" t="s">
        <v>404</v>
      </c>
      <c r="N63" s="204" t="s">
        <v>405</v>
      </c>
      <c r="O63" s="204"/>
      <c r="P63" s="204" t="s">
        <v>406</v>
      </c>
      <c r="Q63" s="204" t="s">
        <v>406</v>
      </c>
      <c r="R63" s="204" t="s">
        <v>406</v>
      </c>
      <c r="S63" s="204" t="s">
        <v>407</v>
      </c>
      <c r="T63" s="1"/>
      <c r="U63" s="2">
        <v>1</v>
      </c>
      <c r="V63" s="1"/>
      <c r="W63" s="1"/>
      <c r="X63" s="204" t="s">
        <v>67</v>
      </c>
      <c r="Y63" s="1"/>
      <c r="Z63" s="2">
        <v>2</v>
      </c>
      <c r="AA63" s="3"/>
      <c r="AB63" s="2">
        <f>+Z63+1</f>
        <v>3</v>
      </c>
      <c r="AC63" s="3"/>
      <c r="AD63" s="2">
        <f>+Z63*2</f>
        <v>4</v>
      </c>
      <c r="AE63" s="115"/>
      <c r="AF63" s="115"/>
      <c r="AG63" s="115"/>
      <c r="AH63" s="115"/>
      <c r="AI63" s="116">
        <f>68.85+1.06</f>
        <v>69.91</v>
      </c>
      <c r="AJ63" s="117"/>
      <c r="AK63" s="118">
        <v>360</v>
      </c>
      <c r="AL63" s="118">
        <f>+AI63/AK63</f>
        <v>0.19419444444444445</v>
      </c>
      <c r="AM63" s="118">
        <f>+AI63/AK63</f>
        <v>0.19419444444444445</v>
      </c>
      <c r="AN63" s="157"/>
      <c r="AO63" s="168">
        <f>+(5*18109+12*14484+4*10864)/21*AI63</f>
        <v>1024710.8185714285</v>
      </c>
      <c r="AP63" s="169">
        <v>4140.51</v>
      </c>
      <c r="AQ63" s="193" t="s">
        <v>36</v>
      </c>
      <c r="AR63" s="5" t="s">
        <v>408</v>
      </c>
      <c r="AS63" s="211">
        <v>44313</v>
      </c>
      <c r="AT63" s="211"/>
      <c r="AU63" s="5" t="s">
        <v>409</v>
      </c>
      <c r="AV63" s="8"/>
      <c r="AW63" s="8"/>
      <c r="AX63" s="8"/>
      <c r="AY63" s="8"/>
      <c r="AZ63" s="8"/>
      <c r="BA63" s="8"/>
      <c r="BB63" s="8"/>
      <c r="BC63" s="8"/>
      <c r="BD63" s="8"/>
      <c r="BE63" s="8"/>
      <c r="BF63" s="8"/>
      <c r="BG63" s="9"/>
      <c r="BH63" s="9"/>
      <c r="BI63" s="9"/>
      <c r="BJ63" s="9"/>
      <c r="BK63" s="9"/>
      <c r="BL63" s="9"/>
      <c r="BM63" s="9"/>
      <c r="BN63" s="9"/>
      <c r="BO63" s="9"/>
      <c r="BP63" s="9"/>
      <c r="BQ63" s="9"/>
      <c r="BR63" s="9"/>
      <c r="BS63" s="9"/>
      <c r="BT63" s="9"/>
      <c r="BU63" s="9"/>
      <c r="BV63" s="9"/>
      <c r="IP63" s="9"/>
      <c r="IQ63" s="9"/>
      <c r="IR63" s="9"/>
      <c r="IS63" s="9"/>
      <c r="IT63" s="9"/>
      <c r="IU63" s="9"/>
      <c r="IV63" s="9"/>
    </row>
    <row r="64" spans="1:256" s="10" customFormat="1" ht="51">
      <c r="A64" s="274"/>
      <c r="B64" s="86">
        <v>61</v>
      </c>
      <c r="C64" s="193" t="s">
        <v>410</v>
      </c>
      <c r="D64" s="227">
        <v>44280</v>
      </c>
      <c r="E64" s="1">
        <v>20977</v>
      </c>
      <c r="F64" s="1">
        <v>109638</v>
      </c>
      <c r="G64" s="1">
        <v>1166</v>
      </c>
      <c r="H64" s="1"/>
      <c r="I64" s="1"/>
      <c r="J64" s="1">
        <v>10</v>
      </c>
      <c r="K64" s="1">
        <v>9</v>
      </c>
      <c r="L64" s="204" t="s">
        <v>31</v>
      </c>
      <c r="M64" s="204" t="s">
        <v>411</v>
      </c>
      <c r="N64" s="204" t="s">
        <v>412</v>
      </c>
      <c r="O64" s="204"/>
      <c r="P64" s="204" t="s">
        <v>413</v>
      </c>
      <c r="Q64" s="204"/>
      <c r="R64" s="204"/>
      <c r="S64" s="204"/>
      <c r="T64" s="1">
        <v>1</v>
      </c>
      <c r="U64" s="2"/>
      <c r="V64" s="1"/>
      <c r="W64" s="1"/>
      <c r="X64" s="204" t="s">
        <v>414</v>
      </c>
      <c r="Y64" s="1"/>
      <c r="Z64" s="2"/>
      <c r="AA64" s="3"/>
      <c r="AB64" s="2"/>
      <c r="AC64" s="3"/>
      <c r="AD64" s="2"/>
      <c r="AE64" s="115"/>
      <c r="AF64" s="115">
        <v>262.73</v>
      </c>
      <c r="AG64" s="115"/>
      <c r="AH64" s="115">
        <v>8.3000000000000007</v>
      </c>
      <c r="AI64" s="116"/>
      <c r="AJ64" s="117"/>
      <c r="AK64" s="118">
        <v>706.23</v>
      </c>
      <c r="AL64" s="118">
        <f>+(AF64+AH64)/AK64</f>
        <v>0.38377015986293422</v>
      </c>
      <c r="AM64" s="118">
        <f>+AL64</f>
        <v>0.38377015986293422</v>
      </c>
      <c r="AN64" s="157"/>
      <c r="AO64" s="168">
        <f>60000+((4*14484+7*7243)/11*8.3)</f>
        <v>141971.55454545456</v>
      </c>
      <c r="AP64" s="169">
        <v>3341.83</v>
      </c>
      <c r="AQ64" s="193" t="s">
        <v>36</v>
      </c>
      <c r="AR64" s="5" t="s">
        <v>415</v>
      </c>
      <c r="AS64" s="211">
        <v>44313</v>
      </c>
      <c r="AT64" s="211"/>
      <c r="AU64" s="5" t="s">
        <v>416</v>
      </c>
      <c r="AV64" s="8"/>
      <c r="AW64" s="8"/>
      <c r="AX64" s="8"/>
      <c r="AY64" s="8"/>
      <c r="AZ64" s="8"/>
      <c r="BA64" s="8"/>
      <c r="BB64" s="8"/>
      <c r="BC64" s="8"/>
      <c r="BD64" s="8"/>
      <c r="BE64" s="8"/>
      <c r="BF64" s="8"/>
      <c r="BG64" s="9"/>
      <c r="BH64" s="9"/>
      <c r="BI64" s="9"/>
      <c r="BJ64" s="9"/>
      <c r="BK64" s="9"/>
      <c r="BL64" s="9"/>
      <c r="BM64" s="9"/>
      <c r="BN64" s="9"/>
      <c r="BO64" s="9"/>
      <c r="BP64" s="9"/>
      <c r="BQ64" s="9"/>
      <c r="BR64" s="9"/>
      <c r="BS64" s="9"/>
      <c r="BT64" s="9"/>
      <c r="BU64" s="9"/>
      <c r="BV64" s="9"/>
      <c r="IP64" s="9"/>
      <c r="IQ64" s="9"/>
      <c r="IR64" s="9"/>
      <c r="IS64" s="9"/>
      <c r="IT64" s="9"/>
      <c r="IU64" s="9"/>
      <c r="IV64" s="9"/>
    </row>
    <row r="65" spans="1:256" s="10" customFormat="1" ht="51">
      <c r="A65" s="274"/>
      <c r="B65" s="86">
        <v>62</v>
      </c>
      <c r="C65" s="193" t="s">
        <v>417</v>
      </c>
      <c r="D65" s="227">
        <v>44225</v>
      </c>
      <c r="E65" s="1"/>
      <c r="F65" s="1">
        <v>159550</v>
      </c>
      <c r="G65" s="1">
        <v>30561</v>
      </c>
      <c r="H65" s="1">
        <v>327</v>
      </c>
      <c r="I65" s="1"/>
      <c r="J65" s="1">
        <v>5</v>
      </c>
      <c r="K65" s="1">
        <v>1</v>
      </c>
      <c r="L65" s="204" t="s">
        <v>130</v>
      </c>
      <c r="M65" s="204" t="s">
        <v>418</v>
      </c>
      <c r="N65" s="204" t="s">
        <v>419</v>
      </c>
      <c r="O65" s="204"/>
      <c r="P65" s="204" t="s">
        <v>420</v>
      </c>
      <c r="Q65" s="204" t="s">
        <v>420</v>
      </c>
      <c r="R65" s="204" t="s">
        <v>420</v>
      </c>
      <c r="S65" s="204" t="s">
        <v>52</v>
      </c>
      <c r="T65" s="1"/>
      <c r="U65" s="2">
        <v>1</v>
      </c>
      <c r="V65" s="1"/>
      <c r="W65" s="1"/>
      <c r="X65" s="204" t="s">
        <v>67</v>
      </c>
      <c r="Y65" s="1"/>
      <c r="Z65" s="2">
        <v>2</v>
      </c>
      <c r="AA65" s="3"/>
      <c r="AB65" s="2">
        <f>+Z65+1</f>
        <v>3</v>
      </c>
      <c r="AC65" s="3"/>
      <c r="AD65" s="2">
        <f>+Z65*2</f>
        <v>4</v>
      </c>
      <c r="AE65" s="115"/>
      <c r="AF65" s="115"/>
      <c r="AG65" s="115"/>
      <c r="AH65" s="115"/>
      <c r="AI65" s="116">
        <f>114.27+72.12/2</f>
        <v>150.32999999999998</v>
      </c>
      <c r="AJ65" s="117"/>
      <c r="AK65" s="118">
        <v>374.5</v>
      </c>
      <c r="AL65" s="118">
        <f>+(114.27+72.12)/AK65</f>
        <v>0.49770360480640852</v>
      </c>
      <c r="AM65" s="118">
        <f>+AI65/AK65</f>
        <v>0.40141522029372495</v>
      </c>
      <c r="AN65" s="157">
        <f>+(2+24+18)/(1+8+3)</f>
        <v>3.6666666666666665</v>
      </c>
      <c r="AO65" s="168">
        <f>+(8*18109+5*14484+5*10864+2*7243)/20*AI65</f>
        <v>2150455.6169999996</v>
      </c>
      <c r="AP65" s="169">
        <v>9901.58</v>
      </c>
      <c r="AQ65" s="193" t="s">
        <v>36</v>
      </c>
      <c r="AR65" s="5" t="s">
        <v>421</v>
      </c>
      <c r="AS65" s="211">
        <v>44305</v>
      </c>
      <c r="AT65" s="211"/>
      <c r="AU65" s="5" t="s">
        <v>422</v>
      </c>
      <c r="AV65" s="8"/>
      <c r="AW65" s="8"/>
      <c r="AX65" s="8"/>
      <c r="AY65" s="8"/>
      <c r="AZ65" s="8"/>
      <c r="BA65" s="8"/>
      <c r="BB65" s="8"/>
      <c r="BC65" s="8"/>
      <c r="BD65" s="8"/>
      <c r="BE65" s="8"/>
      <c r="BF65" s="8"/>
      <c r="BG65" s="9"/>
      <c r="BH65" s="9"/>
      <c r="BI65" s="9"/>
      <c r="BJ65" s="9"/>
      <c r="BK65" s="9"/>
      <c r="BL65" s="9"/>
      <c r="BM65" s="9"/>
      <c r="BN65" s="9"/>
      <c r="BO65" s="9"/>
      <c r="BP65" s="9"/>
      <c r="BQ65" s="9"/>
      <c r="BR65" s="9"/>
      <c r="BS65" s="9"/>
      <c r="BT65" s="9"/>
      <c r="BU65" s="9"/>
      <c r="BV65" s="9"/>
      <c r="IP65" s="9"/>
      <c r="IQ65" s="9"/>
      <c r="IR65" s="9"/>
      <c r="IS65" s="9"/>
      <c r="IT65" s="9"/>
      <c r="IU65" s="9"/>
      <c r="IV65" s="9"/>
    </row>
    <row r="66" spans="1:256" s="10" customFormat="1" ht="76.5">
      <c r="A66" s="272" t="s">
        <v>423</v>
      </c>
      <c r="B66" s="86">
        <v>63</v>
      </c>
      <c r="C66" s="193" t="s">
        <v>424</v>
      </c>
      <c r="D66" s="227">
        <v>44215</v>
      </c>
      <c r="E66" s="1">
        <v>32585</v>
      </c>
      <c r="F66" s="1">
        <v>131360</v>
      </c>
      <c r="G66" s="1">
        <v>6917</v>
      </c>
      <c r="H66" s="1"/>
      <c r="I66" s="1"/>
      <c r="J66" s="1">
        <v>137</v>
      </c>
      <c r="K66" s="1">
        <v>2</v>
      </c>
      <c r="L66" s="204" t="s">
        <v>48</v>
      </c>
      <c r="M66" s="204" t="s">
        <v>425</v>
      </c>
      <c r="N66" s="204" t="s">
        <v>426</v>
      </c>
      <c r="O66" s="204"/>
      <c r="P66" s="204" t="s">
        <v>236</v>
      </c>
      <c r="Q66" s="204"/>
      <c r="R66" s="204"/>
      <c r="S66" s="204"/>
      <c r="T66" s="1">
        <v>1</v>
      </c>
      <c r="U66" s="2"/>
      <c r="V66" s="1"/>
      <c r="W66" s="1"/>
      <c r="X66" s="204" t="s">
        <v>67</v>
      </c>
      <c r="Y66" s="1">
        <v>2</v>
      </c>
      <c r="Z66" s="2"/>
      <c r="AA66" s="3">
        <f>+Y66+1</f>
        <v>3</v>
      </c>
      <c r="AB66" s="2"/>
      <c r="AC66" s="3">
        <f>+Y66*2</f>
        <v>4</v>
      </c>
      <c r="AD66" s="2"/>
      <c r="AE66" s="115"/>
      <c r="AF66" s="115"/>
      <c r="AG66" s="115">
        <v>70.41</v>
      </c>
      <c r="AH66" s="115"/>
      <c r="AI66" s="116"/>
      <c r="AJ66" s="117"/>
      <c r="AK66" s="118">
        <v>134.91999999999999</v>
      </c>
      <c r="AL66" s="118">
        <f>+AG66/AK66</f>
        <v>0.52186480877557073</v>
      </c>
      <c r="AM66" s="118">
        <f>+AG66/AK66</f>
        <v>0.52186480877557073</v>
      </c>
      <c r="AN66" s="157"/>
      <c r="AO66" s="168">
        <f>+(2*18109+10*14484+5*10864+4*7243)/21*AG66</f>
        <v>886327.78571428568</v>
      </c>
      <c r="AP66" s="169">
        <v>14757.33</v>
      </c>
      <c r="AQ66" s="193" t="s">
        <v>45</v>
      </c>
      <c r="AR66" s="5" t="s">
        <v>427</v>
      </c>
      <c r="AS66" s="211">
        <v>44319</v>
      </c>
      <c r="AT66" s="211"/>
      <c r="AU66" s="5" t="s">
        <v>428</v>
      </c>
      <c r="AV66" s="8"/>
      <c r="AW66" s="8"/>
      <c r="AX66" s="8"/>
      <c r="AY66" s="8"/>
      <c r="AZ66" s="8"/>
      <c r="BA66" s="8"/>
      <c r="BB66" s="8"/>
      <c r="BC66" s="8"/>
      <c r="BD66" s="8"/>
      <c r="BE66" s="8"/>
      <c r="BF66" s="8"/>
      <c r="BG66" s="9"/>
      <c r="BH66" s="9"/>
      <c r="BI66" s="9"/>
      <c r="BJ66" s="9"/>
      <c r="BK66" s="9"/>
      <c r="BL66" s="9"/>
      <c r="BM66" s="9"/>
      <c r="BN66" s="9"/>
      <c r="BO66" s="9"/>
      <c r="BP66" s="9"/>
      <c r="BQ66" s="9"/>
      <c r="BR66" s="9"/>
      <c r="BS66" s="9"/>
      <c r="BT66" s="9"/>
      <c r="BU66" s="9"/>
      <c r="BV66" s="9"/>
      <c r="IP66" s="9"/>
      <c r="IQ66" s="9"/>
      <c r="IR66" s="9"/>
      <c r="IS66" s="9"/>
      <c r="IT66" s="9"/>
      <c r="IU66" s="9"/>
      <c r="IV66" s="9"/>
    </row>
    <row r="67" spans="1:256" s="10" customFormat="1" ht="63.75">
      <c r="A67" s="272"/>
      <c r="B67" s="86">
        <v>64</v>
      </c>
      <c r="C67" s="193">
        <v>525364</v>
      </c>
      <c r="D67" s="227">
        <v>44175</v>
      </c>
      <c r="E67" s="1">
        <v>57962</v>
      </c>
      <c r="F67" s="1">
        <v>166439</v>
      </c>
      <c r="G67" s="1">
        <v>10361</v>
      </c>
      <c r="H67" s="1"/>
      <c r="I67" s="1"/>
      <c r="J67" s="1">
        <v>373</v>
      </c>
      <c r="K67" s="1">
        <v>21</v>
      </c>
      <c r="L67" s="204" t="s">
        <v>31</v>
      </c>
      <c r="M67" s="204" t="s">
        <v>429</v>
      </c>
      <c r="N67" s="204" t="s">
        <v>430</v>
      </c>
      <c r="O67" s="204"/>
      <c r="P67" s="204" t="s">
        <v>388</v>
      </c>
      <c r="Q67" s="204" t="s">
        <v>388</v>
      </c>
      <c r="R67" s="204" t="s">
        <v>388</v>
      </c>
      <c r="S67" s="204">
        <v>661</v>
      </c>
      <c r="T67" s="1"/>
      <c r="U67" s="2">
        <f>1+3</f>
        <v>4</v>
      </c>
      <c r="V67" s="1"/>
      <c r="W67" s="1"/>
      <c r="X67" s="204" t="s">
        <v>431</v>
      </c>
      <c r="Y67" s="1"/>
      <c r="Z67" s="2">
        <f>1+1+1</f>
        <v>3</v>
      </c>
      <c r="AA67" s="1"/>
      <c r="AB67" s="2">
        <f>+Z67+1</f>
        <v>4</v>
      </c>
      <c r="AC67" s="1"/>
      <c r="AD67" s="2"/>
      <c r="AE67" s="115"/>
      <c r="AF67" s="115"/>
      <c r="AG67" s="115"/>
      <c r="AH67" s="115"/>
      <c r="AI67" s="116">
        <f>15.15/2+20.94/2+45.8+20.94/2+45.8</f>
        <v>120.11499999999999</v>
      </c>
      <c r="AJ67" s="117"/>
      <c r="AK67" s="118">
        <v>188.19</v>
      </c>
      <c r="AL67" s="118">
        <f>+(15.15+45.8+20.94)/AK67</f>
        <v>0.43514533184547532</v>
      </c>
      <c r="AM67" s="118">
        <f>+AI67/AK67</f>
        <v>0.63826451990010091</v>
      </c>
      <c r="AN67" s="157"/>
      <c r="AO67" s="168">
        <f>+(4*18109+11*14484+4*10864+7243)/20*AI67</f>
        <v>1696378.13925</v>
      </c>
      <c r="AP67" s="169">
        <v>9361.2900000000009</v>
      </c>
      <c r="AQ67" s="193" t="s">
        <v>36</v>
      </c>
      <c r="AR67" s="5" t="s">
        <v>432</v>
      </c>
      <c r="AS67" s="211">
        <v>44319</v>
      </c>
      <c r="AT67" s="211"/>
      <c r="AU67" s="5" t="s">
        <v>433</v>
      </c>
      <c r="AV67" s="39"/>
      <c r="AW67" s="39"/>
      <c r="AX67" s="39"/>
      <c r="AY67" s="39"/>
      <c r="AZ67" s="39"/>
      <c r="BA67" s="39"/>
      <c r="BB67" s="39"/>
      <c r="BC67" s="39"/>
      <c r="BD67" s="39"/>
      <c r="BE67" s="39"/>
      <c r="BF67" s="39"/>
    </row>
    <row r="68" spans="1:256" s="10" customFormat="1" ht="63.75">
      <c r="A68" s="272"/>
      <c r="B68" s="86">
        <v>65</v>
      </c>
      <c r="C68" s="193" t="s">
        <v>434</v>
      </c>
      <c r="D68" s="227">
        <v>44231</v>
      </c>
      <c r="E68" s="1">
        <v>47983</v>
      </c>
      <c r="F68" s="1">
        <v>158719</v>
      </c>
      <c r="G68" s="1">
        <v>32427</v>
      </c>
      <c r="H68" s="1">
        <v>111</v>
      </c>
      <c r="I68" s="1"/>
      <c r="J68" s="1">
        <v>4</v>
      </c>
      <c r="K68" s="1">
        <v>1</v>
      </c>
      <c r="L68" s="204" t="s">
        <v>102</v>
      </c>
      <c r="M68" s="204" t="s">
        <v>435</v>
      </c>
      <c r="N68" s="204" t="s">
        <v>436</v>
      </c>
      <c r="O68" s="204"/>
      <c r="P68" s="204" t="s">
        <v>388</v>
      </c>
      <c r="Q68" s="204" t="s">
        <v>388</v>
      </c>
      <c r="R68" s="204" t="s">
        <v>388</v>
      </c>
      <c r="S68" s="204" t="s">
        <v>52</v>
      </c>
      <c r="T68" s="1"/>
      <c r="U68" s="2">
        <v>1</v>
      </c>
      <c r="V68" s="1"/>
      <c r="W68" s="1"/>
      <c r="X68" s="204" t="s">
        <v>67</v>
      </c>
      <c r="Y68" s="1"/>
      <c r="Z68" s="2">
        <v>3</v>
      </c>
      <c r="AA68" s="3"/>
      <c r="AB68" s="2">
        <f>+Z68+1</f>
        <v>4</v>
      </c>
      <c r="AC68" s="3"/>
      <c r="AD68" s="2">
        <f>+Z68*2</f>
        <v>6</v>
      </c>
      <c r="AE68" s="115"/>
      <c r="AF68" s="115"/>
      <c r="AG68" s="115"/>
      <c r="AH68" s="115"/>
      <c r="AI68" s="116">
        <f>140.85+56.35/2</f>
        <v>169.02500000000001</v>
      </c>
      <c r="AJ68" s="117"/>
      <c r="AK68" s="118">
        <v>2360</v>
      </c>
      <c r="AL68" s="118">
        <f>+(140.85+56.35)/AK68</f>
        <v>8.3559322033898306E-2</v>
      </c>
      <c r="AM68" s="118">
        <f>+AI68/AK68</f>
        <v>7.1620762711864405E-2</v>
      </c>
      <c r="AN68" s="157"/>
      <c r="AO68" s="168">
        <f>+((12*16157+12923*6+9693*4)/22*AI68)+1100000</f>
        <v>3483206.4022727273</v>
      </c>
      <c r="AP68" s="169">
        <v>70457.81</v>
      </c>
      <c r="AQ68" s="193" t="s">
        <v>36</v>
      </c>
      <c r="AR68" s="5" t="s">
        <v>437</v>
      </c>
      <c r="AS68" s="211">
        <v>44321</v>
      </c>
      <c r="AT68" s="211"/>
      <c r="AU68" s="5" t="s">
        <v>438</v>
      </c>
      <c r="AV68" s="8"/>
      <c r="AW68" s="8"/>
      <c r="AX68" s="8"/>
      <c r="AY68" s="8"/>
      <c r="AZ68" s="8"/>
      <c r="BA68" s="8"/>
      <c r="BB68" s="8"/>
      <c r="BC68" s="8"/>
      <c r="BD68" s="8"/>
      <c r="BE68" s="8"/>
      <c r="BF68" s="8"/>
      <c r="BG68" s="9"/>
      <c r="BH68" s="9"/>
      <c r="BI68" s="9"/>
      <c r="BJ68" s="9"/>
      <c r="BK68" s="9"/>
      <c r="BL68" s="9"/>
      <c r="BM68" s="9"/>
      <c r="BN68" s="9"/>
      <c r="BO68" s="9"/>
      <c r="BP68" s="9"/>
      <c r="BQ68" s="9"/>
      <c r="BR68" s="9"/>
      <c r="BS68" s="9"/>
      <c r="BT68" s="9"/>
      <c r="BU68" s="9"/>
      <c r="BV68" s="9"/>
      <c r="IP68" s="9"/>
      <c r="IQ68" s="9"/>
      <c r="IR68" s="9"/>
      <c r="IS68" s="9"/>
      <c r="IT68" s="9"/>
      <c r="IU68" s="9"/>
      <c r="IV68" s="9"/>
    </row>
    <row r="69" spans="1:256" s="10" customFormat="1" ht="38.25">
      <c r="A69" s="272"/>
      <c r="B69" s="86">
        <v>66</v>
      </c>
      <c r="C69" s="193" t="s">
        <v>439</v>
      </c>
      <c r="D69" s="235">
        <v>44320</v>
      </c>
      <c r="E69" s="1">
        <v>53364</v>
      </c>
      <c r="F69" s="1">
        <v>162819</v>
      </c>
      <c r="G69" s="1">
        <v>33220</v>
      </c>
      <c r="H69" s="1">
        <v>223</v>
      </c>
      <c r="I69" s="1"/>
      <c r="J69" s="1">
        <v>2</v>
      </c>
      <c r="K69" s="1">
        <v>11</v>
      </c>
      <c r="L69" s="204" t="s">
        <v>440</v>
      </c>
      <c r="M69" s="204" t="s">
        <v>193</v>
      </c>
      <c r="N69" s="204" t="s">
        <v>441</v>
      </c>
      <c r="O69" s="204"/>
      <c r="P69" s="204" t="s">
        <v>442</v>
      </c>
      <c r="Q69" s="204" t="s">
        <v>442</v>
      </c>
      <c r="R69" s="204" t="s">
        <v>442</v>
      </c>
      <c r="S69" s="204" t="s">
        <v>443</v>
      </c>
      <c r="T69" s="1"/>
      <c r="U69" s="2">
        <v>1</v>
      </c>
      <c r="V69" s="1"/>
      <c r="W69" s="1"/>
      <c r="X69" s="204" t="s">
        <v>67</v>
      </c>
      <c r="Y69" s="1"/>
      <c r="Z69" s="2">
        <v>2</v>
      </c>
      <c r="AA69" s="3"/>
      <c r="AB69" s="2">
        <f>+Z69+1</f>
        <v>3</v>
      </c>
      <c r="AC69" s="3"/>
      <c r="AD69" s="2">
        <f>+Z69*2</f>
        <v>4</v>
      </c>
      <c r="AE69" s="115"/>
      <c r="AF69" s="115"/>
      <c r="AG69" s="115"/>
      <c r="AH69" s="115"/>
      <c r="AI69" s="116">
        <f>69.68+8.4/2</f>
        <v>73.88000000000001</v>
      </c>
      <c r="AJ69" s="117"/>
      <c r="AK69" s="118">
        <v>472.43</v>
      </c>
      <c r="AL69" s="118">
        <f>+(59.68+8.4)/AK69</f>
        <v>0.144106005122452</v>
      </c>
      <c r="AM69" s="118">
        <f>+AI69/AK69</f>
        <v>0.15638295620515211</v>
      </c>
      <c r="AN69" s="157"/>
      <c r="AO69" s="168">
        <f>+(1*18109+14484*8+10864*9+7243*2)/20*AI69</f>
        <v>909621.64200000011</v>
      </c>
      <c r="AP69" s="169">
        <v>4227.21</v>
      </c>
      <c r="AQ69" s="193" t="s">
        <v>36</v>
      </c>
      <c r="AR69" s="5" t="s">
        <v>444</v>
      </c>
      <c r="AS69" s="211">
        <v>44323</v>
      </c>
      <c r="AT69" s="211"/>
      <c r="AU69" s="5" t="s">
        <v>445</v>
      </c>
      <c r="AV69" s="8"/>
      <c r="AW69" s="8"/>
      <c r="AX69" s="8"/>
      <c r="AY69" s="8"/>
      <c r="AZ69" s="8"/>
      <c r="BA69" s="8"/>
      <c r="BB69" s="8"/>
      <c r="BC69" s="8"/>
      <c r="BD69" s="8"/>
      <c r="BE69" s="8"/>
      <c r="BF69" s="8"/>
      <c r="BG69" s="9"/>
      <c r="BH69" s="9"/>
      <c r="BI69" s="9"/>
      <c r="BJ69" s="9"/>
      <c r="BK69" s="9"/>
      <c r="BL69" s="9"/>
      <c r="BM69" s="9"/>
      <c r="BN69" s="9"/>
      <c r="BO69" s="9"/>
      <c r="BP69" s="9"/>
      <c r="BQ69" s="9"/>
      <c r="BR69" s="9"/>
      <c r="BS69" s="9"/>
      <c r="BT69" s="9"/>
      <c r="BU69" s="9"/>
      <c r="BV69" s="9"/>
      <c r="IP69" s="9"/>
      <c r="IQ69" s="9"/>
      <c r="IR69" s="9"/>
      <c r="IS69" s="9"/>
      <c r="IT69" s="9"/>
      <c r="IU69" s="9"/>
      <c r="IV69" s="9"/>
    </row>
    <row r="70" spans="1:256" s="10" customFormat="1" ht="63.75">
      <c r="A70" s="272"/>
      <c r="B70" s="91">
        <v>67</v>
      </c>
      <c r="C70" s="250" t="s">
        <v>446</v>
      </c>
      <c r="D70" s="239">
        <v>44320</v>
      </c>
      <c r="E70" s="1">
        <v>14995</v>
      </c>
      <c r="F70" s="1">
        <v>265</v>
      </c>
      <c r="G70" s="1">
        <v>4312</v>
      </c>
      <c r="H70" s="1"/>
      <c r="I70" s="1"/>
      <c r="J70" s="1">
        <v>169</v>
      </c>
      <c r="K70" s="1">
        <v>2</v>
      </c>
      <c r="L70" s="204" t="s">
        <v>81</v>
      </c>
      <c r="M70" s="204" t="s">
        <v>447</v>
      </c>
      <c r="N70" s="204" t="s">
        <v>448</v>
      </c>
      <c r="O70" s="204"/>
      <c r="P70" s="204" t="s">
        <v>236</v>
      </c>
      <c r="Q70" s="204"/>
      <c r="R70" s="204"/>
      <c r="S70" s="204"/>
      <c r="T70" s="1">
        <v>1</v>
      </c>
      <c r="U70" s="1"/>
      <c r="V70" s="1"/>
      <c r="W70" s="1"/>
      <c r="X70" s="204" t="s">
        <v>67</v>
      </c>
      <c r="Y70" s="1">
        <v>3</v>
      </c>
      <c r="Z70" s="1"/>
      <c r="AA70" s="1">
        <f>+Y70+1</f>
        <v>4</v>
      </c>
      <c r="AB70" s="1"/>
      <c r="AC70" s="1">
        <f>+Y70*2</f>
        <v>6</v>
      </c>
      <c r="AD70" s="1"/>
      <c r="AE70" s="115"/>
      <c r="AF70" s="115"/>
      <c r="AG70" s="115">
        <f>112.5+24.12/2</f>
        <v>124.56</v>
      </c>
      <c r="AH70" s="115"/>
      <c r="AI70" s="115"/>
      <c r="AJ70" s="118"/>
      <c r="AK70" s="118">
        <v>291.06</v>
      </c>
      <c r="AL70" s="118">
        <f>+(112.5+24.12)/AK70</f>
        <v>0.46938775510204084</v>
      </c>
      <c r="AM70" s="118">
        <f>+AG70/AK70</f>
        <v>0.42795299938157083</v>
      </c>
      <c r="AN70" s="157"/>
      <c r="AO70" s="168">
        <f>+(1*18109+14484*8+8*10864+3*7243)/20*AG70</f>
        <v>1511049.8160000001</v>
      </c>
      <c r="AP70" s="168">
        <v>20804.990000000002</v>
      </c>
      <c r="AQ70" s="193" t="s">
        <v>45</v>
      </c>
      <c r="AR70" s="27" t="s">
        <v>449</v>
      </c>
      <c r="AS70" s="211">
        <v>44323</v>
      </c>
      <c r="AT70" s="211"/>
      <c r="AU70" s="28" t="s">
        <v>450</v>
      </c>
      <c r="AV70" s="8"/>
      <c r="AW70" s="8"/>
      <c r="AX70" s="8"/>
      <c r="AY70" s="8"/>
      <c r="AZ70" s="8"/>
      <c r="BA70" s="8"/>
      <c r="BB70" s="8"/>
      <c r="BC70" s="8"/>
      <c r="BD70" s="8"/>
      <c r="BE70" s="8"/>
      <c r="BF70" s="8"/>
      <c r="BG70" s="9"/>
      <c r="BH70" s="9"/>
      <c r="BI70" s="9"/>
      <c r="BJ70" s="9"/>
      <c r="BK70" s="9"/>
      <c r="BL70" s="9"/>
      <c r="BM70" s="9"/>
      <c r="BN70" s="9"/>
      <c r="BO70" s="9"/>
      <c r="BP70" s="9"/>
      <c r="BQ70" s="9"/>
      <c r="BR70" s="9"/>
      <c r="BS70" s="9"/>
      <c r="BT70" s="9"/>
      <c r="BU70" s="9"/>
      <c r="BV70" s="9"/>
      <c r="IP70" s="9"/>
      <c r="IQ70" s="9"/>
      <c r="IR70" s="9"/>
      <c r="IS70" s="9"/>
      <c r="IT70" s="9"/>
      <c r="IU70" s="9"/>
      <c r="IV70" s="9"/>
    </row>
    <row r="71" spans="1:256" s="10" customFormat="1" ht="114.75">
      <c r="A71" s="272"/>
      <c r="B71" s="86">
        <v>68</v>
      </c>
      <c r="C71" s="193">
        <v>526589</v>
      </c>
      <c r="D71" s="227">
        <v>44180</v>
      </c>
      <c r="E71" s="1">
        <v>54427</v>
      </c>
      <c r="F71" s="1">
        <v>163340</v>
      </c>
      <c r="G71" s="1">
        <v>33347</v>
      </c>
      <c r="H71" s="1">
        <v>341</v>
      </c>
      <c r="I71" s="1"/>
      <c r="J71" s="1">
        <v>1</v>
      </c>
      <c r="K71" s="1">
        <v>7</v>
      </c>
      <c r="L71" s="204" t="s">
        <v>137</v>
      </c>
      <c r="M71" s="204" t="s">
        <v>151</v>
      </c>
      <c r="N71" s="204" t="s">
        <v>451</v>
      </c>
      <c r="O71" s="204"/>
      <c r="P71" s="204" t="s">
        <v>452</v>
      </c>
      <c r="Q71" s="204" t="s">
        <v>452</v>
      </c>
      <c r="R71" s="204" t="s">
        <v>452</v>
      </c>
      <c r="S71" s="204" t="s">
        <v>453</v>
      </c>
      <c r="T71" s="1"/>
      <c r="U71" s="2">
        <v>5</v>
      </c>
      <c r="V71" s="1"/>
      <c r="W71" s="1"/>
      <c r="X71" s="204" t="s">
        <v>44</v>
      </c>
      <c r="Y71" s="1"/>
      <c r="Z71" s="2"/>
      <c r="AA71" s="3"/>
      <c r="AB71" s="2"/>
      <c r="AC71" s="3"/>
      <c r="AD71" s="2"/>
      <c r="AE71" s="115">
        <f>151.88+33.76/2+151.88</f>
        <v>320.64</v>
      </c>
      <c r="AF71" s="115"/>
      <c r="AG71" s="115">
        <f>175.47+42.86/2+175.47+9.84-AE71</f>
        <v>61.569999999999993</v>
      </c>
      <c r="AH71" s="115"/>
      <c r="AI71" s="116"/>
      <c r="AJ71" s="117"/>
      <c r="AK71" s="118">
        <v>1006.2</v>
      </c>
      <c r="AL71" s="118">
        <f>+(175.47+42.86)/AK71</f>
        <v>0.2169846948916716</v>
      </c>
      <c r="AM71" s="118">
        <f>+(AE71+AG71)/AK71</f>
        <v>0.37985489962234142</v>
      </c>
      <c r="AN71" s="157">
        <f>+(4+15+8)/(2+5+2)</f>
        <v>3</v>
      </c>
      <c r="AO71" s="168">
        <f>+(18109*7+14484*6+8*10864)/21*AG71</f>
        <v>881269.0014285713</v>
      </c>
      <c r="AP71" s="169">
        <v>13482.65</v>
      </c>
      <c r="AQ71" s="193" t="s">
        <v>36</v>
      </c>
      <c r="AR71" s="5" t="s">
        <v>454</v>
      </c>
      <c r="AS71" s="211">
        <v>44323</v>
      </c>
      <c r="AT71" s="211"/>
      <c r="AU71" s="5" t="s">
        <v>455</v>
      </c>
      <c r="AV71" s="8"/>
      <c r="AW71" s="8"/>
      <c r="AX71" s="8"/>
      <c r="AY71" s="8"/>
      <c r="AZ71" s="8"/>
      <c r="BA71" s="8"/>
      <c r="BB71" s="8"/>
      <c r="BC71" s="8"/>
      <c r="BD71" s="8"/>
      <c r="BE71" s="8"/>
      <c r="BF71" s="8"/>
      <c r="BG71" s="9"/>
      <c r="BH71" s="9"/>
      <c r="BI71" s="9"/>
      <c r="BJ71" s="9"/>
      <c r="BK71" s="9"/>
      <c r="BL71" s="9"/>
      <c r="BM71" s="9"/>
      <c r="BN71" s="9"/>
      <c r="BO71" s="9"/>
      <c r="BP71" s="9"/>
      <c r="BQ71" s="9"/>
      <c r="BR71" s="9"/>
      <c r="BS71" s="9"/>
      <c r="BT71" s="9"/>
      <c r="BU71" s="9"/>
      <c r="BV71" s="9"/>
      <c r="IP71" s="9"/>
      <c r="IQ71" s="9"/>
      <c r="IR71" s="9"/>
      <c r="IS71" s="9"/>
      <c r="IT71" s="9"/>
      <c r="IU71" s="9"/>
      <c r="IV71" s="9"/>
    </row>
    <row r="72" spans="1:256" s="10" customFormat="1" ht="51">
      <c r="A72" s="272"/>
      <c r="B72" s="86">
        <v>69</v>
      </c>
      <c r="C72" s="193" t="s">
        <v>456</v>
      </c>
      <c r="D72" s="227">
        <v>44202</v>
      </c>
      <c r="E72" s="1">
        <v>38419</v>
      </c>
      <c r="F72" s="1">
        <v>135356</v>
      </c>
      <c r="G72" s="1">
        <v>7501</v>
      </c>
      <c r="H72" s="1"/>
      <c r="I72" s="1"/>
      <c r="J72" s="1">
        <v>115</v>
      </c>
      <c r="K72" s="1">
        <v>11</v>
      </c>
      <c r="L72" s="204" t="s">
        <v>81</v>
      </c>
      <c r="M72" s="204" t="s">
        <v>457</v>
      </c>
      <c r="N72" s="204" t="s">
        <v>458</v>
      </c>
      <c r="O72" s="204" t="s">
        <v>459</v>
      </c>
      <c r="P72" s="204" t="s">
        <v>460</v>
      </c>
      <c r="Q72" s="204" t="s">
        <v>460</v>
      </c>
      <c r="R72" s="204" t="s">
        <v>460</v>
      </c>
      <c r="S72" s="204" t="s">
        <v>461</v>
      </c>
      <c r="T72" s="1"/>
      <c r="U72" s="2"/>
      <c r="V72" s="1">
        <v>1</v>
      </c>
      <c r="W72" s="1"/>
      <c r="X72" s="204" t="s">
        <v>85</v>
      </c>
      <c r="Y72" s="1"/>
      <c r="Z72" s="2"/>
      <c r="AA72" s="3"/>
      <c r="AB72" s="2"/>
      <c r="AC72" s="3"/>
      <c r="AD72" s="2"/>
      <c r="AE72" s="115"/>
      <c r="AF72" s="115">
        <f>876.57+143.25/2</f>
        <v>948.19500000000005</v>
      </c>
      <c r="AG72" s="115">
        <f>128.91+6.27/2</f>
        <v>132.04499999999999</v>
      </c>
      <c r="AH72" s="115"/>
      <c r="AI72" s="116"/>
      <c r="AJ72" s="117">
        <v>30.9</v>
      </c>
      <c r="AK72" s="118">
        <v>723.85</v>
      </c>
      <c r="AL72" s="118"/>
      <c r="AM72" s="118">
        <f>+(AF72+AG72+AJ72)/AK72</f>
        <v>1.5350417904261933</v>
      </c>
      <c r="AN72" s="157"/>
      <c r="AO72" s="168">
        <f>+(6*18109+9*14484+10*10864+7243*2)/27*(AJ72+AG72)</f>
        <v>2185490.7600000002</v>
      </c>
      <c r="AP72" s="169">
        <v>30252.45</v>
      </c>
      <c r="AQ72" s="193" t="s">
        <v>36</v>
      </c>
      <c r="AR72" s="5" t="s">
        <v>462</v>
      </c>
      <c r="AS72" s="211">
        <v>44326</v>
      </c>
      <c r="AT72" s="211"/>
      <c r="AU72" s="5" t="s">
        <v>463</v>
      </c>
      <c r="AV72" s="8"/>
      <c r="AW72" s="8"/>
      <c r="AX72" s="8"/>
      <c r="AY72" s="8"/>
      <c r="AZ72" s="8"/>
      <c r="BA72" s="8"/>
      <c r="BB72" s="8"/>
      <c r="BC72" s="8"/>
      <c r="BD72" s="8"/>
      <c r="BE72" s="8"/>
      <c r="BF72" s="8"/>
      <c r="BG72" s="9"/>
      <c r="BH72" s="9"/>
      <c r="BI72" s="9"/>
      <c r="BJ72" s="9"/>
      <c r="BK72" s="9"/>
      <c r="BL72" s="9"/>
      <c r="BM72" s="9"/>
      <c r="BN72" s="9"/>
      <c r="BO72" s="9"/>
      <c r="BP72" s="9"/>
      <c r="BQ72" s="9"/>
      <c r="BR72" s="9"/>
      <c r="BS72" s="9"/>
      <c r="BT72" s="9"/>
      <c r="BU72" s="9"/>
      <c r="BV72" s="9"/>
      <c r="IP72" s="9"/>
      <c r="IQ72" s="9"/>
      <c r="IR72" s="9"/>
      <c r="IS72" s="9"/>
      <c r="IT72" s="9"/>
      <c r="IU72" s="9"/>
      <c r="IV72" s="9"/>
    </row>
    <row r="73" spans="1:256" s="10" customFormat="1" ht="102">
      <c r="A73" s="272"/>
      <c r="B73" s="91">
        <v>70</v>
      </c>
      <c r="C73" s="250" t="s">
        <v>464</v>
      </c>
      <c r="D73" s="235">
        <v>44263</v>
      </c>
      <c r="E73" s="1">
        <v>49512</v>
      </c>
      <c r="F73" s="1">
        <v>142187</v>
      </c>
      <c r="G73" s="1">
        <v>32183</v>
      </c>
      <c r="H73" s="1">
        <v>225</v>
      </c>
      <c r="I73" s="1"/>
      <c r="J73" s="1">
        <v>7</v>
      </c>
      <c r="K73" s="1">
        <v>1</v>
      </c>
      <c r="L73" s="204" t="s">
        <v>440</v>
      </c>
      <c r="M73" s="204" t="s">
        <v>151</v>
      </c>
      <c r="N73" s="204" t="s">
        <v>465</v>
      </c>
      <c r="O73" s="204"/>
      <c r="P73" s="204" t="s">
        <v>466</v>
      </c>
      <c r="Q73" s="204"/>
      <c r="R73" s="204"/>
      <c r="S73" s="204"/>
      <c r="T73" s="1">
        <v>4</v>
      </c>
      <c r="U73" s="1"/>
      <c r="V73" s="1"/>
      <c r="W73" s="1"/>
      <c r="X73" s="204" t="s">
        <v>44</v>
      </c>
      <c r="Y73" s="1">
        <f>1+1+1+1</f>
        <v>4</v>
      </c>
      <c r="Z73" s="1"/>
      <c r="AA73" s="1">
        <f>+Y73+1</f>
        <v>5</v>
      </c>
      <c r="AB73" s="1"/>
      <c r="AC73" s="1">
        <f>+Y73*2</f>
        <v>8</v>
      </c>
      <c r="AD73" s="1"/>
      <c r="AE73" s="115"/>
      <c r="AF73" s="115"/>
      <c r="AG73" s="115">
        <f>41.25+12.5+21.48+21.48+14.88</f>
        <v>111.59</v>
      </c>
      <c r="AH73" s="115"/>
      <c r="AI73" s="115"/>
      <c r="AJ73" s="118"/>
      <c r="AK73" s="118">
        <v>1766.1</v>
      </c>
      <c r="AL73" s="118">
        <f>+AG73/AK73</f>
        <v>6.3184417643395052E-2</v>
      </c>
      <c r="AM73" s="118">
        <f>+AG73/AK73</f>
        <v>6.3184417643395052E-2</v>
      </c>
      <c r="AN73" s="157"/>
      <c r="AO73" s="168">
        <f>400000+((2*8109+14484*2+10864*10+5*7243)/19*53.75)+((2*18109+14484*4+4*10864+9*7243)/19*53.64)</f>
        <v>1510143.9384210526</v>
      </c>
      <c r="AP73" s="168">
        <v>18142.43</v>
      </c>
      <c r="AQ73" s="193" t="s">
        <v>36</v>
      </c>
      <c r="AR73" s="27" t="s">
        <v>467</v>
      </c>
      <c r="AS73" s="211">
        <v>44329</v>
      </c>
      <c r="AT73" s="211"/>
      <c r="AU73" s="28" t="s">
        <v>468</v>
      </c>
      <c r="AV73" s="8"/>
      <c r="AW73" s="8"/>
      <c r="AX73" s="8"/>
      <c r="AY73" s="8"/>
      <c r="AZ73" s="8"/>
      <c r="BA73" s="8"/>
      <c r="BB73" s="8"/>
      <c r="BC73" s="8"/>
      <c r="BD73" s="8"/>
      <c r="BE73" s="8"/>
      <c r="BF73" s="8"/>
      <c r="BG73" s="9"/>
      <c r="BH73" s="9"/>
      <c r="BI73" s="9"/>
      <c r="BJ73" s="9"/>
      <c r="BK73" s="9"/>
      <c r="BL73" s="9"/>
      <c r="BM73" s="9"/>
      <c r="BN73" s="9"/>
      <c r="BO73" s="9"/>
      <c r="BP73" s="9"/>
      <c r="BQ73" s="9"/>
      <c r="BR73" s="9"/>
      <c r="BS73" s="9"/>
      <c r="BT73" s="9"/>
      <c r="BU73" s="9"/>
      <c r="BV73" s="9"/>
      <c r="IP73" s="9"/>
      <c r="IQ73" s="9"/>
      <c r="IR73" s="9"/>
      <c r="IS73" s="9"/>
      <c r="IT73" s="9"/>
      <c r="IU73" s="9"/>
      <c r="IV73" s="9"/>
    </row>
    <row r="74" spans="1:256" s="10" customFormat="1" ht="102">
      <c r="A74" s="272"/>
      <c r="B74" s="85">
        <v>71</v>
      </c>
      <c r="C74" s="250">
        <v>531060</v>
      </c>
      <c r="D74" s="240">
        <v>44322</v>
      </c>
      <c r="E74" s="1">
        <v>24968</v>
      </c>
      <c r="F74" s="1">
        <v>226</v>
      </c>
      <c r="G74" s="1">
        <v>594</v>
      </c>
      <c r="H74" s="1"/>
      <c r="I74" s="1"/>
      <c r="J74" s="1">
        <v>21</v>
      </c>
      <c r="K74" s="1">
        <v>7</v>
      </c>
      <c r="L74" s="204" t="s">
        <v>39</v>
      </c>
      <c r="M74" s="204" t="s">
        <v>469</v>
      </c>
      <c r="N74" s="204" t="s">
        <v>470</v>
      </c>
      <c r="O74" s="204"/>
      <c r="P74" s="204" t="s">
        <v>241</v>
      </c>
      <c r="Q74" s="204" t="s">
        <v>241</v>
      </c>
      <c r="R74" s="204" t="s">
        <v>241</v>
      </c>
      <c r="S74" s="204" t="s">
        <v>52</v>
      </c>
      <c r="T74" s="1">
        <v>1</v>
      </c>
      <c r="U74" s="1"/>
      <c r="V74" s="1">
        <v>1</v>
      </c>
      <c r="W74" s="1"/>
      <c r="X74" s="204" t="s">
        <v>471</v>
      </c>
      <c r="Y74" s="1">
        <v>2</v>
      </c>
      <c r="Z74" s="1">
        <v>4</v>
      </c>
      <c r="AA74" s="1">
        <f>+Y74+1</f>
        <v>3</v>
      </c>
      <c r="AB74" s="1">
        <f>+Z74+1</f>
        <v>5</v>
      </c>
      <c r="AC74" s="1">
        <f>+Y74*2</f>
        <v>4</v>
      </c>
      <c r="AD74" s="1">
        <f>+Z74*2</f>
        <v>8</v>
      </c>
      <c r="AE74" s="115">
        <f>200.25+10/2</f>
        <v>205.25</v>
      </c>
      <c r="AF74" s="115"/>
      <c r="AG74" s="115"/>
      <c r="AH74" s="127"/>
      <c r="AI74" s="127">
        <v>96.7</v>
      </c>
      <c r="AJ74" s="127"/>
      <c r="AK74" s="127">
        <v>605.5</v>
      </c>
      <c r="AL74" s="127">
        <f>+(200.25+10+96.7)/AK74</f>
        <v>0.50693641618497109</v>
      </c>
      <c r="AM74" s="127">
        <f>+(AE74+AI74)/AK74</f>
        <v>0.4986787778695293</v>
      </c>
      <c r="AN74" s="161">
        <f>+(2+18+8)/(1+6+2)</f>
        <v>3.1111111111111112</v>
      </c>
      <c r="AO74" s="175">
        <f>+(2*18109+11*14484+10684*4+3*7243)/20*AI74</f>
        <v>1257133.845</v>
      </c>
      <c r="AP74" s="181">
        <v>6498.95</v>
      </c>
      <c r="AQ74" s="196" t="s">
        <v>36</v>
      </c>
      <c r="AR74" s="6" t="s">
        <v>472</v>
      </c>
      <c r="AS74" s="216">
        <v>44330</v>
      </c>
      <c r="AT74" s="217"/>
      <c r="AU74" s="28" t="s">
        <v>473</v>
      </c>
      <c r="AV74" s="30"/>
      <c r="AW74" s="30"/>
      <c r="AX74" s="30"/>
      <c r="AY74" s="30"/>
      <c r="AZ74" s="30"/>
      <c r="BA74" s="30"/>
      <c r="BB74" s="30"/>
      <c r="BC74" s="30"/>
      <c r="BD74" s="30"/>
      <c r="BE74" s="9"/>
      <c r="BF74" s="9"/>
      <c r="BG74" s="9"/>
      <c r="BH74" s="9"/>
      <c r="BI74" s="9"/>
      <c r="BJ74" s="9"/>
      <c r="BK74" s="9"/>
      <c r="BL74" s="9"/>
      <c r="BM74" s="9"/>
      <c r="BN74" s="9"/>
      <c r="BO74" s="9"/>
      <c r="BP74" s="9"/>
      <c r="BQ74" s="9"/>
      <c r="BR74" s="9"/>
      <c r="BS74" s="9"/>
      <c r="BT74" s="9"/>
      <c r="IN74" s="9"/>
      <c r="IO74" s="9"/>
      <c r="IP74" s="9"/>
      <c r="IQ74" s="9"/>
      <c r="IR74" s="9"/>
      <c r="IS74" s="9"/>
      <c r="IT74" s="9"/>
      <c r="IU74" s="9"/>
      <c r="IV74" s="9"/>
    </row>
    <row r="75" spans="1:256" s="10" customFormat="1" ht="76.5">
      <c r="A75" s="275" t="s">
        <v>474</v>
      </c>
      <c r="B75" s="86">
        <v>72</v>
      </c>
      <c r="C75" s="193">
        <v>530754</v>
      </c>
      <c r="D75" s="227">
        <v>44312</v>
      </c>
      <c r="E75" s="1">
        <v>43482</v>
      </c>
      <c r="F75" s="1">
        <v>141349</v>
      </c>
      <c r="G75" s="1">
        <v>32025</v>
      </c>
      <c r="H75" s="1">
        <v>3</v>
      </c>
      <c r="I75" s="1"/>
      <c r="J75" s="1">
        <v>7</v>
      </c>
      <c r="K75" s="1">
        <v>11</v>
      </c>
      <c r="L75" s="204" t="s">
        <v>286</v>
      </c>
      <c r="M75" s="204" t="s">
        <v>475</v>
      </c>
      <c r="N75" s="204" t="s">
        <v>476</v>
      </c>
      <c r="O75" s="204"/>
      <c r="P75" s="204" t="s">
        <v>378</v>
      </c>
      <c r="Q75" s="204" t="s">
        <v>378</v>
      </c>
      <c r="R75" s="204" t="s">
        <v>477</v>
      </c>
      <c r="S75" s="204" t="s">
        <v>52</v>
      </c>
      <c r="T75" s="1"/>
      <c r="U75" s="2">
        <v>1</v>
      </c>
      <c r="V75" s="1"/>
      <c r="W75" s="1"/>
      <c r="X75" s="204" t="s">
        <v>67</v>
      </c>
      <c r="Y75" s="1"/>
      <c r="Z75" s="2">
        <v>3</v>
      </c>
      <c r="AA75" s="3"/>
      <c r="AB75" s="2">
        <f>+Z75+1</f>
        <v>4</v>
      </c>
      <c r="AC75" s="3"/>
      <c r="AD75" s="2">
        <f>+Z75*2</f>
        <v>6</v>
      </c>
      <c r="AE75" s="115"/>
      <c r="AF75" s="115"/>
      <c r="AG75" s="115"/>
      <c r="AH75" s="115"/>
      <c r="AI75" s="116">
        <f>128.63+89.76/2+59.88+16.17/2</f>
        <v>241.47499999999999</v>
      </c>
      <c r="AJ75" s="117"/>
      <c r="AK75" s="118">
        <v>885.3</v>
      </c>
      <c r="AL75" s="118">
        <f>+(128.63+89.76)/AK75</f>
        <v>0.24668473963628149</v>
      </c>
      <c r="AM75" s="118">
        <f>+AI75/AK75</f>
        <v>0.27276064610866374</v>
      </c>
      <c r="AN75" s="157"/>
      <c r="AO75" s="168">
        <f>+(14484*5+7*10864+7243*9)/21*AI75</f>
        <v>2456778.1488095238</v>
      </c>
      <c r="AP75" s="169">
        <v>9296.5400000000009</v>
      </c>
      <c r="AQ75" s="193" t="s">
        <v>36</v>
      </c>
      <c r="AR75" s="5" t="s">
        <v>478</v>
      </c>
      <c r="AS75" s="211">
        <v>44349</v>
      </c>
      <c r="AT75" s="211"/>
      <c r="AU75" s="5" t="s">
        <v>479</v>
      </c>
      <c r="AV75" s="8"/>
      <c r="AW75" s="8"/>
      <c r="AX75" s="8"/>
      <c r="AY75" s="8"/>
      <c r="AZ75" s="8"/>
      <c r="BA75" s="8"/>
      <c r="BB75" s="8"/>
      <c r="BC75" s="8"/>
      <c r="BD75" s="8"/>
      <c r="BE75" s="8"/>
      <c r="BF75" s="8"/>
      <c r="BG75" s="9"/>
      <c r="BH75" s="9"/>
      <c r="BI75" s="9"/>
      <c r="BJ75" s="9"/>
      <c r="BK75" s="9"/>
      <c r="BL75" s="9"/>
      <c r="BM75" s="9"/>
      <c r="BN75" s="9"/>
      <c r="BO75" s="9"/>
      <c r="BP75" s="9"/>
      <c r="BQ75" s="9"/>
      <c r="BR75" s="9"/>
      <c r="BS75" s="9"/>
      <c r="BT75" s="9"/>
      <c r="BU75" s="9"/>
      <c r="BV75" s="9"/>
      <c r="IP75" s="9"/>
      <c r="IQ75" s="9"/>
      <c r="IR75" s="9"/>
      <c r="IS75" s="9"/>
      <c r="IT75" s="9"/>
      <c r="IU75" s="9"/>
      <c r="IV75" s="9"/>
    </row>
    <row r="76" spans="1:256" s="10" customFormat="1" ht="51">
      <c r="A76" s="272"/>
      <c r="B76" s="86">
        <v>73</v>
      </c>
      <c r="C76" s="193" t="s">
        <v>480</v>
      </c>
      <c r="D76" s="227">
        <v>44281</v>
      </c>
      <c r="E76" s="1">
        <v>43748</v>
      </c>
      <c r="F76" s="1">
        <v>141450</v>
      </c>
      <c r="G76" s="1">
        <v>32002</v>
      </c>
      <c r="H76" s="1">
        <v>327</v>
      </c>
      <c r="I76" s="1"/>
      <c r="J76" s="1">
        <v>6</v>
      </c>
      <c r="K76" s="1">
        <v>3</v>
      </c>
      <c r="L76" s="204" t="s">
        <v>31</v>
      </c>
      <c r="M76" s="204" t="s">
        <v>481</v>
      </c>
      <c r="N76" s="204" t="s">
        <v>482</v>
      </c>
      <c r="O76" s="204"/>
      <c r="P76" s="204" t="s">
        <v>483</v>
      </c>
      <c r="Q76" s="204" t="s">
        <v>483</v>
      </c>
      <c r="R76" s="204" t="s">
        <v>483</v>
      </c>
      <c r="S76" s="204" t="s">
        <v>52</v>
      </c>
      <c r="T76" s="1"/>
      <c r="U76" s="2">
        <v>1</v>
      </c>
      <c r="V76" s="1"/>
      <c r="W76" s="1"/>
      <c r="X76" s="204" t="s">
        <v>67</v>
      </c>
      <c r="Y76" s="1"/>
      <c r="Z76" s="2">
        <v>2</v>
      </c>
      <c r="AA76" s="3"/>
      <c r="AB76" s="2">
        <f>+Z76+1</f>
        <v>3</v>
      </c>
      <c r="AC76" s="3"/>
      <c r="AD76" s="2">
        <f>+Z76*2</f>
        <v>4</v>
      </c>
      <c r="AE76" s="115"/>
      <c r="AF76" s="115"/>
      <c r="AG76" s="115"/>
      <c r="AH76" s="115"/>
      <c r="AI76" s="116">
        <f>56.42+2.05/2</f>
        <v>57.445</v>
      </c>
      <c r="AJ76" s="117"/>
      <c r="AK76" s="118">
        <v>374.5</v>
      </c>
      <c r="AL76" s="118">
        <f>+(56.42+2.05)/AK76</f>
        <v>0.15612817089452602</v>
      </c>
      <c r="AM76" s="118">
        <f>+AI76/AK76</f>
        <v>0.15339118825100134</v>
      </c>
      <c r="AN76" s="157"/>
      <c r="AO76" s="168">
        <f>+(18109+5*14484+2*10864+12*7243)/20*56.775</f>
        <v>565402.35375000001</v>
      </c>
      <c r="AP76" s="169">
        <v>4066.99</v>
      </c>
      <c r="AQ76" s="193" t="s">
        <v>107</v>
      </c>
      <c r="AR76" s="5" t="s">
        <v>484</v>
      </c>
      <c r="AS76" s="211">
        <v>44349</v>
      </c>
      <c r="AT76" s="211"/>
      <c r="AU76" s="5" t="s">
        <v>485</v>
      </c>
      <c r="AV76" s="8"/>
      <c r="AW76" s="8"/>
      <c r="AX76" s="8"/>
      <c r="AY76" s="8"/>
      <c r="AZ76" s="8"/>
      <c r="BA76" s="8"/>
      <c r="BB76" s="8"/>
      <c r="BC76" s="8"/>
      <c r="BD76" s="8"/>
      <c r="BE76" s="8"/>
      <c r="BF76" s="8"/>
      <c r="BG76" s="9"/>
      <c r="BH76" s="9"/>
      <c r="BI76" s="9"/>
      <c r="BJ76" s="9"/>
      <c r="BK76" s="9"/>
      <c r="BL76" s="9"/>
      <c r="BM76" s="9"/>
      <c r="BN76" s="9"/>
      <c r="BO76" s="9"/>
      <c r="BP76" s="9"/>
      <c r="BQ76" s="9"/>
      <c r="BR76" s="9"/>
      <c r="BS76" s="9"/>
      <c r="BT76" s="9"/>
      <c r="BU76" s="9"/>
      <c r="BV76" s="9"/>
      <c r="IP76" s="9"/>
      <c r="IQ76" s="9"/>
      <c r="IR76" s="9"/>
      <c r="IS76" s="9"/>
      <c r="IT76" s="9"/>
      <c r="IU76" s="9"/>
      <c r="IV76" s="9"/>
    </row>
    <row r="77" spans="1:256" s="10" customFormat="1" ht="89.25">
      <c r="A77" s="272"/>
      <c r="B77" s="86">
        <v>74</v>
      </c>
      <c r="C77" s="193">
        <v>528727</v>
      </c>
      <c r="D77" s="227">
        <v>44238</v>
      </c>
      <c r="E77" s="1">
        <v>17872</v>
      </c>
      <c r="F77" s="1">
        <v>13</v>
      </c>
      <c r="G77" s="1">
        <v>4037</v>
      </c>
      <c r="H77" s="1"/>
      <c r="I77" s="1"/>
      <c r="J77" s="1">
        <v>67</v>
      </c>
      <c r="K77" s="1">
        <v>7</v>
      </c>
      <c r="L77" s="204" t="s">
        <v>81</v>
      </c>
      <c r="M77" s="204" t="s">
        <v>486</v>
      </c>
      <c r="N77" s="204" t="s">
        <v>487</v>
      </c>
      <c r="O77" s="204"/>
      <c r="P77" s="204" t="s">
        <v>488</v>
      </c>
      <c r="Q77" s="204" t="s">
        <v>488</v>
      </c>
      <c r="R77" s="204" t="s">
        <v>488</v>
      </c>
      <c r="S77" s="204" t="s">
        <v>488</v>
      </c>
      <c r="T77" s="1"/>
      <c r="U77" s="2"/>
      <c r="V77" s="1">
        <v>1</v>
      </c>
      <c r="W77" s="1"/>
      <c r="X77" s="204" t="s">
        <v>67</v>
      </c>
      <c r="Y77" s="1">
        <v>2</v>
      </c>
      <c r="Z77" s="2"/>
      <c r="AA77" s="3">
        <f>+Y77+1</f>
        <v>3</v>
      </c>
      <c r="AB77" s="2"/>
      <c r="AC77" s="3">
        <f>+Y77*2</f>
        <v>4</v>
      </c>
      <c r="AD77" s="2"/>
      <c r="AE77" s="115">
        <v>82.12</v>
      </c>
      <c r="AF77" s="115"/>
      <c r="AG77" s="115">
        <f>13.96/2</f>
        <v>6.98</v>
      </c>
      <c r="AH77" s="115"/>
      <c r="AI77" s="116">
        <f>51.16/2+5.4</f>
        <v>30.979999999999997</v>
      </c>
      <c r="AJ77" s="117"/>
      <c r="AK77" s="118">
        <v>318.08999999999997</v>
      </c>
      <c r="AL77" s="118">
        <f>+(82.12+13.96+51.16+5.4)/AK77</f>
        <v>0.47986418938036413</v>
      </c>
      <c r="AM77" s="118">
        <f>+(AE77+AG77+AI77)/AK77</f>
        <v>0.37750322235845207</v>
      </c>
      <c r="AN77" s="157"/>
      <c r="AO77" s="168">
        <f>85978+2090647.11</f>
        <v>2176625.1100000003</v>
      </c>
      <c r="AP77" s="169">
        <v>14967.93</v>
      </c>
      <c r="AQ77" s="193" t="s">
        <v>45</v>
      </c>
      <c r="AR77" s="5" t="s">
        <v>489</v>
      </c>
      <c r="AS77" s="211">
        <v>44350</v>
      </c>
      <c r="AT77" s="211"/>
      <c r="AU77" s="5" t="s">
        <v>490</v>
      </c>
      <c r="AV77" s="8"/>
      <c r="AW77" s="8"/>
      <c r="AX77" s="8"/>
      <c r="AY77" s="8"/>
      <c r="AZ77" s="8"/>
      <c r="BA77" s="8"/>
      <c r="BB77" s="8"/>
      <c r="BC77" s="8"/>
      <c r="BD77" s="8"/>
      <c r="BE77" s="8"/>
      <c r="BF77" s="8"/>
      <c r="BG77" s="9"/>
      <c r="BH77" s="9"/>
      <c r="BI77" s="9"/>
      <c r="BJ77" s="9"/>
      <c r="BK77" s="9"/>
      <c r="BL77" s="9"/>
      <c r="BM77" s="9"/>
      <c r="BN77" s="9"/>
      <c r="BO77" s="9"/>
      <c r="BP77" s="9"/>
      <c r="BQ77" s="9"/>
      <c r="BR77" s="9"/>
      <c r="BS77" s="9"/>
      <c r="BT77" s="9"/>
      <c r="BU77" s="9"/>
      <c r="BV77" s="9"/>
      <c r="IP77" s="9"/>
      <c r="IQ77" s="9"/>
      <c r="IR77" s="9"/>
      <c r="IS77" s="9"/>
      <c r="IT77" s="9"/>
      <c r="IU77" s="9"/>
      <c r="IV77" s="9"/>
    </row>
    <row r="78" spans="1:256" s="10" customFormat="1" ht="89.25">
      <c r="A78" s="272"/>
      <c r="B78" s="86">
        <v>75</v>
      </c>
      <c r="C78" s="193">
        <v>530784</v>
      </c>
      <c r="D78" s="227">
        <v>44312</v>
      </c>
      <c r="E78" s="1">
        <v>18794</v>
      </c>
      <c r="F78" s="1">
        <v>108716</v>
      </c>
      <c r="G78" s="1">
        <v>3560</v>
      </c>
      <c r="H78" s="1"/>
      <c r="I78" s="1"/>
      <c r="J78" s="1">
        <v>32</v>
      </c>
      <c r="K78" s="1">
        <v>20</v>
      </c>
      <c r="L78" s="204" t="s">
        <v>286</v>
      </c>
      <c r="M78" s="204" t="s">
        <v>491</v>
      </c>
      <c r="N78" s="204" t="s">
        <v>492</v>
      </c>
      <c r="O78" s="204"/>
      <c r="P78" s="204" t="s">
        <v>493</v>
      </c>
      <c r="Q78" s="204"/>
      <c r="R78" s="204"/>
      <c r="S78" s="204"/>
      <c r="T78" s="1"/>
      <c r="U78" s="2"/>
      <c r="V78" s="1">
        <v>2</v>
      </c>
      <c r="W78" s="1"/>
      <c r="X78" s="204" t="s">
        <v>44</v>
      </c>
      <c r="Y78" s="1">
        <f>2+2</f>
        <v>4</v>
      </c>
      <c r="Z78" s="2"/>
      <c r="AA78" s="3">
        <f>+Y78+1+1</f>
        <v>6</v>
      </c>
      <c r="AB78" s="2"/>
      <c r="AC78" s="3">
        <f>+Y78*2</f>
        <v>8</v>
      </c>
      <c r="AD78" s="2"/>
      <c r="AE78" s="115"/>
      <c r="AF78" s="115"/>
      <c r="AG78" s="115">
        <f>129.9+98.02+1.31/2</f>
        <v>228.57500000000002</v>
      </c>
      <c r="AH78" s="115"/>
      <c r="AI78" s="116"/>
      <c r="AJ78" s="117"/>
      <c r="AK78" s="118">
        <v>129.9</v>
      </c>
      <c r="AL78" s="118">
        <f>+(129.9)/AK78</f>
        <v>1</v>
      </c>
      <c r="AM78" s="118">
        <f>+AG78/AK78</f>
        <v>1.7596227867590455</v>
      </c>
      <c r="AN78" s="157"/>
      <c r="AO78" s="168">
        <f>+(18109*1+14484*6+10*10864+9*7243)/26*15.03</f>
        <v>161190.96923076923</v>
      </c>
      <c r="AP78" s="169">
        <v>17512.82</v>
      </c>
      <c r="AQ78" s="193" t="s">
        <v>36</v>
      </c>
      <c r="AR78" s="5" t="s">
        <v>494</v>
      </c>
      <c r="AS78" s="211">
        <v>44351</v>
      </c>
      <c r="AT78" s="211"/>
      <c r="AU78" s="5" t="s">
        <v>495</v>
      </c>
      <c r="AV78" s="8"/>
      <c r="AW78" s="8"/>
      <c r="AX78" s="8"/>
      <c r="AY78" s="8"/>
      <c r="AZ78" s="8"/>
      <c r="BA78" s="8"/>
      <c r="BB78" s="8"/>
      <c r="BC78" s="8"/>
      <c r="BD78" s="8"/>
      <c r="BE78" s="8"/>
      <c r="BF78" s="8"/>
      <c r="BG78" s="9"/>
      <c r="BH78" s="9"/>
      <c r="BI78" s="9"/>
      <c r="BJ78" s="9"/>
      <c r="BK78" s="9"/>
      <c r="BL78" s="9"/>
      <c r="BM78" s="9"/>
      <c r="BN78" s="9"/>
      <c r="BO78" s="9"/>
      <c r="BP78" s="9"/>
      <c r="BQ78" s="9"/>
      <c r="BR78" s="9"/>
      <c r="BS78" s="9"/>
      <c r="BT78" s="9"/>
      <c r="BU78" s="9"/>
      <c r="BV78" s="9"/>
      <c r="IP78" s="9"/>
      <c r="IQ78" s="9"/>
      <c r="IR78" s="9"/>
      <c r="IS78" s="9"/>
      <c r="IT78" s="9"/>
      <c r="IU78" s="9"/>
      <c r="IV78" s="9"/>
    </row>
    <row r="79" spans="1:256" s="10" customFormat="1" ht="89.25">
      <c r="A79" s="272"/>
      <c r="B79" s="86">
        <v>76</v>
      </c>
      <c r="C79" s="193" t="s">
        <v>496</v>
      </c>
      <c r="D79" s="227">
        <v>44188</v>
      </c>
      <c r="E79" s="1">
        <v>14171</v>
      </c>
      <c r="F79" s="1">
        <v>300</v>
      </c>
      <c r="G79" s="1">
        <v>4345</v>
      </c>
      <c r="H79" s="1"/>
      <c r="I79" s="1"/>
      <c r="J79" s="1">
        <v>18</v>
      </c>
      <c r="K79" s="1">
        <v>10</v>
      </c>
      <c r="L79" s="204" t="s">
        <v>48</v>
      </c>
      <c r="M79" s="204" t="s">
        <v>497</v>
      </c>
      <c r="N79" s="204" t="s">
        <v>498</v>
      </c>
      <c r="O79" s="204"/>
      <c r="P79" s="204" t="s">
        <v>181</v>
      </c>
      <c r="Q79" s="204" t="s">
        <v>181</v>
      </c>
      <c r="R79" s="204" t="s">
        <v>181</v>
      </c>
      <c r="S79" s="204" t="s">
        <v>52</v>
      </c>
      <c r="T79" s="1"/>
      <c r="U79" s="2">
        <v>1</v>
      </c>
      <c r="V79" s="1"/>
      <c r="W79" s="1"/>
      <c r="X79" s="204" t="s">
        <v>175</v>
      </c>
      <c r="Y79" s="1"/>
      <c r="Z79" s="2">
        <v>3</v>
      </c>
      <c r="AA79" s="3"/>
      <c r="AB79" s="2">
        <f>+Z79+2</f>
        <v>5</v>
      </c>
      <c r="AC79" s="3"/>
      <c r="AD79" s="2"/>
      <c r="AE79" s="115">
        <f>51.2+24.8/2</f>
        <v>63.6</v>
      </c>
      <c r="AF79" s="115"/>
      <c r="AG79" s="115"/>
      <c r="AH79" s="115"/>
      <c r="AI79" s="116">
        <f>76.48+30.03/2+80.42</f>
        <v>171.91500000000002</v>
      </c>
      <c r="AJ79" s="117"/>
      <c r="AK79" s="118">
        <v>324.95999999999998</v>
      </c>
      <c r="AL79" s="118">
        <f>+(76.48+30.03+51.2+24.8)/AK79</f>
        <v>0.56163835548990659</v>
      </c>
      <c r="AM79" s="118">
        <f>+(AE79+AI79)/AK79</f>
        <v>0.72475073855243732</v>
      </c>
      <c r="AN79" s="157">
        <f>+(4+18+4)/(2+6+1)</f>
        <v>2.8888888888888888</v>
      </c>
      <c r="AO79" s="168">
        <f>+(4*18109+14484*3+10864*14+7243*1)/22*AI79</f>
        <v>2150711.3502272731</v>
      </c>
      <c r="AP79" s="169">
        <v>9226.5499999999993</v>
      </c>
      <c r="AQ79" s="193" t="s">
        <v>36</v>
      </c>
      <c r="AR79" s="5" t="s">
        <v>499</v>
      </c>
      <c r="AS79" s="211">
        <v>44351</v>
      </c>
      <c r="AT79" s="211"/>
      <c r="AU79" s="5"/>
      <c r="AV79" s="8"/>
      <c r="AW79" s="8"/>
      <c r="AX79" s="8"/>
      <c r="AY79" s="8"/>
      <c r="AZ79" s="8"/>
      <c r="BA79" s="8"/>
      <c r="BB79" s="8"/>
      <c r="BC79" s="8"/>
      <c r="BD79" s="8"/>
      <c r="BE79" s="8"/>
      <c r="BF79" s="8"/>
      <c r="BG79" s="9"/>
      <c r="BH79" s="9"/>
      <c r="BI79" s="9"/>
      <c r="BJ79" s="9"/>
      <c r="BK79" s="9"/>
      <c r="BL79" s="9"/>
      <c r="BM79" s="9"/>
      <c r="BN79" s="9"/>
      <c r="BO79" s="9"/>
      <c r="BP79" s="9"/>
      <c r="BQ79" s="9"/>
      <c r="BR79" s="9"/>
      <c r="BS79" s="9"/>
      <c r="BT79" s="9"/>
      <c r="BU79" s="9"/>
      <c r="BV79" s="9"/>
      <c r="IP79" s="9"/>
      <c r="IQ79" s="9"/>
      <c r="IR79" s="9"/>
      <c r="IS79" s="9"/>
      <c r="IT79" s="9"/>
      <c r="IU79" s="9"/>
      <c r="IV79" s="9"/>
    </row>
    <row r="80" spans="1:256" s="10" customFormat="1" ht="76.5">
      <c r="A80" s="274"/>
      <c r="B80" s="86">
        <v>77</v>
      </c>
      <c r="C80" s="193">
        <v>531461</v>
      </c>
      <c r="D80" s="227">
        <v>44336</v>
      </c>
      <c r="E80" s="1">
        <v>53961</v>
      </c>
      <c r="F80" s="1">
        <v>163158</v>
      </c>
      <c r="G80" s="1">
        <v>21292</v>
      </c>
      <c r="H80" s="1">
        <v>27</v>
      </c>
      <c r="I80" s="1"/>
      <c r="J80" s="1">
        <v>311</v>
      </c>
      <c r="K80" s="1">
        <v>16</v>
      </c>
      <c r="L80" s="204" t="s">
        <v>39</v>
      </c>
      <c r="M80" s="204" t="s">
        <v>500</v>
      </c>
      <c r="N80" s="204" t="s">
        <v>501</v>
      </c>
      <c r="O80" s="204"/>
      <c r="P80" s="204" t="s">
        <v>72</v>
      </c>
      <c r="Q80" s="204"/>
      <c r="R80" s="204"/>
      <c r="S80" s="204"/>
      <c r="T80" s="1"/>
      <c r="U80" s="2"/>
      <c r="V80" s="1">
        <v>1</v>
      </c>
      <c r="W80" s="1"/>
      <c r="X80" s="204" t="s">
        <v>67</v>
      </c>
      <c r="Y80" s="1">
        <v>2</v>
      </c>
      <c r="Z80" s="2"/>
      <c r="AA80" s="3">
        <f>+Y80+1</f>
        <v>3</v>
      </c>
      <c r="AB80" s="2"/>
      <c r="AC80" s="3">
        <f>+Y80*2</f>
        <v>4</v>
      </c>
      <c r="AD80" s="2"/>
      <c r="AE80" s="115">
        <f>94+10.95/2</f>
        <v>99.474999999999994</v>
      </c>
      <c r="AF80" s="115"/>
      <c r="AG80" s="115">
        <f>84.14/2</f>
        <v>42.07</v>
      </c>
      <c r="AH80" s="115"/>
      <c r="AI80" s="116"/>
      <c r="AJ80" s="117"/>
      <c r="AK80" s="118">
        <v>300.74</v>
      </c>
      <c r="AL80" s="118">
        <f>+(94+10.95+84.14)/AK80</f>
        <v>0.62874908558888076</v>
      </c>
      <c r="AM80" s="118">
        <f>+(94+10.95/2+84.14/2)/AK80</f>
        <v>0.47065571590077804</v>
      </c>
      <c r="AN80" s="157">
        <f>+(16+10+18)/(4+2+3)</f>
        <v>4.8888888888888893</v>
      </c>
      <c r="AO80" s="168">
        <f>+(5*18109+5*14484+4*10864+7243*7)/21*AG80</f>
        <v>515101.0733333333</v>
      </c>
      <c r="AP80" s="169">
        <v>5330.17</v>
      </c>
      <c r="AQ80" s="193" t="s">
        <v>73</v>
      </c>
      <c r="AR80" s="5" t="s">
        <v>502</v>
      </c>
      <c r="AS80" s="211">
        <v>44356</v>
      </c>
      <c r="AT80" s="211"/>
      <c r="AU80" s="5" t="s">
        <v>503</v>
      </c>
      <c r="AV80" s="8"/>
      <c r="AW80" s="8"/>
      <c r="AX80" s="8"/>
      <c r="AY80" s="8"/>
      <c r="AZ80" s="8"/>
      <c r="BA80" s="8"/>
      <c r="BB80" s="8"/>
      <c r="BC80" s="8"/>
      <c r="BD80" s="8"/>
      <c r="BE80" s="8"/>
      <c r="BF80" s="8"/>
      <c r="BG80" s="9"/>
      <c r="BH80" s="9"/>
      <c r="BI80" s="9"/>
      <c r="BJ80" s="9"/>
      <c r="BK80" s="9"/>
      <c r="BL80" s="9"/>
      <c r="BM80" s="9"/>
      <c r="BN80" s="9"/>
      <c r="BO80" s="9"/>
      <c r="BP80" s="9"/>
      <c r="BQ80" s="9"/>
      <c r="BR80" s="9"/>
      <c r="BS80" s="9"/>
      <c r="BT80" s="9"/>
      <c r="BU80" s="9"/>
      <c r="BV80" s="9"/>
      <c r="IP80" s="9"/>
      <c r="IQ80" s="9"/>
      <c r="IR80" s="9"/>
      <c r="IS80" s="9"/>
      <c r="IT80" s="9"/>
      <c r="IU80" s="9"/>
      <c r="IV80" s="9"/>
    </row>
    <row r="81" spans="1:256" s="10" customFormat="1" ht="76.5">
      <c r="A81" s="274"/>
      <c r="B81" s="86">
        <v>78</v>
      </c>
      <c r="C81" s="193">
        <v>530450</v>
      </c>
      <c r="D81" s="227">
        <v>44301</v>
      </c>
      <c r="E81" s="1">
        <v>40748</v>
      </c>
      <c r="F81" s="1">
        <v>139182</v>
      </c>
      <c r="G81" s="1">
        <v>31748</v>
      </c>
      <c r="H81" s="1">
        <v>365</v>
      </c>
      <c r="I81" s="1"/>
      <c r="J81" s="1"/>
      <c r="K81" s="1">
        <v>6</v>
      </c>
      <c r="L81" s="204" t="s">
        <v>192</v>
      </c>
      <c r="M81" s="204" t="s">
        <v>504</v>
      </c>
      <c r="N81" s="204" t="s">
        <v>505</v>
      </c>
      <c r="O81" s="204"/>
      <c r="P81" s="204" t="s">
        <v>400</v>
      </c>
      <c r="Q81" s="204"/>
      <c r="R81" s="204"/>
      <c r="S81" s="204"/>
      <c r="T81" s="1">
        <v>6</v>
      </c>
      <c r="U81" s="2"/>
      <c r="V81" s="1"/>
      <c r="W81" s="1"/>
      <c r="X81" s="204" t="s">
        <v>44</v>
      </c>
      <c r="Y81" s="1">
        <f>2+2+1+2+2+1</f>
        <v>10</v>
      </c>
      <c r="Z81" s="2"/>
      <c r="AA81" s="3">
        <f>+Y81+1+1+1+1+1+1</f>
        <v>16</v>
      </c>
      <c r="AB81" s="2"/>
      <c r="AC81" s="3">
        <f>+Y81*2</f>
        <v>20</v>
      </c>
      <c r="AD81" s="2"/>
      <c r="AE81" s="115"/>
      <c r="AF81" s="115"/>
      <c r="AG81" s="115">
        <f>170.48+23.37/2+167.6+26.23/2</f>
        <v>362.88</v>
      </c>
      <c r="AH81" s="115"/>
      <c r="AI81" s="116"/>
      <c r="AJ81" s="117"/>
      <c r="AK81" s="118">
        <v>710.48</v>
      </c>
      <c r="AL81" s="118">
        <f>+(170.46+23.37)/AK81</f>
        <v>0.2728155613106632</v>
      </c>
      <c r="AM81" s="118">
        <f>+AG81/AK81</f>
        <v>0.5107532935480239</v>
      </c>
      <c r="AN81" s="157">
        <f>+(9+28+12)/(3+7+2)</f>
        <v>4.083333333333333</v>
      </c>
      <c r="AO81" s="168">
        <f>+(2*18109+4*14484+6*10864+7243*8)/20*AG81</f>
        <v>3942364.608</v>
      </c>
      <c r="AP81" s="169">
        <v>58609.71</v>
      </c>
      <c r="AQ81" s="193" t="s">
        <v>36</v>
      </c>
      <c r="AR81" s="5" t="s">
        <v>506</v>
      </c>
      <c r="AS81" s="211">
        <v>44357</v>
      </c>
      <c r="AT81" s="211"/>
      <c r="AU81" s="5" t="s">
        <v>507</v>
      </c>
      <c r="AV81" s="8"/>
      <c r="AW81" s="8"/>
      <c r="AX81" s="8"/>
      <c r="AY81" s="8"/>
      <c r="AZ81" s="8"/>
      <c r="BA81" s="8"/>
      <c r="BB81" s="8"/>
      <c r="BC81" s="8"/>
      <c r="BD81" s="8"/>
      <c r="BE81" s="8"/>
      <c r="BF81" s="8"/>
      <c r="BG81" s="9"/>
      <c r="BH81" s="9"/>
      <c r="BI81" s="9"/>
      <c r="BJ81" s="9"/>
      <c r="BK81" s="9"/>
      <c r="BL81" s="9"/>
      <c r="BM81" s="9"/>
      <c r="BN81" s="9"/>
      <c r="BO81" s="9"/>
      <c r="BP81" s="9"/>
      <c r="BQ81" s="9"/>
      <c r="BR81" s="9"/>
      <c r="BS81" s="9"/>
      <c r="BT81" s="9"/>
      <c r="BU81" s="9"/>
      <c r="BV81" s="9"/>
      <c r="IP81" s="9"/>
      <c r="IQ81" s="9"/>
      <c r="IR81" s="9"/>
      <c r="IS81" s="9"/>
      <c r="IT81" s="9"/>
      <c r="IU81" s="9"/>
      <c r="IV81" s="9"/>
    </row>
    <row r="82" spans="1:256" s="10" customFormat="1" ht="76.5">
      <c r="A82" s="272"/>
      <c r="B82" s="86">
        <v>79</v>
      </c>
      <c r="C82" s="193">
        <v>529426</v>
      </c>
      <c r="D82" s="227">
        <v>44263</v>
      </c>
      <c r="E82" s="1">
        <v>4557</v>
      </c>
      <c r="F82" s="1">
        <v>2294</v>
      </c>
      <c r="G82" s="1">
        <v>269</v>
      </c>
      <c r="H82" s="1"/>
      <c r="I82" s="1"/>
      <c r="J82" s="1">
        <v>129</v>
      </c>
      <c r="K82" s="1">
        <v>1</v>
      </c>
      <c r="L82" s="204" t="s">
        <v>81</v>
      </c>
      <c r="M82" s="204" t="s">
        <v>508</v>
      </c>
      <c r="N82" s="204" t="s">
        <v>509</v>
      </c>
      <c r="O82" s="204"/>
      <c r="P82" s="204" t="s">
        <v>510</v>
      </c>
      <c r="Q82" s="204"/>
      <c r="R82" s="204"/>
      <c r="S82" s="204"/>
      <c r="T82" s="1"/>
      <c r="U82" s="2"/>
      <c r="V82" s="1">
        <f>1+1</f>
        <v>2</v>
      </c>
      <c r="W82" s="1"/>
      <c r="X82" s="204" t="s">
        <v>53</v>
      </c>
      <c r="Y82" s="1">
        <v>3</v>
      </c>
      <c r="Z82" s="2"/>
      <c r="AA82" s="3">
        <f>+Y82+1</f>
        <v>4</v>
      </c>
      <c r="AB82" s="2"/>
      <c r="AC82" s="3">
        <f>+Y82*2</f>
        <v>6</v>
      </c>
      <c r="AD82" s="2"/>
      <c r="AE82" s="115">
        <f>150.06+29.5/2</f>
        <v>164.81</v>
      </c>
      <c r="AF82" s="115"/>
      <c r="AG82" s="115">
        <f>53.54-AH82</f>
        <v>37.626300000000001</v>
      </c>
      <c r="AH82" s="115">
        <f>2.53*6.29</f>
        <v>15.913699999999999</v>
      </c>
      <c r="AI82" s="116"/>
      <c r="AJ82" s="117"/>
      <c r="AK82" s="118">
        <v>287.60000000000002</v>
      </c>
      <c r="AL82" s="118">
        <f>+(203.6+29.5)/AK82</f>
        <v>0.81050069541029202</v>
      </c>
      <c r="AM82" s="118">
        <f>+(AE82+AG82+AH82)/AK82</f>
        <v>0.7592141863699583</v>
      </c>
      <c r="AN82" s="157"/>
      <c r="AO82" s="168">
        <f>+((4*18109+11*14484+3*10864+6*7243)/21*AG82)+((14484*AH82))</f>
        <v>782006.00237142853</v>
      </c>
      <c r="AP82" s="169">
        <v>12054.9</v>
      </c>
      <c r="AQ82" s="193" t="s">
        <v>36</v>
      </c>
      <c r="AR82" s="5" t="s">
        <v>511</v>
      </c>
      <c r="AS82" s="211">
        <v>44357</v>
      </c>
      <c r="AT82" s="211"/>
      <c r="AU82" s="5" t="s">
        <v>512</v>
      </c>
      <c r="AV82" s="8"/>
      <c r="AW82" s="8"/>
      <c r="AX82" s="8"/>
      <c r="AY82" s="8"/>
      <c r="AZ82" s="8"/>
      <c r="BA82" s="8"/>
      <c r="BB82" s="8"/>
      <c r="BC82" s="8"/>
      <c r="BD82" s="8"/>
      <c r="BE82" s="8"/>
      <c r="BF82" s="8"/>
      <c r="BG82" s="9"/>
      <c r="BH82" s="9"/>
      <c r="BI82" s="9"/>
      <c r="BJ82" s="9"/>
      <c r="BK82" s="9"/>
      <c r="BL82" s="9"/>
      <c r="BM82" s="9"/>
      <c r="BN82" s="9"/>
      <c r="BO82" s="9"/>
      <c r="BP82" s="9"/>
      <c r="BQ82" s="9"/>
      <c r="BR82" s="9"/>
      <c r="BS82" s="9"/>
      <c r="BT82" s="9"/>
      <c r="BU82" s="9"/>
      <c r="BV82" s="9"/>
      <c r="IP82" s="9"/>
      <c r="IQ82" s="9"/>
      <c r="IR82" s="9"/>
      <c r="IS82" s="9"/>
      <c r="IT82" s="9"/>
      <c r="IU82" s="9"/>
      <c r="IV82" s="9"/>
    </row>
    <row r="83" spans="1:256" s="10" customFormat="1" ht="51">
      <c r="A83" s="274"/>
      <c r="B83" s="86">
        <v>80</v>
      </c>
      <c r="C83" s="193" t="s">
        <v>513</v>
      </c>
      <c r="D83" s="227">
        <v>44291</v>
      </c>
      <c r="E83" s="1">
        <v>50290</v>
      </c>
      <c r="F83" s="1">
        <v>160339</v>
      </c>
      <c r="G83" s="1">
        <v>9585</v>
      </c>
      <c r="H83" s="1">
        <v>9584</v>
      </c>
      <c r="I83" s="1"/>
      <c r="J83" s="1">
        <v>555</v>
      </c>
      <c r="K83" s="1">
        <v>19</v>
      </c>
      <c r="L83" s="204" t="s">
        <v>48</v>
      </c>
      <c r="M83" s="204" t="s">
        <v>514</v>
      </c>
      <c r="N83" s="204" t="s">
        <v>515</v>
      </c>
      <c r="O83" s="204"/>
      <c r="P83" s="204" t="s">
        <v>420</v>
      </c>
      <c r="Q83" s="204" t="s">
        <v>420</v>
      </c>
      <c r="R83" s="204" t="s">
        <v>420</v>
      </c>
      <c r="S83" s="204" t="s">
        <v>52</v>
      </c>
      <c r="T83" s="1"/>
      <c r="U83" s="2">
        <v>1</v>
      </c>
      <c r="V83" s="1"/>
      <c r="W83" s="1"/>
      <c r="X83" s="204" t="s">
        <v>67</v>
      </c>
      <c r="Y83" s="1"/>
      <c r="Z83" s="2">
        <v>3</v>
      </c>
      <c r="AA83" s="3"/>
      <c r="AB83" s="2">
        <f>+Z83+1</f>
        <v>4</v>
      </c>
      <c r="AC83" s="3"/>
      <c r="AD83" s="2">
        <f>+Z83*2</f>
        <v>6</v>
      </c>
      <c r="AE83" s="115"/>
      <c r="AF83" s="115"/>
      <c r="AG83" s="115"/>
      <c r="AH83" s="115"/>
      <c r="AI83" s="116">
        <v>128.18</v>
      </c>
      <c r="AJ83" s="117"/>
      <c r="AK83" s="118">
        <v>338.69</v>
      </c>
      <c r="AL83" s="118">
        <f>+AI83/AK83</f>
        <v>0.37845817709409785</v>
      </c>
      <c r="AM83" s="118">
        <f>+AL83</f>
        <v>0.37845817709409785</v>
      </c>
      <c r="AN83" s="157"/>
      <c r="AO83" s="168">
        <f>+(9*18109+14484*6+2*10864+7243*4)/21*AI83</f>
        <v>1834713.585714286</v>
      </c>
      <c r="AP83" s="169">
        <v>9352.85</v>
      </c>
      <c r="AQ83" s="193" t="s">
        <v>36</v>
      </c>
      <c r="AR83" s="5" t="s">
        <v>516</v>
      </c>
      <c r="AS83" s="211">
        <v>44358</v>
      </c>
      <c r="AT83" s="211"/>
      <c r="AU83" s="5" t="s">
        <v>517</v>
      </c>
      <c r="AV83" s="8"/>
      <c r="AW83" s="8"/>
      <c r="AX83" s="8"/>
      <c r="AY83" s="8"/>
      <c r="AZ83" s="8"/>
      <c r="BA83" s="8"/>
      <c r="BB83" s="8"/>
      <c r="BC83" s="8"/>
      <c r="BD83" s="8"/>
      <c r="BE83" s="8"/>
      <c r="BF83" s="8"/>
      <c r="BG83" s="9"/>
      <c r="BH83" s="9"/>
      <c r="BI83" s="9"/>
      <c r="BJ83" s="9"/>
      <c r="BK83" s="9"/>
      <c r="BL83" s="9"/>
      <c r="BM83" s="9"/>
      <c r="BN83" s="9"/>
      <c r="BO83" s="9"/>
      <c r="BP83" s="9"/>
      <c r="BQ83" s="9"/>
      <c r="BR83" s="9"/>
      <c r="BS83" s="9"/>
      <c r="BT83" s="9"/>
      <c r="BU83" s="9"/>
      <c r="BV83" s="9"/>
      <c r="IP83" s="9"/>
      <c r="IQ83" s="9"/>
      <c r="IR83" s="9"/>
      <c r="IS83" s="9"/>
      <c r="IT83" s="9"/>
      <c r="IU83" s="9"/>
      <c r="IV83" s="9"/>
    </row>
    <row r="84" spans="1:256" s="10" customFormat="1" ht="51">
      <c r="A84" s="272"/>
      <c r="B84" s="85">
        <v>81</v>
      </c>
      <c r="C84" s="250">
        <v>530816</v>
      </c>
      <c r="D84" s="240">
        <v>44314</v>
      </c>
      <c r="E84" s="1">
        <v>17986</v>
      </c>
      <c r="F84" s="1">
        <v>105515</v>
      </c>
      <c r="G84" s="1">
        <v>3273</v>
      </c>
      <c r="H84" s="1"/>
      <c r="I84" s="1"/>
      <c r="J84" s="1">
        <v>166</v>
      </c>
      <c r="K84" s="1">
        <v>3</v>
      </c>
      <c r="L84" s="204" t="s">
        <v>48</v>
      </c>
      <c r="M84" s="204" t="s">
        <v>518</v>
      </c>
      <c r="N84" s="204" t="s">
        <v>519</v>
      </c>
      <c r="O84" s="204"/>
      <c r="P84" s="204" t="s">
        <v>133</v>
      </c>
      <c r="Q84" s="204"/>
      <c r="R84" s="204"/>
      <c r="S84" s="204"/>
      <c r="T84" s="1"/>
      <c r="U84" s="1"/>
      <c r="V84" s="1">
        <v>1</v>
      </c>
      <c r="W84" s="1"/>
      <c r="X84" s="204" t="s">
        <v>44</v>
      </c>
      <c r="Y84" s="1"/>
      <c r="Z84" s="1"/>
      <c r="AA84" s="1"/>
      <c r="AB84" s="1"/>
      <c r="AC84" s="1"/>
      <c r="AD84" s="1"/>
      <c r="AE84" s="115">
        <f>242.43+6.04/2</f>
        <v>245.45000000000002</v>
      </c>
      <c r="AF84" s="115"/>
      <c r="AG84" s="115"/>
      <c r="AH84" s="127"/>
      <c r="AI84" s="127"/>
      <c r="AJ84" s="127"/>
      <c r="AK84" s="127">
        <v>314.20999999999998</v>
      </c>
      <c r="AL84" s="127">
        <v>0.44</v>
      </c>
      <c r="AM84" s="127">
        <f>+AE84/AK84</f>
        <v>0.78116546258871467</v>
      </c>
      <c r="AN84" s="161"/>
      <c r="AO84" s="175">
        <f>+(3*18109+14484*8+6*10864+7243*10)/27*AE84</f>
        <v>2798248.1796296299</v>
      </c>
      <c r="AP84" s="181">
        <v>12702.23</v>
      </c>
      <c r="AQ84" s="196" t="s">
        <v>107</v>
      </c>
      <c r="AR84" s="5" t="s">
        <v>520</v>
      </c>
      <c r="AS84" s="216">
        <v>44358</v>
      </c>
      <c r="AT84" s="217"/>
      <c r="AU84" s="28" t="s">
        <v>450</v>
      </c>
      <c r="AV84" s="30"/>
      <c r="AW84" s="30"/>
      <c r="AX84" s="30"/>
      <c r="AY84" s="30"/>
      <c r="AZ84" s="30"/>
      <c r="BA84" s="30"/>
      <c r="BB84" s="30"/>
      <c r="BC84" s="30"/>
      <c r="BD84" s="30"/>
      <c r="BE84" s="9"/>
      <c r="BF84" s="9"/>
      <c r="BG84" s="9"/>
      <c r="BH84" s="9"/>
      <c r="BI84" s="9"/>
      <c r="BJ84" s="9"/>
      <c r="BK84" s="9"/>
      <c r="BL84" s="9"/>
      <c r="BM84" s="9"/>
      <c r="BN84" s="9"/>
      <c r="BO84" s="9"/>
      <c r="BP84" s="9"/>
      <c r="BQ84" s="9"/>
      <c r="BR84" s="9"/>
      <c r="BS84" s="9"/>
      <c r="BT84" s="9"/>
      <c r="IN84" s="9"/>
      <c r="IO84" s="9"/>
      <c r="IP84" s="9"/>
      <c r="IQ84" s="9"/>
      <c r="IR84" s="9"/>
      <c r="IS84" s="9"/>
      <c r="IT84" s="9"/>
      <c r="IU84" s="9"/>
      <c r="IV84" s="9"/>
    </row>
    <row r="85" spans="1:256" s="10" customFormat="1" ht="76.5">
      <c r="A85" s="274"/>
      <c r="B85" s="86">
        <v>82</v>
      </c>
      <c r="C85" s="193">
        <v>531577</v>
      </c>
      <c r="D85" s="227">
        <v>44347</v>
      </c>
      <c r="E85" s="1">
        <v>52069</v>
      </c>
      <c r="F85" s="1">
        <v>161717</v>
      </c>
      <c r="G85" s="1">
        <v>21215</v>
      </c>
      <c r="H85" s="1">
        <v>49</v>
      </c>
      <c r="I85" s="1"/>
      <c r="J85" s="1">
        <v>410</v>
      </c>
      <c r="K85" s="1">
        <v>17</v>
      </c>
      <c r="L85" s="204" t="s">
        <v>521</v>
      </c>
      <c r="M85" s="204" t="s">
        <v>522</v>
      </c>
      <c r="N85" s="204" t="s">
        <v>523</v>
      </c>
      <c r="O85" s="204"/>
      <c r="P85" s="204" t="s">
        <v>181</v>
      </c>
      <c r="Q85" s="204"/>
      <c r="R85" s="204"/>
      <c r="S85" s="204"/>
      <c r="T85" s="1">
        <v>1</v>
      </c>
      <c r="U85" s="2"/>
      <c r="V85" s="1"/>
      <c r="W85" s="1"/>
      <c r="X85" s="204" t="s">
        <v>67</v>
      </c>
      <c r="Y85" s="1">
        <v>3</v>
      </c>
      <c r="Z85" s="2"/>
      <c r="AA85" s="3">
        <f>+Y85+1</f>
        <v>4</v>
      </c>
      <c r="AB85" s="2"/>
      <c r="AC85" s="3">
        <f>+Y85*2</f>
        <v>6</v>
      </c>
      <c r="AD85" s="2"/>
      <c r="AE85" s="115"/>
      <c r="AF85" s="115"/>
      <c r="AG85" s="115">
        <f>69.57+39.6/2+73.12+7.35/2</f>
        <v>166.16500000000002</v>
      </c>
      <c r="AH85" s="115"/>
      <c r="AI85" s="116"/>
      <c r="AJ85" s="117"/>
      <c r="AK85" s="118">
        <v>307.5</v>
      </c>
      <c r="AL85" s="118">
        <f>+(69.57+39.5)/AK85</f>
        <v>0.35469918699186992</v>
      </c>
      <c r="AM85" s="118">
        <f>+AG85/AK85</f>
        <v>0.54037398373983747</v>
      </c>
      <c r="AN85" s="157"/>
      <c r="AO85" s="168">
        <f>+(6*18109+14484*5+7*10864+7243*5)/23*AG85</f>
        <v>2119232.2871739133</v>
      </c>
      <c r="AP85" s="169">
        <v>32073.11</v>
      </c>
      <c r="AQ85" s="193" t="s">
        <v>36</v>
      </c>
      <c r="AR85" s="5" t="s">
        <v>524</v>
      </c>
      <c r="AS85" s="211">
        <v>44361</v>
      </c>
      <c r="AT85" s="211"/>
      <c r="AU85" s="5" t="s">
        <v>525</v>
      </c>
      <c r="AV85" s="8"/>
      <c r="AW85" s="8"/>
      <c r="AX85" s="8"/>
      <c r="AY85" s="8"/>
      <c r="AZ85" s="8"/>
      <c r="BA85" s="8"/>
      <c r="BB85" s="8"/>
      <c r="BC85" s="8"/>
      <c r="BD85" s="8"/>
      <c r="BE85" s="8"/>
      <c r="BF85" s="8"/>
      <c r="BG85" s="9"/>
      <c r="BH85" s="9"/>
      <c r="BI85" s="9"/>
      <c r="BJ85" s="9"/>
      <c r="BK85" s="9"/>
      <c r="BL85" s="9"/>
      <c r="BM85" s="9"/>
      <c r="BN85" s="9"/>
      <c r="BO85" s="9"/>
      <c r="BP85" s="9"/>
      <c r="BQ85" s="9"/>
      <c r="BR85" s="9"/>
      <c r="BS85" s="9"/>
      <c r="BT85" s="9"/>
      <c r="BU85" s="9"/>
      <c r="BV85" s="9"/>
      <c r="IP85" s="9"/>
      <c r="IQ85" s="9"/>
      <c r="IR85" s="9"/>
      <c r="IS85" s="9"/>
      <c r="IT85" s="9"/>
      <c r="IU85" s="9"/>
      <c r="IV85" s="9"/>
    </row>
    <row r="86" spans="1:256" s="10" customFormat="1" ht="63.75">
      <c r="A86" s="272"/>
      <c r="B86" s="86">
        <v>83</v>
      </c>
      <c r="C86" s="193" t="s">
        <v>526</v>
      </c>
      <c r="D86" s="227">
        <v>44145</v>
      </c>
      <c r="E86" s="1">
        <v>49199</v>
      </c>
      <c r="F86" s="1">
        <v>139868</v>
      </c>
      <c r="G86" s="1">
        <v>31792</v>
      </c>
      <c r="H86" s="1">
        <v>354</v>
      </c>
      <c r="I86" s="1"/>
      <c r="J86" s="1"/>
      <c r="K86" s="1">
        <v>41</v>
      </c>
      <c r="L86" s="204" t="s">
        <v>527</v>
      </c>
      <c r="M86" s="204" t="s">
        <v>528</v>
      </c>
      <c r="N86" s="204" t="s">
        <v>529</v>
      </c>
      <c r="O86" s="204"/>
      <c r="P86" s="204" t="s">
        <v>530</v>
      </c>
      <c r="Q86" s="204"/>
      <c r="R86" s="204"/>
      <c r="S86" s="204"/>
      <c r="T86" s="1">
        <v>1</v>
      </c>
      <c r="U86" s="2"/>
      <c r="V86" s="1"/>
      <c r="W86" s="1"/>
      <c r="X86" s="204" t="s">
        <v>67</v>
      </c>
      <c r="Y86" s="1">
        <v>3</v>
      </c>
      <c r="Z86" s="2"/>
      <c r="AA86" s="3">
        <f>+Y86+1</f>
        <v>4</v>
      </c>
      <c r="AB86" s="2"/>
      <c r="AC86" s="3">
        <f>+Y86*2</f>
        <v>6</v>
      </c>
      <c r="AD86" s="2"/>
      <c r="AE86" s="115"/>
      <c r="AF86" s="115"/>
      <c r="AG86" s="115">
        <f>77.8+31.82/2</f>
        <v>93.71</v>
      </c>
      <c r="AH86" s="115"/>
      <c r="AI86" s="116"/>
      <c r="AJ86" s="117"/>
      <c r="AK86" s="118">
        <v>982.8</v>
      </c>
      <c r="AL86" s="118">
        <f>+(77.8+31.82)/AK86</f>
        <v>0.11153846153846154</v>
      </c>
      <c r="AM86" s="118">
        <f>+AG86/AK86</f>
        <v>9.5350020350020354E-2</v>
      </c>
      <c r="AN86" s="157"/>
      <c r="AO86" s="168">
        <f>+(5*18109+14484*10+10864*5+7243)/21*AG86</f>
        <v>1325095.0990476189</v>
      </c>
      <c r="AP86" s="169">
        <v>20497.86</v>
      </c>
      <c r="AQ86" s="193" t="s">
        <v>45</v>
      </c>
      <c r="AR86" s="5" t="s">
        <v>531</v>
      </c>
      <c r="AS86" s="211">
        <v>44362</v>
      </c>
      <c r="AT86" s="211"/>
      <c r="AU86" s="5" t="s">
        <v>532</v>
      </c>
      <c r="AV86" s="8"/>
      <c r="AW86" s="8"/>
      <c r="AX86" s="8"/>
      <c r="AY86" s="8"/>
      <c r="AZ86" s="8"/>
      <c r="BA86" s="8"/>
      <c r="BB86" s="8"/>
      <c r="BC86" s="8"/>
      <c r="BD86" s="8"/>
      <c r="BE86" s="8"/>
      <c r="BF86" s="8"/>
      <c r="BG86" s="9"/>
      <c r="BH86" s="9"/>
      <c r="BI86" s="9"/>
      <c r="BJ86" s="9"/>
      <c r="BK86" s="9"/>
      <c r="BL86" s="9"/>
      <c r="BM86" s="9"/>
      <c r="BN86" s="9"/>
      <c r="BO86" s="9"/>
      <c r="BP86" s="9"/>
      <c r="BQ86" s="9"/>
      <c r="BR86" s="9"/>
      <c r="BS86" s="9"/>
      <c r="BT86" s="9"/>
      <c r="BU86" s="9"/>
      <c r="BV86" s="9"/>
      <c r="IP86" s="9"/>
      <c r="IQ86" s="9"/>
      <c r="IR86" s="9"/>
      <c r="IS86" s="9"/>
      <c r="IT86" s="9"/>
      <c r="IU86" s="9"/>
      <c r="IV86" s="9"/>
    </row>
    <row r="87" spans="1:256" s="10" customFormat="1" ht="89.25">
      <c r="A87" s="275"/>
      <c r="B87" s="86">
        <v>84</v>
      </c>
      <c r="C87" s="193" t="s">
        <v>533</v>
      </c>
      <c r="D87" s="227">
        <v>44166</v>
      </c>
      <c r="E87" s="1">
        <v>39053</v>
      </c>
      <c r="F87" s="1">
        <v>137978</v>
      </c>
      <c r="G87" s="1">
        <v>31530</v>
      </c>
      <c r="H87" s="1">
        <v>355</v>
      </c>
      <c r="I87" s="1"/>
      <c r="J87" s="1">
        <v>1</v>
      </c>
      <c r="K87" s="1">
        <v>10</v>
      </c>
      <c r="L87" s="204" t="s">
        <v>137</v>
      </c>
      <c r="M87" s="204" t="s">
        <v>534</v>
      </c>
      <c r="N87" s="204" t="s">
        <v>535</v>
      </c>
      <c r="O87" s="204"/>
      <c r="P87" s="204" t="s">
        <v>536</v>
      </c>
      <c r="Q87" s="204" t="s">
        <v>318</v>
      </c>
      <c r="R87" s="204" t="s">
        <v>536</v>
      </c>
      <c r="S87" s="204" t="s">
        <v>319</v>
      </c>
      <c r="T87" s="1"/>
      <c r="U87" s="2"/>
      <c r="V87" s="1">
        <v>1</v>
      </c>
      <c r="W87" s="1"/>
      <c r="X87" s="204" t="s">
        <v>44</v>
      </c>
      <c r="Y87" s="1">
        <v>2</v>
      </c>
      <c r="Z87" s="2"/>
      <c r="AA87" s="3">
        <f>+Y87+1</f>
        <v>3</v>
      </c>
      <c r="AB87" s="2">
        <v>1</v>
      </c>
      <c r="AC87" s="3">
        <f>+Y87*2</f>
        <v>4</v>
      </c>
      <c r="AD87" s="2"/>
      <c r="AE87" s="115">
        <f>86.805+53.29</f>
        <v>140.095</v>
      </c>
      <c r="AF87" s="115"/>
      <c r="AG87" s="115">
        <v>33.520000000000003</v>
      </c>
      <c r="AH87" s="115"/>
      <c r="AI87" s="116">
        <f>63.4+8.76/2</f>
        <v>67.78</v>
      </c>
      <c r="AJ87" s="117"/>
      <c r="AK87" s="118">
        <v>562.5</v>
      </c>
      <c r="AL87" s="118">
        <f>+(8.76+63.4+86.805)/AK87</f>
        <v>0.28260444444444444</v>
      </c>
      <c r="AM87" s="118">
        <f>+(AE87+AG87+AI87)/AK87</f>
        <v>0.42914666666666668</v>
      </c>
      <c r="AN87" s="157"/>
      <c r="AO87" s="168">
        <f>+(550000+((18109*4+14484*4+11*10846+7243*3)/22*(AG87+AI87)))</f>
        <v>1799705.8681818184</v>
      </c>
      <c r="AP87" s="169">
        <v>43507.56</v>
      </c>
      <c r="AQ87" s="193" t="s">
        <v>107</v>
      </c>
      <c r="AR87" s="5" t="s">
        <v>537</v>
      </c>
      <c r="AS87" s="211">
        <v>44362</v>
      </c>
      <c r="AT87" s="211"/>
      <c r="AU87" s="5" t="s">
        <v>538</v>
      </c>
      <c r="AV87" s="8"/>
      <c r="AW87" s="8"/>
      <c r="AX87" s="8"/>
      <c r="AY87" s="8"/>
      <c r="AZ87" s="8"/>
      <c r="BA87" s="8"/>
      <c r="BB87" s="8"/>
      <c r="BC87" s="8"/>
      <c r="BD87" s="8"/>
      <c r="BE87" s="8"/>
      <c r="BF87" s="8"/>
      <c r="BG87" s="9"/>
      <c r="BH87" s="9"/>
      <c r="BI87" s="9"/>
      <c r="BJ87" s="9"/>
      <c r="BK87" s="9"/>
      <c r="BL87" s="9"/>
      <c r="BM87" s="9"/>
      <c r="BN87" s="9"/>
      <c r="BO87" s="9"/>
      <c r="BP87" s="9"/>
      <c r="BQ87" s="9"/>
      <c r="BR87" s="9"/>
      <c r="BS87" s="9"/>
      <c r="BT87" s="9"/>
      <c r="BU87" s="9"/>
      <c r="BV87" s="9"/>
      <c r="IP87" s="9"/>
      <c r="IQ87" s="9"/>
      <c r="IR87" s="9"/>
      <c r="IS87" s="9"/>
      <c r="IT87" s="9"/>
      <c r="IU87" s="9"/>
      <c r="IV87" s="9"/>
    </row>
    <row r="88" spans="1:256" s="10" customFormat="1" ht="89.25">
      <c r="A88" s="274"/>
      <c r="B88" s="86">
        <v>85</v>
      </c>
      <c r="C88" s="193">
        <v>530280</v>
      </c>
      <c r="D88" s="227">
        <v>44293</v>
      </c>
      <c r="E88" s="1">
        <v>19136</v>
      </c>
      <c r="F88" s="1">
        <v>108925</v>
      </c>
      <c r="G88" s="1">
        <v>3579</v>
      </c>
      <c r="H88" s="1"/>
      <c r="I88" s="1"/>
      <c r="J88" s="1">
        <v>688</v>
      </c>
      <c r="K88" s="1">
        <v>11</v>
      </c>
      <c r="L88" s="204" t="s">
        <v>130</v>
      </c>
      <c r="M88" s="204" t="s">
        <v>539</v>
      </c>
      <c r="N88" s="204" t="s">
        <v>540</v>
      </c>
      <c r="O88" s="204"/>
      <c r="P88" s="204" t="s">
        <v>541</v>
      </c>
      <c r="Q88" s="204" t="s">
        <v>541</v>
      </c>
      <c r="R88" s="204" t="s">
        <v>541</v>
      </c>
      <c r="S88" s="204" t="s">
        <v>52</v>
      </c>
      <c r="T88" s="1"/>
      <c r="U88" s="2">
        <v>1</v>
      </c>
      <c r="V88" s="1"/>
      <c r="W88" s="1"/>
      <c r="X88" s="204" t="s">
        <v>67</v>
      </c>
      <c r="Y88" s="1"/>
      <c r="Z88" s="2">
        <v>3</v>
      </c>
      <c r="AA88" s="3"/>
      <c r="AB88" s="2">
        <f>+Z88+1+1</f>
        <v>5</v>
      </c>
      <c r="AC88" s="3"/>
      <c r="AD88" s="2">
        <f>+Z88*2</f>
        <v>6</v>
      </c>
      <c r="AE88" s="115"/>
      <c r="AF88" s="115"/>
      <c r="AG88" s="115"/>
      <c r="AH88" s="115"/>
      <c r="AI88" s="116">
        <f>1.67+20.67/2+96.5+20.05/2+2.13/2+3.04/2+3.35/2+101+7.4/2</f>
        <v>227.48999999999998</v>
      </c>
      <c r="AJ88" s="117"/>
      <c r="AK88" s="118">
        <v>237.18</v>
      </c>
      <c r="AL88" s="118">
        <f>+(1.67+20.67+96.5+20.05+2.13)/AK88</f>
        <v>0.59456952525508056</v>
      </c>
      <c r="AM88" s="118">
        <f>+AI88/AK88</f>
        <v>0.95914495320010107</v>
      </c>
      <c r="AN88" s="157">
        <f>+(2+12+6)/(2+6+2)</f>
        <v>2</v>
      </c>
      <c r="AO88" s="168">
        <f>123370.59+((9*18109+4*14484+3*10864+9*7243)/22*AI88)</f>
        <v>3418832.0918181813</v>
      </c>
      <c r="AP88" s="169">
        <v>12679.77</v>
      </c>
      <c r="AQ88" s="193" t="s">
        <v>36</v>
      </c>
      <c r="AR88" s="5" t="s">
        <v>542</v>
      </c>
      <c r="AS88" s="211">
        <v>44363</v>
      </c>
      <c r="AT88" s="211"/>
      <c r="AU88" s="5" t="s">
        <v>543</v>
      </c>
      <c r="AV88" s="8"/>
      <c r="AW88" s="8"/>
      <c r="AX88" s="8"/>
      <c r="AY88" s="8"/>
      <c r="AZ88" s="8"/>
      <c r="BA88" s="8"/>
      <c r="BB88" s="8"/>
      <c r="BC88" s="8"/>
      <c r="BD88" s="8"/>
      <c r="BE88" s="8"/>
      <c r="BF88" s="8"/>
      <c r="BG88" s="9"/>
      <c r="BH88" s="9"/>
      <c r="BI88" s="9"/>
      <c r="BJ88" s="9"/>
      <c r="BK88" s="9"/>
      <c r="BL88" s="9"/>
      <c r="BM88" s="9"/>
      <c r="BN88" s="9"/>
      <c r="BO88" s="9"/>
      <c r="BP88" s="9"/>
      <c r="BQ88" s="9"/>
      <c r="BR88" s="9"/>
      <c r="BS88" s="9"/>
      <c r="BT88" s="9"/>
      <c r="BU88" s="9"/>
      <c r="BV88" s="9"/>
      <c r="IP88" s="9"/>
      <c r="IQ88" s="9"/>
      <c r="IR88" s="9"/>
      <c r="IS88" s="9"/>
      <c r="IT88" s="9"/>
      <c r="IU88" s="9"/>
      <c r="IV88" s="9"/>
    </row>
    <row r="89" spans="1:256" s="10" customFormat="1" ht="63.75">
      <c r="A89" s="274"/>
      <c r="B89" s="86">
        <v>86</v>
      </c>
      <c r="C89" s="193">
        <v>531603</v>
      </c>
      <c r="D89" s="227">
        <v>44348</v>
      </c>
      <c r="E89" s="1">
        <v>10677</v>
      </c>
      <c r="F89" s="1">
        <v>50177</v>
      </c>
      <c r="G89" s="1">
        <v>20151</v>
      </c>
      <c r="H89" s="1">
        <v>28</v>
      </c>
      <c r="I89" s="1"/>
      <c r="J89" s="1">
        <v>340</v>
      </c>
      <c r="K89" s="1">
        <v>13</v>
      </c>
      <c r="L89" s="204" t="s">
        <v>31</v>
      </c>
      <c r="M89" s="204" t="s">
        <v>544</v>
      </c>
      <c r="N89" s="204" t="s">
        <v>545</v>
      </c>
      <c r="O89" s="204"/>
      <c r="P89" s="204" t="s">
        <v>546</v>
      </c>
      <c r="Q89" s="204"/>
      <c r="R89" s="204"/>
      <c r="S89" s="204"/>
      <c r="T89" s="1">
        <f>1+2+1</f>
        <v>4</v>
      </c>
      <c r="U89" s="2"/>
      <c r="V89" s="1"/>
      <c r="W89" s="1"/>
      <c r="X89" s="204" t="s">
        <v>547</v>
      </c>
      <c r="Y89" s="1">
        <f>3+1</f>
        <v>4</v>
      </c>
      <c r="Z89" s="2"/>
      <c r="AA89" s="3">
        <f>+Y89+1+1</f>
        <v>6</v>
      </c>
      <c r="AB89" s="2"/>
      <c r="AC89" s="3">
        <f>+Y89*2</f>
        <v>8</v>
      </c>
      <c r="AD89" s="2"/>
      <c r="AE89" s="115">
        <f>29.72+67.47+29.72+8.5+41.9+24.75+5.7/2</f>
        <v>204.91</v>
      </c>
      <c r="AF89" s="115">
        <f>41.9+24.75</f>
        <v>66.650000000000006</v>
      </c>
      <c r="AG89" s="115">
        <f>19.7/2+7+25.7+19.3</f>
        <v>61.849999999999994</v>
      </c>
      <c r="AH89" s="115">
        <f>97.9+39.2+5.9/2+11.6/2</f>
        <v>145.85000000000002</v>
      </c>
      <c r="AI89" s="116"/>
      <c r="AJ89" s="117"/>
      <c r="AK89" s="118">
        <v>17602.099999999999</v>
      </c>
      <c r="AL89" s="118"/>
      <c r="AM89" s="118">
        <f>+(AE89+AF89+AG89+AH89)/AK89</f>
        <v>2.7227433090369901E-2</v>
      </c>
      <c r="AN89" s="157"/>
      <c r="AO89" s="168">
        <f>125050+((8*18109+14484*9+10864*4+2*7243)/23*AG89)</f>
        <v>1020987.5869565217</v>
      </c>
      <c r="AP89" s="169">
        <v>47450.47</v>
      </c>
      <c r="AQ89" s="193" t="s">
        <v>36</v>
      </c>
      <c r="AR89" s="5" t="s">
        <v>548</v>
      </c>
      <c r="AS89" s="211">
        <v>44333</v>
      </c>
      <c r="AT89" s="211"/>
      <c r="AU89" s="5"/>
      <c r="AV89" s="8"/>
      <c r="AW89" s="8"/>
      <c r="AX89" s="8"/>
      <c r="AY89" s="8"/>
      <c r="AZ89" s="8"/>
      <c r="BA89" s="8"/>
      <c r="BB89" s="8"/>
      <c r="BC89" s="8"/>
      <c r="BD89" s="8"/>
      <c r="BE89" s="8"/>
      <c r="BF89" s="8"/>
      <c r="BG89" s="9"/>
      <c r="BH89" s="9"/>
      <c r="BI89" s="9"/>
      <c r="BJ89" s="9"/>
      <c r="BK89" s="9"/>
      <c r="BL89" s="9"/>
      <c r="BM89" s="9"/>
      <c r="BN89" s="9"/>
      <c r="BO89" s="9"/>
      <c r="BP89" s="9"/>
      <c r="BQ89" s="9"/>
      <c r="BR89" s="9"/>
      <c r="BS89" s="9"/>
      <c r="BT89" s="9"/>
      <c r="BU89" s="9"/>
      <c r="BV89" s="9"/>
      <c r="IP89" s="9"/>
      <c r="IQ89" s="9"/>
      <c r="IR89" s="9"/>
      <c r="IS89" s="9"/>
      <c r="IT89" s="9"/>
      <c r="IU89" s="9"/>
      <c r="IV89" s="9"/>
    </row>
    <row r="90" spans="1:256" s="10" customFormat="1" ht="38.25">
      <c r="A90" s="274"/>
      <c r="B90" s="86">
        <v>87</v>
      </c>
      <c r="C90" s="193">
        <v>529055</v>
      </c>
      <c r="D90" s="227">
        <v>44250</v>
      </c>
      <c r="E90" s="1">
        <v>12511</v>
      </c>
      <c r="F90" s="1">
        <v>50184</v>
      </c>
      <c r="G90" s="1">
        <v>2173</v>
      </c>
      <c r="H90" s="1"/>
      <c r="I90" s="1"/>
      <c r="J90" s="1">
        <v>458</v>
      </c>
      <c r="K90" s="1">
        <v>1</v>
      </c>
      <c r="L90" s="204" t="s">
        <v>31</v>
      </c>
      <c r="M90" s="204" t="s">
        <v>549</v>
      </c>
      <c r="N90" s="204" t="s">
        <v>550</v>
      </c>
      <c r="O90" s="204"/>
      <c r="P90" s="204" t="s">
        <v>378</v>
      </c>
      <c r="Q90" s="204" t="s">
        <v>551</v>
      </c>
      <c r="R90" s="204" t="s">
        <v>551</v>
      </c>
      <c r="S90" s="204" t="s">
        <v>552</v>
      </c>
      <c r="T90" s="1"/>
      <c r="U90" s="2">
        <v>1</v>
      </c>
      <c r="V90" s="1"/>
      <c r="W90" s="1"/>
      <c r="X90" s="204" t="s">
        <v>553</v>
      </c>
      <c r="Y90" s="1"/>
      <c r="Z90" s="2"/>
      <c r="AA90" s="3"/>
      <c r="AB90" s="2"/>
      <c r="AC90" s="3"/>
      <c r="AD90" s="2"/>
      <c r="AE90" s="115"/>
      <c r="AF90" s="115"/>
      <c r="AG90" s="115"/>
      <c r="AH90" s="115"/>
      <c r="AI90" s="116"/>
      <c r="AJ90" s="117">
        <f>200+33.77</f>
        <v>233.77</v>
      </c>
      <c r="AK90" s="118">
        <v>4348.13</v>
      </c>
      <c r="AL90" s="118">
        <f>200/AK90</f>
        <v>4.5996784824740747E-2</v>
      </c>
      <c r="AM90" s="118">
        <f>+AJ90/AK90</f>
        <v>5.3763341942398228E-2</v>
      </c>
      <c r="AN90" s="157"/>
      <c r="AO90" s="168">
        <v>1052658.5</v>
      </c>
      <c r="AP90" s="169">
        <v>7401.08</v>
      </c>
      <c r="AQ90" s="193" t="s">
        <v>36</v>
      </c>
      <c r="AR90" s="5" t="s">
        <v>554</v>
      </c>
      <c r="AS90" s="211">
        <v>44371</v>
      </c>
      <c r="AT90" s="211"/>
      <c r="AU90" s="5" t="s">
        <v>555</v>
      </c>
      <c r="AV90" s="8"/>
      <c r="AW90" s="8"/>
      <c r="AX90" s="8"/>
      <c r="AY90" s="8"/>
      <c r="AZ90" s="8"/>
      <c r="BA90" s="8"/>
      <c r="BB90" s="8"/>
      <c r="BC90" s="8"/>
      <c r="BD90" s="8"/>
      <c r="BE90" s="8"/>
      <c r="BF90" s="8"/>
      <c r="BG90" s="9"/>
      <c r="BH90" s="9"/>
      <c r="BI90" s="9"/>
      <c r="BJ90" s="9"/>
      <c r="BK90" s="9"/>
      <c r="BL90" s="9"/>
      <c r="BM90" s="9"/>
      <c r="BN90" s="9"/>
      <c r="BO90" s="9"/>
      <c r="BP90" s="9"/>
      <c r="BQ90" s="9"/>
      <c r="BR90" s="9"/>
      <c r="BS90" s="9"/>
      <c r="BT90" s="9"/>
      <c r="BU90" s="9"/>
      <c r="BV90" s="9"/>
      <c r="IP90" s="9"/>
      <c r="IQ90" s="9"/>
      <c r="IR90" s="9"/>
      <c r="IS90" s="9"/>
      <c r="IT90" s="9"/>
      <c r="IU90" s="9"/>
      <c r="IV90" s="9"/>
    </row>
    <row r="91" spans="1:256" s="10" customFormat="1" ht="63.75">
      <c r="A91" s="274"/>
      <c r="B91" s="86">
        <v>88</v>
      </c>
      <c r="C91" s="193">
        <v>531931</v>
      </c>
      <c r="D91" s="227">
        <v>44362</v>
      </c>
      <c r="E91" s="1">
        <v>24505</v>
      </c>
      <c r="F91" s="1">
        <v>118216</v>
      </c>
      <c r="G91" s="1">
        <v>5648</v>
      </c>
      <c r="H91" s="1"/>
      <c r="I91" s="1"/>
      <c r="J91" s="1">
        <v>23</v>
      </c>
      <c r="K91" s="1">
        <v>10</v>
      </c>
      <c r="L91" s="204" t="s">
        <v>31</v>
      </c>
      <c r="M91" s="204" t="s">
        <v>556</v>
      </c>
      <c r="N91" s="204" t="s">
        <v>557</v>
      </c>
      <c r="O91" s="204"/>
      <c r="P91" s="204" t="s">
        <v>466</v>
      </c>
      <c r="Q91" s="204" t="s">
        <v>466</v>
      </c>
      <c r="R91" s="204" t="s">
        <v>466</v>
      </c>
      <c r="S91" s="204" t="s">
        <v>52</v>
      </c>
      <c r="T91" s="1">
        <v>1</v>
      </c>
      <c r="U91" s="2"/>
      <c r="V91" s="1"/>
      <c r="W91" s="1"/>
      <c r="X91" s="204" t="s">
        <v>67</v>
      </c>
      <c r="Y91" s="1">
        <v>3</v>
      </c>
      <c r="Z91" s="2"/>
      <c r="AA91" s="3">
        <f>+Y91+1</f>
        <v>4</v>
      </c>
      <c r="AB91" s="2"/>
      <c r="AC91" s="3">
        <f>+Y91*2</f>
        <v>6</v>
      </c>
      <c r="AD91" s="2"/>
      <c r="AE91" s="115">
        <f>85.37+23.83/2</f>
        <v>97.284999999999997</v>
      </c>
      <c r="AF91" s="115"/>
      <c r="AG91" s="115"/>
      <c r="AH91" s="115"/>
      <c r="AI91" s="116"/>
      <c r="AJ91" s="117"/>
      <c r="AK91" s="118">
        <v>179.38</v>
      </c>
      <c r="AL91" s="118">
        <f>+(85.37+23.83)/AK91</f>
        <v>0.6087635187869328</v>
      </c>
      <c r="AM91" s="118">
        <f>+AE91/AK91</f>
        <v>0.54234028319768091</v>
      </c>
      <c r="AN91" s="157"/>
      <c r="AO91" s="169">
        <f>+(10*18109+14484*8+10864*2)/20*AK91</f>
        <v>2858330.61</v>
      </c>
      <c r="AP91" s="169">
        <v>2299.34</v>
      </c>
      <c r="AQ91" s="193" t="s">
        <v>36</v>
      </c>
      <c r="AR91" s="5" t="s">
        <v>558</v>
      </c>
      <c r="AS91" s="211">
        <v>44372</v>
      </c>
      <c r="AT91" s="211"/>
      <c r="AU91" s="5" t="s">
        <v>559</v>
      </c>
      <c r="AV91" s="8"/>
      <c r="AW91" s="8"/>
      <c r="AX91" s="8"/>
      <c r="AY91" s="8"/>
      <c r="AZ91" s="8"/>
      <c r="BA91" s="8"/>
      <c r="BB91" s="8"/>
      <c r="BC91" s="8"/>
      <c r="BD91" s="8"/>
      <c r="BE91" s="8"/>
      <c r="BF91" s="8"/>
      <c r="BG91" s="9"/>
      <c r="BH91" s="9"/>
      <c r="BI91" s="9"/>
      <c r="BJ91" s="9"/>
      <c r="BK91" s="9"/>
      <c r="BL91" s="9"/>
      <c r="BM91" s="9"/>
      <c r="BN91" s="9"/>
      <c r="BO91" s="9"/>
      <c r="BP91" s="9"/>
      <c r="BQ91" s="9"/>
      <c r="BR91" s="9"/>
      <c r="BS91" s="9"/>
      <c r="BT91" s="9"/>
      <c r="BU91" s="9"/>
      <c r="BV91" s="9"/>
      <c r="IP91" s="9"/>
      <c r="IQ91" s="9"/>
      <c r="IR91" s="9"/>
      <c r="IS91" s="9"/>
      <c r="IT91" s="9"/>
      <c r="IU91" s="9"/>
      <c r="IV91" s="9"/>
    </row>
    <row r="92" spans="1:256" s="10" customFormat="1" ht="63.75">
      <c r="A92" s="274"/>
      <c r="B92" s="86">
        <v>89</v>
      </c>
      <c r="C92" s="193">
        <v>531749</v>
      </c>
      <c r="D92" s="227">
        <v>44354</v>
      </c>
      <c r="E92" s="1"/>
      <c r="F92" s="1"/>
      <c r="G92" s="1">
        <v>33250</v>
      </c>
      <c r="H92" s="1"/>
      <c r="I92" s="1"/>
      <c r="J92" s="1">
        <v>13</v>
      </c>
      <c r="K92" s="1">
        <v>7</v>
      </c>
      <c r="L92" s="204" t="s">
        <v>560</v>
      </c>
      <c r="M92" s="204" t="s">
        <v>561</v>
      </c>
      <c r="N92" s="204" t="s">
        <v>562</v>
      </c>
      <c r="O92" s="204"/>
      <c r="P92" s="204" t="s">
        <v>563</v>
      </c>
      <c r="Q92" s="204" t="s">
        <v>563</v>
      </c>
      <c r="R92" s="204" t="s">
        <v>563</v>
      </c>
      <c r="S92" s="204" t="s">
        <v>564</v>
      </c>
      <c r="T92" s="1"/>
      <c r="U92" s="2">
        <v>1</v>
      </c>
      <c r="V92" s="1"/>
      <c r="W92" s="1"/>
      <c r="X92" s="204" t="s">
        <v>67</v>
      </c>
      <c r="Y92" s="1"/>
      <c r="Z92" s="2">
        <v>1</v>
      </c>
      <c r="AA92" s="3"/>
      <c r="AB92" s="2">
        <f>+Z92+1</f>
        <v>2</v>
      </c>
      <c r="AC92" s="3"/>
      <c r="AD92" s="2">
        <f>+Z92*2</f>
        <v>2</v>
      </c>
      <c r="AE92" s="115"/>
      <c r="AF92" s="115"/>
      <c r="AG92" s="115"/>
      <c r="AH92" s="115"/>
      <c r="AI92" s="116">
        <f>44.88+30.6/2</f>
        <v>60.180000000000007</v>
      </c>
      <c r="AJ92" s="117"/>
      <c r="AK92" s="118">
        <v>800</v>
      </c>
      <c r="AL92" s="118">
        <f>+(44.88+30.6)/AK92</f>
        <v>9.4350000000000003E-2</v>
      </c>
      <c r="AM92" s="118">
        <f>+AI92/AK92</f>
        <v>7.5225000000000014E-2</v>
      </c>
      <c r="AN92" s="157">
        <f>+(9+24)/(3+6)</f>
        <v>3.6666666666666665</v>
      </c>
      <c r="AO92" s="168">
        <f>+(9*18109+14484*4+10864*5)/18*AI92</f>
        <v>920209.03666666686</v>
      </c>
      <c r="AP92" s="169">
        <v>3215.26</v>
      </c>
      <c r="AQ92" s="193" t="s">
        <v>36</v>
      </c>
      <c r="AR92" s="5" t="s">
        <v>565</v>
      </c>
      <c r="AS92" s="211">
        <v>44372</v>
      </c>
      <c r="AT92" s="211"/>
      <c r="AU92" s="5" t="s">
        <v>566</v>
      </c>
      <c r="AV92" s="8"/>
      <c r="AW92" s="8"/>
      <c r="AX92" s="8"/>
      <c r="AY92" s="8"/>
      <c r="AZ92" s="8"/>
      <c r="BA92" s="8"/>
      <c r="BB92" s="8"/>
      <c r="BC92" s="8"/>
      <c r="BD92" s="8"/>
      <c r="BE92" s="8"/>
      <c r="BF92" s="8"/>
      <c r="BG92" s="9"/>
      <c r="BH92" s="9"/>
      <c r="BI92" s="9"/>
      <c r="BJ92" s="9"/>
      <c r="BK92" s="9"/>
      <c r="BL92" s="9"/>
      <c r="BM92" s="9"/>
      <c r="BN92" s="9"/>
      <c r="BO92" s="9"/>
      <c r="BP92" s="9"/>
      <c r="BQ92" s="9"/>
      <c r="BR92" s="9"/>
      <c r="BS92" s="9"/>
      <c r="BT92" s="9"/>
      <c r="BU92" s="9"/>
      <c r="BV92" s="9"/>
      <c r="IP92" s="9"/>
      <c r="IQ92" s="9"/>
      <c r="IR92" s="9"/>
      <c r="IS92" s="9"/>
      <c r="IT92" s="9"/>
      <c r="IU92" s="9"/>
      <c r="IV92" s="9"/>
    </row>
    <row r="93" spans="1:256" s="10" customFormat="1" ht="89.25">
      <c r="A93" s="274"/>
      <c r="B93" s="86">
        <v>90</v>
      </c>
      <c r="C93" s="193">
        <v>531049</v>
      </c>
      <c r="D93" s="227">
        <v>44321</v>
      </c>
      <c r="E93" s="1">
        <v>19844</v>
      </c>
      <c r="F93" s="1">
        <v>109532</v>
      </c>
      <c r="G93" s="1">
        <v>4936</v>
      </c>
      <c r="H93" s="1"/>
      <c r="I93" s="1"/>
      <c r="J93" s="1">
        <v>561</v>
      </c>
      <c r="K93" s="1">
        <v>27</v>
      </c>
      <c r="L93" s="204" t="s">
        <v>215</v>
      </c>
      <c r="M93" s="204" t="s">
        <v>567</v>
      </c>
      <c r="N93" s="204" t="s">
        <v>568</v>
      </c>
      <c r="O93" s="204" t="s">
        <v>569</v>
      </c>
      <c r="P93" s="204" t="s">
        <v>570</v>
      </c>
      <c r="Q93" s="204"/>
      <c r="R93" s="204"/>
      <c r="S93" s="204"/>
      <c r="T93" s="1">
        <f>2+1</f>
        <v>3</v>
      </c>
      <c r="U93" s="2"/>
      <c r="V93" s="1"/>
      <c r="W93" s="1"/>
      <c r="X93" s="204" t="s">
        <v>220</v>
      </c>
      <c r="Y93" s="1"/>
      <c r="Z93" s="2"/>
      <c r="AA93" s="3"/>
      <c r="AB93" s="2"/>
      <c r="AC93" s="3"/>
      <c r="AD93" s="2"/>
      <c r="AE93" s="115">
        <f>67.5+1.92/2+9/2+58.5</f>
        <v>131.45999999999998</v>
      </c>
      <c r="AF93" s="115"/>
      <c r="AG93" s="115"/>
      <c r="AH93" s="115">
        <f>70.55+67.54</f>
        <v>138.09</v>
      </c>
      <c r="AI93" s="116"/>
      <c r="AJ93" s="117"/>
      <c r="AK93" s="118">
        <v>199.8</v>
      </c>
      <c r="AL93" s="118">
        <f>+(67.5+1.92+70.55)/AK93</f>
        <v>0.70055055055055049</v>
      </c>
      <c r="AM93" s="118">
        <f>+(AE93+AH93)/AK93</f>
        <v>1.3490990990990988</v>
      </c>
      <c r="AN93" s="157"/>
      <c r="AO93" s="168">
        <f>+AH93*14484</f>
        <v>2000095.56</v>
      </c>
      <c r="AP93" s="169">
        <v>30242.67</v>
      </c>
      <c r="AQ93" s="193" t="s">
        <v>36</v>
      </c>
      <c r="AR93" s="5" t="s">
        <v>571</v>
      </c>
      <c r="AS93" s="211">
        <v>44375</v>
      </c>
      <c r="AT93" s="211"/>
      <c r="AU93" s="5" t="s">
        <v>572</v>
      </c>
      <c r="AV93" s="8"/>
      <c r="AW93" s="8"/>
      <c r="AX93" s="8"/>
      <c r="AY93" s="8"/>
      <c r="AZ93" s="8"/>
      <c r="BA93" s="8"/>
      <c r="BB93" s="8"/>
      <c r="BC93" s="8"/>
      <c r="BD93" s="8"/>
      <c r="BE93" s="8"/>
      <c r="BF93" s="8"/>
      <c r="BG93" s="9"/>
      <c r="BH93" s="9"/>
      <c r="BI93" s="9"/>
      <c r="BJ93" s="9"/>
      <c r="BK93" s="9"/>
      <c r="BL93" s="9"/>
      <c r="BM93" s="9"/>
      <c r="BN93" s="9"/>
      <c r="BO93" s="9"/>
      <c r="BP93" s="9"/>
      <c r="BQ93" s="9"/>
      <c r="BR93" s="9"/>
      <c r="BS93" s="9"/>
      <c r="BT93" s="9"/>
      <c r="BU93" s="9"/>
      <c r="BV93" s="9"/>
      <c r="IP93" s="9"/>
      <c r="IQ93" s="9"/>
      <c r="IR93" s="9"/>
      <c r="IS93" s="9"/>
      <c r="IT93" s="9"/>
      <c r="IU93" s="9"/>
      <c r="IV93" s="9"/>
    </row>
    <row r="94" spans="1:256" s="10" customFormat="1" ht="63.75">
      <c r="A94" s="274"/>
      <c r="B94" s="86">
        <v>91</v>
      </c>
      <c r="C94" s="193">
        <v>531643</v>
      </c>
      <c r="D94" s="227">
        <v>44349</v>
      </c>
      <c r="E94" s="1">
        <v>50664</v>
      </c>
      <c r="F94" s="1">
        <v>138607</v>
      </c>
      <c r="G94" s="1">
        <v>20464</v>
      </c>
      <c r="H94" s="1">
        <v>16</v>
      </c>
      <c r="I94" s="1"/>
      <c r="J94" s="1">
        <v>290</v>
      </c>
      <c r="K94" s="1">
        <v>1</v>
      </c>
      <c r="L94" s="204" t="s">
        <v>215</v>
      </c>
      <c r="M94" s="204" t="s">
        <v>573</v>
      </c>
      <c r="N94" s="204" t="s">
        <v>574</v>
      </c>
      <c r="O94" s="204"/>
      <c r="P94" s="204" t="s">
        <v>563</v>
      </c>
      <c r="Q94" s="204" t="s">
        <v>563</v>
      </c>
      <c r="R94" s="204" t="s">
        <v>563</v>
      </c>
      <c r="S94" s="204" t="s">
        <v>575</v>
      </c>
      <c r="T94" s="1"/>
      <c r="U94" s="2">
        <v>1</v>
      </c>
      <c r="V94" s="1"/>
      <c r="W94" s="1"/>
      <c r="X94" s="204" t="s">
        <v>576</v>
      </c>
      <c r="Y94" s="1"/>
      <c r="Z94" s="2"/>
      <c r="AA94" s="3"/>
      <c r="AB94" s="2"/>
      <c r="AC94" s="3"/>
      <c r="AD94" s="2"/>
      <c r="AE94" s="115"/>
      <c r="AF94" s="115"/>
      <c r="AG94" s="115"/>
      <c r="AH94" s="115"/>
      <c r="AI94" s="116"/>
      <c r="AJ94" s="117">
        <v>192</v>
      </c>
      <c r="AK94" s="118">
        <v>708.53</v>
      </c>
      <c r="AL94" s="118">
        <f>+AJ94/AK94</f>
        <v>0.27098358573384335</v>
      </c>
      <c r="AM94" s="118">
        <f>+AJ94/AK94</f>
        <v>0.27098358573384335</v>
      </c>
      <c r="AN94" s="157"/>
      <c r="AO94" s="168">
        <f>28.5*23043+161.4*23043</f>
        <v>4375865.7</v>
      </c>
      <c r="AP94" s="169">
        <v>23477.81</v>
      </c>
      <c r="AQ94" s="193" t="s">
        <v>36</v>
      </c>
      <c r="AR94" s="5" t="s">
        <v>577</v>
      </c>
      <c r="AS94" s="211">
        <v>44375</v>
      </c>
      <c r="AT94" s="211"/>
      <c r="AU94" s="5" t="s">
        <v>578</v>
      </c>
      <c r="AV94" s="8"/>
      <c r="AW94" s="8"/>
      <c r="AX94" s="8"/>
      <c r="AY94" s="8"/>
      <c r="AZ94" s="8"/>
      <c r="BA94" s="8"/>
      <c r="BB94" s="8"/>
      <c r="BC94" s="8"/>
      <c r="BD94" s="8"/>
      <c r="BE94" s="8"/>
      <c r="BF94" s="8"/>
      <c r="BG94" s="9"/>
      <c r="BH94" s="9"/>
      <c r="BI94" s="9"/>
      <c r="BJ94" s="9"/>
      <c r="BK94" s="9"/>
      <c r="BL94" s="9"/>
      <c r="BM94" s="9"/>
      <c r="BN94" s="9"/>
      <c r="BO94" s="9"/>
      <c r="BP94" s="9"/>
      <c r="BQ94" s="9"/>
      <c r="BR94" s="9"/>
      <c r="BS94" s="9"/>
      <c r="BT94" s="9"/>
      <c r="BU94" s="9"/>
      <c r="BV94" s="9"/>
      <c r="IP94" s="9"/>
      <c r="IQ94" s="9"/>
      <c r="IR94" s="9"/>
      <c r="IS94" s="9"/>
      <c r="IT94" s="9"/>
      <c r="IU94" s="9"/>
      <c r="IV94" s="9"/>
    </row>
    <row r="95" spans="1:256" s="10" customFormat="1" ht="51">
      <c r="A95" s="274"/>
      <c r="B95" s="86">
        <v>92</v>
      </c>
      <c r="C95" s="193">
        <v>531098</v>
      </c>
      <c r="D95" s="227">
        <v>44323</v>
      </c>
      <c r="E95" s="1">
        <v>11062</v>
      </c>
      <c r="F95" s="1">
        <v>60187</v>
      </c>
      <c r="G95" s="1">
        <v>30829</v>
      </c>
      <c r="H95" s="1">
        <v>272</v>
      </c>
      <c r="I95" s="1"/>
      <c r="J95" s="1"/>
      <c r="K95" s="1">
        <v>3</v>
      </c>
      <c r="L95" s="204" t="s">
        <v>137</v>
      </c>
      <c r="M95" s="204" t="s">
        <v>579</v>
      </c>
      <c r="N95" s="204" t="s">
        <v>580</v>
      </c>
      <c r="O95" s="204"/>
      <c r="P95" s="204" t="s">
        <v>581</v>
      </c>
      <c r="Q95" s="204" t="s">
        <v>581</v>
      </c>
      <c r="R95" s="204" t="s">
        <v>581</v>
      </c>
      <c r="S95" s="204" t="s">
        <v>575</v>
      </c>
      <c r="T95" s="1"/>
      <c r="U95" s="2">
        <v>1</v>
      </c>
      <c r="V95" s="1"/>
      <c r="W95" s="1"/>
      <c r="X95" s="204" t="s">
        <v>67</v>
      </c>
      <c r="Y95" s="1"/>
      <c r="Z95" s="2">
        <v>2</v>
      </c>
      <c r="AA95" s="3"/>
      <c r="AB95" s="2">
        <f>+Z95+1</f>
        <v>3</v>
      </c>
      <c r="AC95" s="3"/>
      <c r="AD95" s="2">
        <f>+Z95*2</f>
        <v>4</v>
      </c>
      <c r="AE95" s="115"/>
      <c r="AF95" s="115"/>
      <c r="AG95" s="115"/>
      <c r="AH95" s="115"/>
      <c r="AI95" s="116">
        <f>114.08+54.57/2</f>
        <v>141.36500000000001</v>
      </c>
      <c r="AJ95" s="117"/>
      <c r="AK95" s="118">
        <v>800.13</v>
      </c>
      <c r="AL95" s="118">
        <f>+(114.08+54.57)/AK95</f>
        <v>0.21077824853461313</v>
      </c>
      <c r="AM95" s="118">
        <f>+AI95/AK95</f>
        <v>0.17667753989976631</v>
      </c>
      <c r="AN95" s="157">
        <f>+(24+4)/(8+1)</f>
        <v>3.1111111111111112</v>
      </c>
      <c r="AO95" s="168">
        <f>+(7*18109+14484*4+5*10864+4*7243)/20*AI95</f>
        <v>1894227.3857500001</v>
      </c>
      <c r="AP95" s="169">
        <v>8344.17</v>
      </c>
      <c r="AQ95" s="193" t="s">
        <v>36</v>
      </c>
      <c r="AR95" s="5" t="s">
        <v>582</v>
      </c>
      <c r="AS95" s="211">
        <v>44376</v>
      </c>
      <c r="AT95" s="211"/>
      <c r="AU95" s="5" t="s">
        <v>583</v>
      </c>
      <c r="AV95" s="8"/>
      <c r="AW95" s="8"/>
      <c r="AX95" s="8"/>
      <c r="AY95" s="8"/>
      <c r="AZ95" s="8"/>
      <c r="BA95" s="8"/>
      <c r="BB95" s="8"/>
      <c r="BC95" s="8"/>
      <c r="BD95" s="8"/>
      <c r="BE95" s="8"/>
      <c r="BF95" s="8"/>
      <c r="BG95" s="9"/>
      <c r="BH95" s="9"/>
      <c r="BI95" s="9"/>
      <c r="BJ95" s="9"/>
      <c r="BK95" s="9"/>
      <c r="BL95" s="9"/>
      <c r="BM95" s="9"/>
      <c r="BN95" s="9"/>
      <c r="BO95" s="9"/>
      <c r="BP95" s="9"/>
      <c r="BQ95" s="9"/>
      <c r="BR95" s="9"/>
      <c r="BS95" s="9"/>
      <c r="BT95" s="9"/>
      <c r="BU95" s="9"/>
      <c r="BV95" s="9"/>
      <c r="IP95" s="9"/>
      <c r="IQ95" s="9"/>
      <c r="IR95" s="9"/>
      <c r="IS95" s="9"/>
      <c r="IT95" s="9"/>
      <c r="IU95" s="9"/>
      <c r="IV95" s="9"/>
    </row>
    <row r="96" spans="1:256" s="10" customFormat="1" ht="63.75">
      <c r="A96" s="274"/>
      <c r="B96" s="92">
        <v>93</v>
      </c>
      <c r="C96" s="193">
        <v>524906</v>
      </c>
      <c r="D96" s="227">
        <v>44125</v>
      </c>
      <c r="E96" s="1">
        <v>22644</v>
      </c>
      <c r="F96" s="1">
        <v>115527</v>
      </c>
      <c r="G96" s="1">
        <v>1842</v>
      </c>
      <c r="H96" s="1"/>
      <c r="I96" s="1"/>
      <c r="J96" s="1">
        <v>188</v>
      </c>
      <c r="K96" s="1">
        <v>12</v>
      </c>
      <c r="L96" s="204"/>
      <c r="M96" s="204" t="s">
        <v>584</v>
      </c>
      <c r="N96" s="204"/>
      <c r="O96" s="204" t="s">
        <v>585</v>
      </c>
      <c r="P96" s="204" t="s">
        <v>406</v>
      </c>
      <c r="Q96" s="204"/>
      <c r="R96" s="204"/>
      <c r="S96" s="204"/>
      <c r="T96" s="1"/>
      <c r="U96" s="2">
        <v>1</v>
      </c>
      <c r="V96" s="1">
        <v>24</v>
      </c>
      <c r="W96" s="1"/>
      <c r="X96" s="204" t="s">
        <v>586</v>
      </c>
      <c r="Y96" s="1">
        <f>+(1+1+2+2+2)*4</f>
        <v>32</v>
      </c>
      <c r="Z96" s="2"/>
      <c r="AA96" s="3">
        <f>+Y96+V96</f>
        <v>56</v>
      </c>
      <c r="AB96" s="2"/>
      <c r="AC96" s="3">
        <f>+Y96*2</f>
        <v>64</v>
      </c>
      <c r="AD96" s="2"/>
      <c r="AE96" s="115">
        <v>1821.8</v>
      </c>
      <c r="AF96" s="115"/>
      <c r="AG96" s="115">
        <f>(1657.12+417.5/2)-AE96</f>
        <v>44.069999999999936</v>
      </c>
      <c r="AH96" s="115"/>
      <c r="AI96" s="116"/>
      <c r="AJ96" s="117"/>
      <c r="AK96" s="118">
        <v>734.99</v>
      </c>
      <c r="AL96" s="118">
        <v>0.59</v>
      </c>
      <c r="AM96" s="118">
        <v>2.31</v>
      </c>
      <c r="AN96" s="157"/>
      <c r="AO96" s="168">
        <f>+((5*18109+6*14484+10864*4+5*7243)/20*435.35)+((5*18109+14484*6+9*10864)/20*1309)</f>
        <v>23610335.850000001</v>
      </c>
      <c r="AP96" s="169">
        <v>11584.35</v>
      </c>
      <c r="AQ96" s="193" t="s">
        <v>36</v>
      </c>
      <c r="AR96" s="5" t="s">
        <v>587</v>
      </c>
      <c r="AS96" s="211">
        <v>44376</v>
      </c>
      <c r="AT96" s="211"/>
      <c r="AU96" s="5" t="s">
        <v>588</v>
      </c>
      <c r="AV96" s="8"/>
      <c r="AW96" s="8"/>
      <c r="AX96" s="8"/>
      <c r="AY96" s="8"/>
      <c r="AZ96" s="8"/>
      <c r="BA96" s="8"/>
      <c r="BB96" s="8"/>
      <c r="BC96" s="8"/>
      <c r="BD96" s="8"/>
      <c r="BE96" s="8"/>
      <c r="BF96" s="8"/>
      <c r="BG96" s="9"/>
      <c r="BH96" s="9"/>
      <c r="BI96" s="9"/>
      <c r="BJ96" s="9"/>
      <c r="BK96" s="9"/>
      <c r="BL96" s="9"/>
      <c r="BM96" s="9"/>
      <c r="BN96" s="9"/>
      <c r="BO96" s="9"/>
      <c r="BP96" s="9"/>
      <c r="BQ96" s="9"/>
      <c r="BR96" s="9"/>
      <c r="BS96" s="9"/>
      <c r="BT96" s="9"/>
      <c r="BU96" s="9"/>
      <c r="BV96" s="9"/>
      <c r="IP96" s="9"/>
      <c r="IQ96" s="9"/>
      <c r="IR96" s="9"/>
      <c r="IS96" s="9"/>
      <c r="IT96" s="9"/>
      <c r="IU96" s="9"/>
      <c r="IV96" s="9"/>
    </row>
    <row r="97" spans="1:256" s="10" customFormat="1" ht="114.75">
      <c r="A97" s="274"/>
      <c r="B97" s="262">
        <v>94</v>
      </c>
      <c r="C97" s="193">
        <v>531255</v>
      </c>
      <c r="D97" s="227">
        <v>44328</v>
      </c>
      <c r="E97" s="1">
        <v>55388</v>
      </c>
      <c r="F97" s="1">
        <v>1446</v>
      </c>
      <c r="G97" s="1">
        <v>4678</v>
      </c>
      <c r="H97" s="1"/>
      <c r="I97" s="1"/>
      <c r="J97" s="1">
        <v>47</v>
      </c>
      <c r="K97" s="1">
        <v>19</v>
      </c>
      <c r="L97" s="204" t="s">
        <v>31</v>
      </c>
      <c r="M97" s="204" t="s">
        <v>589</v>
      </c>
      <c r="N97" s="204" t="s">
        <v>590</v>
      </c>
      <c r="O97" s="204"/>
      <c r="P97" s="204" t="s">
        <v>400</v>
      </c>
      <c r="Q97" s="204"/>
      <c r="R97" s="204"/>
      <c r="S97" s="204"/>
      <c r="T97" s="1">
        <f>1+1+1</f>
        <v>3</v>
      </c>
      <c r="U97" s="2"/>
      <c r="V97" s="1"/>
      <c r="W97" s="1"/>
      <c r="X97" s="204" t="s">
        <v>53</v>
      </c>
      <c r="Y97" s="1">
        <f>2+1</f>
        <v>3</v>
      </c>
      <c r="Z97" s="2"/>
      <c r="AA97" s="3">
        <f>+Y97+1+1+1+1</f>
        <v>7</v>
      </c>
      <c r="AB97" s="2"/>
      <c r="AC97" s="3">
        <f>+Y97*2</f>
        <v>6</v>
      </c>
      <c r="AD97" s="2"/>
      <c r="AE97" s="115">
        <f>101+9.75/2+33+48.28+(4.1*13.5)/2</f>
        <v>214.82999999999998</v>
      </c>
      <c r="AF97" s="115">
        <f>96.15/2+59.71/2+2+129/2-(4.1*13.5/2)</f>
        <v>116.75500000000001</v>
      </c>
      <c r="AG97" s="115"/>
      <c r="AH97" s="115">
        <v>97.53</v>
      </c>
      <c r="AI97" s="116"/>
      <c r="AJ97" s="117"/>
      <c r="AK97" s="118">
        <v>2116.2199999999998</v>
      </c>
      <c r="AL97" s="118">
        <f>+(96.15+2+59.71+97.53+129+33+48.28+101+9.75)/AK97</f>
        <v>0.27238188846150213</v>
      </c>
      <c r="AM97" s="118">
        <f>+(96.15/2+59.71/2+97.53+2+129/2+101+33+48.28+9.75/2)/AK97</f>
        <v>0.20277428622732988</v>
      </c>
      <c r="AN97" s="157"/>
      <c r="AO97" s="168">
        <f>+AH97*14484</f>
        <v>1412624.52</v>
      </c>
      <c r="AP97" s="169">
        <v>4960</v>
      </c>
      <c r="AQ97" s="193" t="s">
        <v>36</v>
      </c>
      <c r="AR97" s="5" t="s">
        <v>591</v>
      </c>
      <c r="AS97" s="211">
        <v>44382</v>
      </c>
      <c r="AT97" s="211"/>
      <c r="AU97" s="5" t="s">
        <v>592</v>
      </c>
      <c r="AV97" s="8"/>
      <c r="AW97" s="8"/>
      <c r="AX97" s="8"/>
      <c r="AY97" s="8"/>
      <c r="AZ97" s="8"/>
      <c r="BA97" s="8"/>
      <c r="BB97" s="8"/>
      <c r="BC97" s="8"/>
      <c r="BD97" s="8"/>
      <c r="BE97" s="8"/>
      <c r="BF97" s="8"/>
      <c r="BG97" s="9"/>
      <c r="BH97" s="9"/>
      <c r="BI97" s="9"/>
      <c r="BJ97" s="9"/>
      <c r="BK97" s="9"/>
      <c r="BL97" s="9"/>
      <c r="BM97" s="9"/>
      <c r="BN97" s="9"/>
      <c r="BO97" s="9"/>
      <c r="BP97" s="9"/>
      <c r="BQ97" s="9"/>
      <c r="BR97" s="9"/>
      <c r="BS97" s="9"/>
      <c r="BT97" s="9"/>
      <c r="BU97" s="9"/>
      <c r="BV97" s="9"/>
      <c r="IP97" s="9"/>
      <c r="IQ97" s="9"/>
      <c r="IR97" s="9"/>
      <c r="IS97" s="9"/>
      <c r="IT97" s="9"/>
      <c r="IU97" s="9"/>
      <c r="IV97" s="9"/>
    </row>
    <row r="98" spans="1:256" s="10" customFormat="1" ht="38.25">
      <c r="A98" s="272"/>
      <c r="B98" s="86">
        <v>95</v>
      </c>
      <c r="C98" s="250" t="s">
        <v>593</v>
      </c>
      <c r="D98" s="241">
        <v>44322</v>
      </c>
      <c r="E98" s="1">
        <v>9338</v>
      </c>
      <c r="F98" s="1">
        <v>50304</v>
      </c>
      <c r="G98" s="1">
        <v>2196</v>
      </c>
      <c r="H98" s="1"/>
      <c r="I98" s="1"/>
      <c r="J98" s="1">
        <v>322</v>
      </c>
      <c r="K98" s="1">
        <v>3</v>
      </c>
      <c r="L98" s="204" t="s">
        <v>31</v>
      </c>
      <c r="M98" s="204" t="s">
        <v>594</v>
      </c>
      <c r="N98" s="204" t="s">
        <v>595</v>
      </c>
      <c r="O98" s="204" t="s">
        <v>596</v>
      </c>
      <c r="P98" s="204" t="s">
        <v>597</v>
      </c>
      <c r="Q98" s="204" t="s">
        <v>597</v>
      </c>
      <c r="R98" s="204" t="s">
        <v>597</v>
      </c>
      <c r="S98" s="204" t="s">
        <v>270</v>
      </c>
      <c r="T98" s="1"/>
      <c r="U98" s="1">
        <v>2</v>
      </c>
      <c r="V98" s="1"/>
      <c r="W98" s="1"/>
      <c r="X98" s="204" t="s">
        <v>44</v>
      </c>
      <c r="Y98" s="1"/>
      <c r="Z98" s="1">
        <f>2+2</f>
        <v>4</v>
      </c>
      <c r="AA98" s="1"/>
      <c r="AB98" s="1">
        <f>+Z98+1+1</f>
        <v>6</v>
      </c>
      <c r="AC98" s="1"/>
      <c r="AD98" s="1">
        <f>+Z98*2</f>
        <v>8</v>
      </c>
      <c r="AE98" s="115"/>
      <c r="AF98" s="115"/>
      <c r="AG98" s="115"/>
      <c r="AH98" s="115"/>
      <c r="AI98" s="115">
        <f>164.18+14.3/2</f>
        <v>171.33</v>
      </c>
      <c r="AJ98" s="118"/>
      <c r="AK98" s="118">
        <v>1305.71</v>
      </c>
      <c r="AL98" s="118">
        <f>+(82.09+14.3)/AK98</f>
        <v>7.3821905323540452E-2</v>
      </c>
      <c r="AM98" s="118">
        <f>+AI98/AK98</f>
        <v>0.13121596679201356</v>
      </c>
      <c r="AN98" s="157">
        <f>+(15+8)/(5+2)</f>
        <v>3.2857142857142856</v>
      </c>
      <c r="AO98" s="168">
        <f>+(18109*2+13*14484+7*10864+7243)/23*AI98</f>
        <v>2292849.7969565219</v>
      </c>
      <c r="AP98" s="182">
        <v>9143</v>
      </c>
      <c r="AQ98" s="193" t="s">
        <v>107</v>
      </c>
      <c r="AR98" s="5" t="s">
        <v>598</v>
      </c>
      <c r="AS98" s="211">
        <v>44384</v>
      </c>
      <c r="AT98" s="211"/>
      <c r="AU98" s="28" t="s">
        <v>599</v>
      </c>
      <c r="AV98" s="8"/>
      <c r="AW98" s="8"/>
      <c r="AX98" s="8"/>
      <c r="AY98" s="8"/>
      <c r="AZ98" s="8"/>
      <c r="BA98" s="8"/>
      <c r="BB98" s="8"/>
      <c r="BC98" s="8"/>
      <c r="BD98" s="8"/>
      <c r="BE98" s="8"/>
      <c r="BF98" s="8"/>
      <c r="BG98" s="9"/>
      <c r="BH98" s="9"/>
      <c r="BI98" s="9"/>
      <c r="BJ98" s="9"/>
      <c r="BK98" s="9"/>
      <c r="BL98" s="9"/>
      <c r="BM98" s="9"/>
      <c r="BN98" s="9"/>
      <c r="BO98" s="9"/>
      <c r="BP98" s="9"/>
      <c r="BQ98" s="9"/>
      <c r="BR98" s="9"/>
      <c r="BS98" s="9"/>
      <c r="BT98" s="9"/>
      <c r="BU98" s="9"/>
      <c r="BV98" s="9"/>
      <c r="IP98" s="9"/>
      <c r="IQ98" s="9"/>
      <c r="IR98" s="9"/>
      <c r="IS98" s="9"/>
      <c r="IT98" s="9"/>
      <c r="IU98" s="9"/>
      <c r="IV98" s="9"/>
    </row>
    <row r="99" spans="1:256" s="10" customFormat="1" ht="63.75">
      <c r="A99" s="274"/>
      <c r="B99" s="86">
        <v>96</v>
      </c>
      <c r="C99" s="193">
        <v>531644</v>
      </c>
      <c r="D99" s="227">
        <v>44349</v>
      </c>
      <c r="E99" s="1">
        <v>7134</v>
      </c>
      <c r="F99" s="1">
        <v>50899</v>
      </c>
      <c r="G99" s="1">
        <v>2821</v>
      </c>
      <c r="H99" s="1"/>
      <c r="I99" s="1"/>
      <c r="J99" s="1">
        <v>427</v>
      </c>
      <c r="K99" s="1">
        <v>15</v>
      </c>
      <c r="L99" s="204" t="s">
        <v>215</v>
      </c>
      <c r="M99" s="204" t="s">
        <v>600</v>
      </c>
      <c r="N99" s="204" t="s">
        <v>601</v>
      </c>
      <c r="O99" s="204"/>
      <c r="P99" s="204" t="s">
        <v>563</v>
      </c>
      <c r="Q99" s="204" t="s">
        <v>563</v>
      </c>
      <c r="R99" s="204" t="s">
        <v>563</v>
      </c>
      <c r="S99" s="204" t="s">
        <v>98</v>
      </c>
      <c r="T99" s="1"/>
      <c r="U99" s="2">
        <v>3</v>
      </c>
      <c r="V99" s="1"/>
      <c r="W99" s="1"/>
      <c r="X99" s="204" t="s">
        <v>602</v>
      </c>
      <c r="Y99" s="1"/>
      <c r="Z99" s="2"/>
      <c r="AA99" s="3"/>
      <c r="AB99" s="2"/>
      <c r="AC99" s="3"/>
      <c r="AD99" s="2"/>
      <c r="AE99" s="115"/>
      <c r="AF99" s="115"/>
      <c r="AG99" s="115"/>
      <c r="AH99" s="115"/>
      <c r="AI99" s="116"/>
      <c r="AJ99" s="117">
        <f>116.25+19.16/2</f>
        <v>125.83</v>
      </c>
      <c r="AK99" s="118">
        <v>383.9</v>
      </c>
      <c r="AL99" s="118">
        <f>+(116.25+19.16)/AK99</f>
        <v>0.35272206303724929</v>
      </c>
      <c r="AM99" s="118">
        <f>+AJ99/AK99</f>
        <v>0.32776764782495443</v>
      </c>
      <c r="AN99" s="157"/>
      <c r="AO99" s="168">
        <f>+AJ99*14484</f>
        <v>1822521.72</v>
      </c>
      <c r="AP99" s="169">
        <v>28482.36</v>
      </c>
      <c r="AQ99" s="193" t="s">
        <v>36</v>
      </c>
      <c r="AR99" s="5" t="s">
        <v>603</v>
      </c>
      <c r="AS99" s="211">
        <v>44384</v>
      </c>
      <c r="AT99" s="211"/>
      <c r="AU99" s="5" t="s">
        <v>604</v>
      </c>
      <c r="AV99" s="8"/>
      <c r="AW99" s="8"/>
      <c r="AX99" s="8"/>
      <c r="AY99" s="8"/>
      <c r="AZ99" s="8"/>
      <c r="BA99" s="8"/>
      <c r="BB99" s="8"/>
      <c r="BC99" s="8"/>
      <c r="BD99" s="8"/>
      <c r="BE99" s="8"/>
      <c r="BF99" s="8"/>
      <c r="BG99" s="9"/>
      <c r="BH99" s="9"/>
      <c r="BI99" s="9"/>
      <c r="BJ99" s="9"/>
      <c r="BK99" s="9"/>
      <c r="BL99" s="9"/>
      <c r="BM99" s="9"/>
      <c r="BN99" s="9"/>
      <c r="BO99" s="9"/>
      <c r="BP99" s="9"/>
      <c r="BQ99" s="9"/>
      <c r="BR99" s="9"/>
      <c r="BS99" s="9"/>
      <c r="BT99" s="9"/>
      <c r="BU99" s="9"/>
      <c r="BV99" s="9"/>
      <c r="IP99" s="9"/>
      <c r="IQ99" s="9"/>
      <c r="IR99" s="9"/>
      <c r="IS99" s="9"/>
      <c r="IT99" s="9"/>
      <c r="IU99" s="9"/>
      <c r="IV99" s="9"/>
    </row>
    <row r="100" spans="1:256" s="10" customFormat="1" ht="127.5">
      <c r="A100" s="274"/>
      <c r="B100" s="85">
        <v>97</v>
      </c>
      <c r="C100" s="250" t="s">
        <v>605</v>
      </c>
      <c r="D100" s="242">
        <v>44238</v>
      </c>
      <c r="E100" s="1">
        <v>53582</v>
      </c>
      <c r="F100" s="1">
        <v>163018</v>
      </c>
      <c r="G100" s="1">
        <v>33315</v>
      </c>
      <c r="H100" s="1">
        <v>341</v>
      </c>
      <c r="I100" s="1"/>
      <c r="J100" s="1">
        <v>1</v>
      </c>
      <c r="K100" s="1">
        <v>3</v>
      </c>
      <c r="L100" s="204" t="s">
        <v>137</v>
      </c>
      <c r="M100" s="204" t="s">
        <v>606</v>
      </c>
      <c r="N100" s="204" t="s">
        <v>607</v>
      </c>
      <c r="O100" s="204"/>
      <c r="P100" s="204" t="s">
        <v>231</v>
      </c>
      <c r="Q100" s="204"/>
      <c r="R100" s="204"/>
      <c r="S100" s="204"/>
      <c r="T100" s="1">
        <v>4</v>
      </c>
      <c r="U100" s="1"/>
      <c r="V100" s="1">
        <v>1</v>
      </c>
      <c r="W100" s="1"/>
      <c r="X100" s="204" t="s">
        <v>44</v>
      </c>
      <c r="Y100" s="1">
        <f>4+2</f>
        <v>6</v>
      </c>
      <c r="Z100" s="1"/>
      <c r="AA100" s="1">
        <f>+Y100+4+2</f>
        <v>12</v>
      </c>
      <c r="AB100" s="1"/>
      <c r="AC100" s="1">
        <f>+Y100*2</f>
        <v>12</v>
      </c>
      <c r="AD100" s="1"/>
      <c r="AE100" s="115">
        <f>106.04+26/2+77.5+26/2+7/2+7/2</f>
        <v>216.54000000000002</v>
      </c>
      <c r="AF100" s="115"/>
      <c r="AG100" s="115">
        <f>50.5+36.04</f>
        <v>86.539999999999992</v>
      </c>
      <c r="AH100" s="115"/>
      <c r="AI100" s="115"/>
      <c r="AJ100" s="118"/>
      <c r="AK100" s="118">
        <v>800.32</v>
      </c>
      <c r="AL100" s="118">
        <f>+(106.04+26+50.5+7)/AK100</f>
        <v>0.23683026789284287</v>
      </c>
      <c r="AM100" s="118">
        <f>+(AE100+AG100)/AK100</f>
        <v>0.37869852059176334</v>
      </c>
      <c r="AN100" s="157"/>
      <c r="AO100" s="168">
        <f>+(2*14484+13*10864+5*7243)/20*AG100</f>
        <v>893157.70499999996</v>
      </c>
      <c r="AP100" s="182">
        <v>14550.16</v>
      </c>
      <c r="AQ100" s="193" t="s">
        <v>73</v>
      </c>
      <c r="AR100" s="5" t="s">
        <v>608</v>
      </c>
      <c r="AS100" s="211">
        <v>44390</v>
      </c>
      <c r="AT100" s="211"/>
      <c r="AU100" s="28"/>
      <c r="AV100" s="8"/>
      <c r="AW100" s="8"/>
      <c r="AX100" s="8"/>
      <c r="AY100" s="8"/>
      <c r="AZ100" s="8"/>
      <c r="BA100" s="8"/>
      <c r="BB100" s="8"/>
      <c r="BC100" s="8"/>
      <c r="BD100" s="8"/>
      <c r="BE100" s="8"/>
      <c r="BF100" s="8"/>
      <c r="BG100" s="9"/>
      <c r="BH100" s="9"/>
      <c r="BI100" s="9"/>
      <c r="BJ100" s="9"/>
      <c r="BK100" s="9"/>
      <c r="BL100" s="9"/>
      <c r="BM100" s="9"/>
      <c r="BN100" s="9"/>
      <c r="BO100" s="9"/>
      <c r="BP100" s="9"/>
      <c r="BQ100" s="9"/>
      <c r="BR100" s="9"/>
      <c r="BS100" s="9"/>
      <c r="BT100" s="9"/>
      <c r="BU100" s="9"/>
      <c r="BV100" s="9"/>
      <c r="IP100" s="9"/>
      <c r="IQ100" s="9"/>
      <c r="IR100" s="9"/>
      <c r="IS100" s="9"/>
      <c r="IT100" s="9"/>
      <c r="IU100" s="9"/>
      <c r="IV100" s="9"/>
    </row>
    <row r="101" spans="1:256" s="10" customFormat="1" ht="89.25">
      <c r="A101" s="274"/>
      <c r="B101" s="86">
        <v>98</v>
      </c>
      <c r="C101" s="193">
        <v>530085</v>
      </c>
      <c r="D101" s="227">
        <v>44284</v>
      </c>
      <c r="E101" s="1">
        <v>48450</v>
      </c>
      <c r="F101" s="1">
        <v>158896</v>
      </c>
      <c r="G101" s="1">
        <v>32502</v>
      </c>
      <c r="H101" s="1">
        <v>331</v>
      </c>
      <c r="I101" s="1"/>
      <c r="J101" s="1">
        <v>5</v>
      </c>
      <c r="K101" s="1">
        <v>3</v>
      </c>
      <c r="L101" s="204" t="s">
        <v>137</v>
      </c>
      <c r="M101" s="204" t="s">
        <v>609</v>
      </c>
      <c r="N101" s="204" t="s">
        <v>610</v>
      </c>
      <c r="O101" s="204"/>
      <c r="P101" s="204" t="s">
        <v>413</v>
      </c>
      <c r="Q101" s="204" t="s">
        <v>413</v>
      </c>
      <c r="R101" s="204" t="s">
        <v>413</v>
      </c>
      <c r="S101" s="204" t="s">
        <v>611</v>
      </c>
      <c r="T101" s="1"/>
      <c r="U101" s="2">
        <v>4</v>
      </c>
      <c r="V101" s="1"/>
      <c r="W101" s="1"/>
      <c r="X101" s="204" t="s">
        <v>44</v>
      </c>
      <c r="Y101" s="1"/>
      <c r="Z101" s="2">
        <f>1*4</f>
        <v>4</v>
      </c>
      <c r="AA101" s="3"/>
      <c r="AB101" s="2">
        <f>+Z101+4</f>
        <v>8</v>
      </c>
      <c r="AC101" s="3"/>
      <c r="AD101" s="2">
        <f>+Z101*2</f>
        <v>8</v>
      </c>
      <c r="AE101" s="115"/>
      <c r="AF101" s="115"/>
      <c r="AG101" s="115">
        <f>36/2+9.71</f>
        <v>27.71</v>
      </c>
      <c r="AH101" s="115"/>
      <c r="AI101" s="116">
        <f>121.22+12.04/2+78.74</f>
        <v>205.98</v>
      </c>
      <c r="AJ101" s="117"/>
      <c r="AK101" s="118">
        <v>1324.14</v>
      </c>
      <c r="AL101" s="118">
        <f>+(121.22+12.04+36+9.71)/AK101</f>
        <v>0.1351594242300663</v>
      </c>
      <c r="AM101" s="118">
        <f>+(AG101+AI101)/AK101</f>
        <v>0.17648435965985468</v>
      </c>
      <c r="AN101" s="157"/>
      <c r="AO101" s="168">
        <f>+(1*18109+14484*4+10864*8+8*7243)/21*AI101</f>
        <v>2166723.2371428572</v>
      </c>
      <c r="AP101" s="169">
        <v>9416.7900000000009</v>
      </c>
      <c r="AQ101" s="193" t="s">
        <v>36</v>
      </c>
      <c r="AR101" s="5" t="s">
        <v>612</v>
      </c>
      <c r="AS101" s="211">
        <v>44390</v>
      </c>
      <c r="AT101" s="211"/>
      <c r="AU101" s="5" t="s">
        <v>613</v>
      </c>
      <c r="AV101" s="8"/>
      <c r="AW101" s="8"/>
      <c r="AX101" s="8"/>
      <c r="AY101" s="8"/>
      <c r="AZ101" s="8"/>
      <c r="BA101" s="8"/>
      <c r="BB101" s="8"/>
      <c r="BC101" s="8"/>
      <c r="BD101" s="8"/>
      <c r="BE101" s="8"/>
      <c r="BF101" s="8"/>
      <c r="BG101" s="9"/>
      <c r="BH101" s="9"/>
      <c r="BI101" s="9"/>
      <c r="BJ101" s="9"/>
      <c r="BK101" s="9"/>
      <c r="BL101" s="9"/>
      <c r="BM101" s="9"/>
      <c r="BN101" s="9"/>
      <c r="BO101" s="9"/>
      <c r="BP101" s="9"/>
      <c r="BQ101" s="9"/>
      <c r="BR101" s="9"/>
      <c r="BS101" s="9"/>
      <c r="BT101" s="9"/>
      <c r="BU101" s="9"/>
      <c r="BV101" s="9"/>
      <c r="IP101" s="9"/>
      <c r="IQ101" s="9"/>
      <c r="IR101" s="9"/>
      <c r="IS101" s="9"/>
      <c r="IT101" s="9"/>
      <c r="IU101" s="9"/>
      <c r="IV101" s="9"/>
    </row>
    <row r="102" spans="1:256" s="10" customFormat="1" ht="63.75">
      <c r="A102" s="274" t="s">
        <v>614</v>
      </c>
      <c r="B102" s="92">
        <v>99</v>
      </c>
      <c r="C102" s="193">
        <v>532038</v>
      </c>
      <c r="D102" s="227">
        <v>44365</v>
      </c>
      <c r="E102" s="1">
        <v>5797</v>
      </c>
      <c r="F102" s="1">
        <v>2307</v>
      </c>
      <c r="G102" s="1">
        <v>2238</v>
      </c>
      <c r="H102" s="1"/>
      <c r="I102" s="1"/>
      <c r="J102" s="1">
        <v>112</v>
      </c>
      <c r="K102" s="1">
        <v>8</v>
      </c>
      <c r="L102" s="204" t="s">
        <v>48</v>
      </c>
      <c r="M102" s="204" t="s">
        <v>615</v>
      </c>
      <c r="N102" s="204" t="s">
        <v>616</v>
      </c>
      <c r="O102" s="204"/>
      <c r="P102" s="204" t="s">
        <v>617</v>
      </c>
      <c r="Q102" s="204"/>
      <c r="R102" s="204"/>
      <c r="S102" s="204"/>
      <c r="T102" s="1"/>
      <c r="U102" s="2"/>
      <c r="V102" s="1">
        <v>1</v>
      </c>
      <c r="W102" s="1"/>
      <c r="X102" s="204" t="s">
        <v>67</v>
      </c>
      <c r="Y102" s="1">
        <f>1+1</f>
        <v>2</v>
      </c>
      <c r="Z102" s="2"/>
      <c r="AA102" s="3">
        <f>+Y102+1+1</f>
        <v>4</v>
      </c>
      <c r="AB102" s="2"/>
      <c r="AC102" s="3">
        <f>+Y102*2</f>
        <v>4</v>
      </c>
      <c r="AD102" s="2"/>
      <c r="AE102" s="115">
        <v>51.4</v>
      </c>
      <c r="AF102" s="115"/>
      <c r="AG102" s="115">
        <f>47.84+30.8/2</f>
        <v>63.24</v>
      </c>
      <c r="AH102" s="115"/>
      <c r="AI102" s="116"/>
      <c r="AJ102" s="117"/>
      <c r="AK102" s="118">
        <v>183</v>
      </c>
      <c r="AL102" s="118">
        <f>+(51.4+47.84+30.8)/AK102</f>
        <v>0.71060109289617501</v>
      </c>
      <c r="AM102" s="118">
        <f>+(AE102+AG102)/AK102</f>
        <v>0.626448087431694</v>
      </c>
      <c r="AN102" s="157"/>
      <c r="AO102" s="168">
        <f>+(9*14484+8*10864+3*7243)/20*AG102</f>
        <v>755708.51400000008</v>
      </c>
      <c r="AP102" s="169">
        <v>11153.63</v>
      </c>
      <c r="AQ102" s="193" t="s">
        <v>36</v>
      </c>
      <c r="AR102" s="5" t="s">
        <v>618</v>
      </c>
      <c r="AS102" s="211">
        <v>44390</v>
      </c>
      <c r="AT102" s="211"/>
      <c r="AU102" s="5" t="s">
        <v>619</v>
      </c>
      <c r="AV102" s="8"/>
      <c r="AW102" s="8"/>
      <c r="AX102" s="8"/>
      <c r="AY102" s="8"/>
      <c r="AZ102" s="8"/>
      <c r="BA102" s="8"/>
      <c r="BB102" s="8"/>
      <c r="BC102" s="8"/>
      <c r="BD102" s="8"/>
      <c r="BE102" s="8"/>
      <c r="BF102" s="8"/>
      <c r="BG102" s="9"/>
      <c r="BH102" s="9"/>
      <c r="BI102" s="9"/>
      <c r="BJ102" s="9"/>
      <c r="BK102" s="9"/>
      <c r="BL102" s="9"/>
      <c r="BM102" s="9"/>
      <c r="BN102" s="9"/>
      <c r="BO102" s="9"/>
      <c r="BP102" s="9"/>
      <c r="BQ102" s="9"/>
      <c r="BR102" s="9"/>
      <c r="BS102" s="9"/>
      <c r="BT102" s="9"/>
      <c r="BU102" s="9"/>
      <c r="BV102" s="9"/>
      <c r="IP102" s="9"/>
      <c r="IQ102" s="9"/>
      <c r="IR102" s="9"/>
      <c r="IS102" s="9"/>
      <c r="IT102" s="9"/>
      <c r="IU102" s="9"/>
      <c r="IV102" s="9"/>
    </row>
    <row r="103" spans="1:256" s="10" customFormat="1" ht="51">
      <c r="A103" s="274"/>
      <c r="B103" s="90">
        <v>100</v>
      </c>
      <c r="C103" s="193">
        <v>530571</v>
      </c>
      <c r="D103" s="227">
        <v>44307</v>
      </c>
      <c r="E103" s="106">
        <v>59787</v>
      </c>
      <c r="F103" s="106">
        <v>128038</v>
      </c>
      <c r="G103" s="1">
        <v>33850</v>
      </c>
      <c r="H103" s="1">
        <v>3</v>
      </c>
      <c r="I103" s="1"/>
      <c r="J103" s="1">
        <v>2</v>
      </c>
      <c r="K103" s="1">
        <v>1</v>
      </c>
      <c r="L103" s="204" t="s">
        <v>286</v>
      </c>
      <c r="M103" s="204" t="s">
        <v>475</v>
      </c>
      <c r="N103" s="204" t="s">
        <v>620</v>
      </c>
      <c r="O103" s="204" t="s">
        <v>621</v>
      </c>
      <c r="P103" s="204" t="s">
        <v>413</v>
      </c>
      <c r="Q103" s="204" t="s">
        <v>413</v>
      </c>
      <c r="R103" s="204" t="s">
        <v>413</v>
      </c>
      <c r="S103" s="204" t="s">
        <v>622</v>
      </c>
      <c r="T103" s="1"/>
      <c r="U103" s="2">
        <v>1</v>
      </c>
      <c r="V103" s="1"/>
      <c r="W103" s="1"/>
      <c r="X103" s="204" t="s">
        <v>67</v>
      </c>
      <c r="Y103" s="1"/>
      <c r="Z103" s="2">
        <v>1</v>
      </c>
      <c r="AA103" s="3"/>
      <c r="AB103" s="2">
        <v>3</v>
      </c>
      <c r="AC103" s="3"/>
      <c r="AD103" s="2">
        <f>+Z103*2</f>
        <v>2</v>
      </c>
      <c r="AE103" s="115"/>
      <c r="AF103" s="115"/>
      <c r="AG103" s="115"/>
      <c r="AH103" s="115"/>
      <c r="AI103" s="116">
        <f>+(191.58+27.58/2)</f>
        <v>205.37</v>
      </c>
      <c r="AJ103" s="117"/>
      <c r="AK103" s="118">
        <v>877.05</v>
      </c>
      <c r="AL103" s="118">
        <f>+(191.98+27.55)/AK103</f>
        <v>0.25030499971495357</v>
      </c>
      <c r="AM103" s="118">
        <f>+AI103/AK103</f>
        <v>0.23415996807479622</v>
      </c>
      <c r="AN103" s="157"/>
      <c r="AO103" s="168">
        <v>940000</v>
      </c>
      <c r="AP103" s="169">
        <v>62361.42</v>
      </c>
      <c r="AQ103" s="193" t="s">
        <v>36</v>
      </c>
      <c r="AR103" s="5" t="s">
        <v>623</v>
      </c>
      <c r="AS103" s="211">
        <v>44396</v>
      </c>
      <c r="AT103" s="211"/>
      <c r="AU103" s="5" t="s">
        <v>624</v>
      </c>
      <c r="AV103" s="8"/>
      <c r="AW103" s="8"/>
      <c r="AX103" s="8"/>
      <c r="AY103" s="8"/>
      <c r="AZ103" s="8"/>
      <c r="BA103" s="8"/>
      <c r="BB103" s="8"/>
      <c r="BC103" s="8"/>
      <c r="BD103" s="8"/>
      <c r="BE103" s="8"/>
      <c r="BF103" s="8"/>
      <c r="BG103" s="9"/>
      <c r="BH103" s="9"/>
      <c r="BI103" s="9"/>
      <c r="BJ103" s="9"/>
      <c r="BK103" s="9"/>
      <c r="BL103" s="9"/>
      <c r="BM103" s="9"/>
      <c r="BN103" s="9"/>
      <c r="BO103" s="9"/>
      <c r="BP103" s="9"/>
      <c r="BQ103" s="9"/>
      <c r="BR103" s="9"/>
      <c r="BS103" s="9"/>
      <c r="BT103" s="9"/>
      <c r="BU103" s="9"/>
      <c r="BV103" s="9"/>
      <c r="IP103" s="9"/>
      <c r="IQ103" s="9"/>
      <c r="IR103" s="9"/>
      <c r="IS103" s="9"/>
      <c r="IT103" s="9"/>
      <c r="IU103" s="9"/>
      <c r="IV103" s="9"/>
    </row>
    <row r="104" spans="1:256" s="47" customFormat="1" ht="38.25">
      <c r="A104" s="276"/>
      <c r="B104" s="93">
        <v>101</v>
      </c>
      <c r="C104" s="198" t="s">
        <v>625</v>
      </c>
      <c r="D104" s="243">
        <v>44109</v>
      </c>
      <c r="E104" s="40"/>
      <c r="F104" s="40"/>
      <c r="G104" s="40">
        <v>20931</v>
      </c>
      <c r="H104" s="40"/>
      <c r="I104" s="40"/>
      <c r="J104" s="40">
        <v>311</v>
      </c>
      <c r="K104" s="40">
        <v>12</v>
      </c>
      <c r="L104" s="208" t="s">
        <v>39</v>
      </c>
      <c r="M104" s="208" t="s">
        <v>626</v>
      </c>
      <c r="N104" s="208" t="s">
        <v>627</v>
      </c>
      <c r="O104" s="208"/>
      <c r="P104" s="208" t="s">
        <v>628</v>
      </c>
      <c r="Q104" s="208" t="s">
        <v>530</v>
      </c>
      <c r="R104" s="208" t="s">
        <v>628</v>
      </c>
      <c r="S104" s="208" t="s">
        <v>629</v>
      </c>
      <c r="T104" s="40"/>
      <c r="U104" s="41">
        <v>1</v>
      </c>
      <c r="V104" s="40"/>
      <c r="W104" s="40"/>
      <c r="X104" s="208" t="s">
        <v>114</v>
      </c>
      <c r="Y104" s="40"/>
      <c r="Z104" s="41"/>
      <c r="AA104" s="42"/>
      <c r="AB104" s="41"/>
      <c r="AC104" s="42"/>
      <c r="AD104" s="41"/>
      <c r="AE104" s="135"/>
      <c r="AF104" s="135"/>
      <c r="AG104" s="135"/>
      <c r="AH104" s="135"/>
      <c r="AI104" s="136"/>
      <c r="AJ104" s="137">
        <v>173.6</v>
      </c>
      <c r="AK104" s="138">
        <v>323.85000000000002</v>
      </c>
      <c r="AL104" s="138">
        <f>+AJ104/AK104</f>
        <v>0.53605064072873243</v>
      </c>
      <c r="AM104" s="138">
        <f>+AJ104/AK104</f>
        <v>0.53605064072873243</v>
      </c>
      <c r="AN104" s="164"/>
      <c r="AO104" s="183">
        <f>+AJ104*14484</f>
        <v>2514422.4</v>
      </c>
      <c r="AP104" s="184">
        <v>30824.959999999999</v>
      </c>
      <c r="AQ104" s="198" t="s">
        <v>630</v>
      </c>
      <c r="AR104" s="43" t="s">
        <v>631</v>
      </c>
      <c r="AS104" s="221">
        <v>44407</v>
      </c>
      <c r="AT104" s="221"/>
      <c r="AU104" s="44" t="s">
        <v>632</v>
      </c>
      <c r="AV104" s="45"/>
      <c r="AW104" s="45"/>
      <c r="AX104" s="45"/>
      <c r="AY104" s="45"/>
      <c r="AZ104" s="45"/>
      <c r="BA104" s="45"/>
      <c r="BB104" s="45"/>
      <c r="BC104" s="45"/>
      <c r="BD104" s="45"/>
      <c r="BE104" s="45"/>
      <c r="BF104" s="45"/>
      <c r="BG104" s="46"/>
      <c r="BH104" s="46"/>
      <c r="BI104" s="46"/>
      <c r="BJ104" s="46"/>
      <c r="BK104" s="46"/>
      <c r="BL104" s="46"/>
      <c r="BM104" s="46"/>
      <c r="BN104" s="46"/>
      <c r="BO104" s="46"/>
      <c r="BP104" s="46"/>
      <c r="BQ104" s="46"/>
      <c r="BR104" s="46"/>
      <c r="BS104" s="46"/>
      <c r="BT104" s="46"/>
      <c r="BU104" s="46"/>
      <c r="BV104" s="46"/>
      <c r="IP104" s="46"/>
      <c r="IQ104" s="46"/>
      <c r="IR104" s="46"/>
      <c r="IS104" s="46"/>
      <c r="IT104" s="46"/>
      <c r="IU104" s="46"/>
      <c r="IV104" s="46"/>
    </row>
    <row r="105" spans="1:256" s="10" customFormat="1" ht="76.5">
      <c r="A105" s="274"/>
      <c r="B105" s="86">
        <v>102</v>
      </c>
      <c r="C105" s="193">
        <v>528587</v>
      </c>
      <c r="D105" s="227">
        <v>44235</v>
      </c>
      <c r="E105" s="1">
        <v>15193</v>
      </c>
      <c r="F105" s="1">
        <v>106050</v>
      </c>
      <c r="G105" s="1">
        <v>1216</v>
      </c>
      <c r="H105" s="1"/>
      <c r="I105" s="1"/>
      <c r="J105" s="1">
        <v>138</v>
      </c>
      <c r="K105" s="1">
        <v>15</v>
      </c>
      <c r="L105" s="204" t="s">
        <v>48</v>
      </c>
      <c r="M105" s="204" t="s">
        <v>633</v>
      </c>
      <c r="N105" s="204" t="s">
        <v>634</v>
      </c>
      <c r="O105" s="204"/>
      <c r="P105" s="204" t="s">
        <v>97</v>
      </c>
      <c r="Q105" s="204"/>
      <c r="R105" s="204"/>
      <c r="S105" s="204"/>
      <c r="T105" s="1">
        <f>3+1</f>
        <v>4</v>
      </c>
      <c r="U105" s="2"/>
      <c r="V105" s="1"/>
      <c r="W105" s="1"/>
      <c r="X105" s="204" t="s">
        <v>271</v>
      </c>
      <c r="Y105" s="1"/>
      <c r="Z105" s="2"/>
      <c r="AA105" s="3"/>
      <c r="AB105" s="2"/>
      <c r="AC105" s="3"/>
      <c r="AD105" s="2"/>
      <c r="AE105" s="115">
        <f>52.92+52.92</f>
        <v>105.84</v>
      </c>
      <c r="AF105" s="115"/>
      <c r="AG105" s="115">
        <f>35.92/2+35.92</f>
        <v>53.88</v>
      </c>
      <c r="AH105" s="115"/>
      <c r="AI105" s="116"/>
      <c r="AJ105" s="117"/>
      <c r="AK105" s="118">
        <v>250</v>
      </c>
      <c r="AL105" s="118">
        <f>+(35.82+52.92)/AK105</f>
        <v>0.35496000000000005</v>
      </c>
      <c r="AM105" s="118">
        <f>+(AE105+AG105)/AK105</f>
        <v>0.63888</v>
      </c>
      <c r="AN105" s="157">
        <f>+(2+12+16+5)/(1+4+4+1)</f>
        <v>3.5</v>
      </c>
      <c r="AO105" s="168"/>
      <c r="AP105" s="169">
        <v>13340.83</v>
      </c>
      <c r="AQ105" s="193" t="s">
        <v>36</v>
      </c>
      <c r="AR105" s="5" t="s">
        <v>635</v>
      </c>
      <c r="AS105" s="211">
        <v>44399</v>
      </c>
      <c r="AT105" s="211"/>
      <c r="AU105" s="5" t="s">
        <v>636</v>
      </c>
      <c r="AV105" s="8"/>
      <c r="AW105" s="8"/>
      <c r="AX105" s="8"/>
      <c r="AY105" s="8"/>
      <c r="AZ105" s="8"/>
      <c r="BA105" s="8"/>
      <c r="BB105" s="8"/>
      <c r="BC105" s="8"/>
      <c r="BD105" s="8"/>
      <c r="BE105" s="8"/>
      <c r="BF105" s="8"/>
      <c r="BG105" s="9"/>
      <c r="BH105" s="9"/>
      <c r="BI105" s="9"/>
      <c r="BJ105" s="9"/>
      <c r="BK105" s="9"/>
      <c r="BL105" s="9"/>
      <c r="BM105" s="9"/>
      <c r="BN105" s="9"/>
      <c r="BO105" s="9"/>
      <c r="BP105" s="9"/>
      <c r="BQ105" s="9"/>
      <c r="BR105" s="9"/>
      <c r="BS105" s="9"/>
      <c r="BT105" s="9"/>
      <c r="BU105" s="9"/>
      <c r="BV105" s="9"/>
      <c r="IP105" s="9"/>
      <c r="IQ105" s="9"/>
      <c r="IR105" s="9"/>
      <c r="IS105" s="9"/>
      <c r="IT105" s="9"/>
      <c r="IU105" s="9"/>
      <c r="IV105" s="9"/>
    </row>
    <row r="106" spans="1:256" s="10" customFormat="1" ht="89.25">
      <c r="A106" s="274"/>
      <c r="B106" s="86">
        <v>103</v>
      </c>
      <c r="C106" s="193" t="s">
        <v>637</v>
      </c>
      <c r="D106" s="227">
        <v>44306</v>
      </c>
      <c r="E106" s="1">
        <v>40678</v>
      </c>
      <c r="F106" s="1">
        <v>138346</v>
      </c>
      <c r="G106" s="1">
        <v>31712</v>
      </c>
      <c r="H106" s="1">
        <v>3</v>
      </c>
      <c r="I106" s="1"/>
      <c r="J106" s="1">
        <v>1</v>
      </c>
      <c r="K106" s="1">
        <v>11</v>
      </c>
      <c r="L106" s="204" t="s">
        <v>286</v>
      </c>
      <c r="M106" s="204" t="s">
        <v>475</v>
      </c>
      <c r="N106" s="204" t="s">
        <v>638</v>
      </c>
      <c r="O106" s="204"/>
      <c r="P106" s="204" t="s">
        <v>460</v>
      </c>
      <c r="Q106" s="204" t="s">
        <v>460</v>
      </c>
      <c r="R106" s="204" t="s">
        <v>460</v>
      </c>
      <c r="S106" s="204" t="s">
        <v>461</v>
      </c>
      <c r="T106" s="1"/>
      <c r="U106" s="2">
        <v>1</v>
      </c>
      <c r="V106" s="1"/>
      <c r="W106" s="1"/>
      <c r="X106" s="204" t="s">
        <v>67</v>
      </c>
      <c r="Y106" s="1"/>
      <c r="Z106" s="2">
        <f>1+2+1</f>
        <v>4</v>
      </c>
      <c r="AA106" s="3"/>
      <c r="AB106" s="2">
        <f>+Z106+1</f>
        <v>5</v>
      </c>
      <c r="AC106" s="3"/>
      <c r="AD106" s="2">
        <f>+Z106*2</f>
        <v>8</v>
      </c>
      <c r="AE106" s="115"/>
      <c r="AF106" s="115"/>
      <c r="AG106" s="115"/>
      <c r="AH106" s="115"/>
      <c r="AI106" s="116">
        <f>41.42/2+133.41+56.17/2+103.56</f>
        <v>285.76499999999999</v>
      </c>
      <c r="AJ106" s="117"/>
      <c r="AK106" s="118">
        <v>1195.2</v>
      </c>
      <c r="AL106" s="118">
        <f>+(41.42+133.41+56.17)/AK106</f>
        <v>0.1932730923694779</v>
      </c>
      <c r="AM106" s="118">
        <f>+AI106/AK106</f>
        <v>0.239093875502008</v>
      </c>
      <c r="AN106" s="157"/>
      <c r="AO106" s="168"/>
      <c r="AP106" s="169">
        <v>15465.81</v>
      </c>
      <c r="AQ106" s="193" t="s">
        <v>36</v>
      </c>
      <c r="AR106" s="5" t="s">
        <v>639</v>
      </c>
      <c r="AS106" s="211">
        <v>44399</v>
      </c>
      <c r="AT106" s="211"/>
      <c r="AU106" s="5" t="s">
        <v>640</v>
      </c>
      <c r="AV106" s="8"/>
      <c r="AW106" s="8"/>
      <c r="AX106" s="8"/>
      <c r="AY106" s="8"/>
      <c r="AZ106" s="8"/>
      <c r="BA106" s="8"/>
      <c r="BB106" s="8"/>
      <c r="BC106" s="8"/>
      <c r="BD106" s="8"/>
      <c r="BE106" s="8"/>
      <c r="BF106" s="8"/>
      <c r="BG106" s="9"/>
      <c r="BH106" s="9"/>
      <c r="BI106" s="9"/>
      <c r="BJ106" s="9"/>
      <c r="BK106" s="9"/>
      <c r="BL106" s="9"/>
      <c r="BM106" s="9"/>
      <c r="BN106" s="9"/>
      <c r="BO106" s="9"/>
      <c r="BP106" s="9"/>
      <c r="BQ106" s="9"/>
      <c r="BR106" s="9"/>
      <c r="BS106" s="9"/>
      <c r="BT106" s="9"/>
      <c r="BU106" s="9"/>
      <c r="BV106" s="9"/>
      <c r="IP106" s="9"/>
      <c r="IQ106" s="9"/>
      <c r="IR106" s="9"/>
      <c r="IS106" s="9"/>
      <c r="IT106" s="9"/>
      <c r="IU106" s="9"/>
      <c r="IV106" s="9"/>
    </row>
    <row r="107" spans="1:256" s="10" customFormat="1" ht="38.25">
      <c r="A107" s="274"/>
      <c r="B107" s="86">
        <v>104</v>
      </c>
      <c r="C107" s="193">
        <v>531629</v>
      </c>
      <c r="D107" s="227">
        <v>44349</v>
      </c>
      <c r="E107" s="1">
        <v>6438</v>
      </c>
      <c r="F107" s="1">
        <v>116800</v>
      </c>
      <c r="G107" s="1">
        <v>1609</v>
      </c>
      <c r="H107" s="1"/>
      <c r="I107" s="1"/>
      <c r="J107" s="1">
        <v>153</v>
      </c>
      <c r="K107" s="1">
        <v>2</v>
      </c>
      <c r="L107" s="204"/>
      <c r="M107" s="204" t="s">
        <v>641</v>
      </c>
      <c r="N107" s="204" t="s">
        <v>642</v>
      </c>
      <c r="O107" s="204"/>
      <c r="P107" s="204" t="s">
        <v>546</v>
      </c>
      <c r="Q107" s="204" t="s">
        <v>546</v>
      </c>
      <c r="R107" s="204" t="s">
        <v>546</v>
      </c>
      <c r="S107" s="204" t="s">
        <v>52</v>
      </c>
      <c r="T107" s="1"/>
      <c r="U107" s="2">
        <v>6</v>
      </c>
      <c r="V107" s="1"/>
      <c r="W107" s="1"/>
      <c r="X107" s="204" t="s">
        <v>643</v>
      </c>
      <c r="Y107" s="1"/>
      <c r="Z107" s="2">
        <v>6</v>
      </c>
      <c r="AA107" s="3"/>
      <c r="AB107" s="2">
        <f>+Z107</f>
        <v>6</v>
      </c>
      <c r="AC107" s="3"/>
      <c r="AD107" s="2">
        <f>+Z107*2</f>
        <v>12</v>
      </c>
      <c r="AE107" s="115">
        <f>88.76+8.97+67.6+253.75+25.08/2+131.92/2+325.95+49.36/2+17.29+105.62/2+168.29+14.68/2+65.82+59.21+78.61+46.4/2+137.93</f>
        <v>1458.7099999999998</v>
      </c>
      <c r="AF107" s="115"/>
      <c r="AG107" s="115"/>
      <c r="AH107" s="115"/>
      <c r="AI107" s="116">
        <f>46.8/2+168.22</f>
        <v>191.62</v>
      </c>
      <c r="AJ107" s="117"/>
      <c r="AK107" s="118">
        <v>3203.13</v>
      </c>
      <c r="AL107" s="118">
        <f>+(253.75+20.08+67.6+8.97+88.76+131.92+325.95+49.36+17.29+105.62+168.29+65.62+14.68)/AK107</f>
        <v>0.41143818702331786</v>
      </c>
      <c r="AM107" s="118">
        <f>+(AE107+AI107)/AK107</f>
        <v>0.51522417135739096</v>
      </c>
      <c r="AN107" s="157"/>
      <c r="AO107" s="168"/>
      <c r="AP107" s="169">
        <v>11900.94</v>
      </c>
      <c r="AQ107" s="193" t="s">
        <v>36</v>
      </c>
      <c r="AR107" s="5" t="s">
        <v>644</v>
      </c>
      <c r="AS107" s="211">
        <v>44399</v>
      </c>
      <c r="AT107" s="211"/>
      <c r="AU107" s="5" t="s">
        <v>645</v>
      </c>
      <c r="AV107" s="8"/>
      <c r="AW107" s="8"/>
      <c r="AX107" s="8"/>
      <c r="AY107" s="8"/>
      <c r="AZ107" s="8"/>
      <c r="BA107" s="8"/>
      <c r="BB107" s="8"/>
      <c r="BC107" s="8"/>
      <c r="BD107" s="8"/>
      <c r="BE107" s="8"/>
      <c r="BF107" s="8"/>
      <c r="BG107" s="9"/>
      <c r="BH107" s="9"/>
      <c r="BI107" s="9"/>
      <c r="BJ107" s="9"/>
      <c r="BK107" s="9"/>
      <c r="BL107" s="9"/>
      <c r="BM107" s="9"/>
      <c r="BN107" s="9"/>
      <c r="BO107" s="9"/>
      <c r="BP107" s="9"/>
      <c r="BQ107" s="9"/>
      <c r="BR107" s="9"/>
      <c r="BS107" s="9"/>
      <c r="BT107" s="9"/>
      <c r="BU107" s="9"/>
      <c r="BV107" s="9"/>
      <c r="IP107" s="9"/>
      <c r="IQ107" s="9"/>
      <c r="IR107" s="9"/>
      <c r="IS107" s="9"/>
      <c r="IT107" s="9"/>
      <c r="IU107" s="9"/>
      <c r="IV107" s="9"/>
    </row>
    <row r="108" spans="1:256" s="10" customFormat="1" ht="63.75">
      <c r="A108" s="272"/>
      <c r="B108" s="86">
        <v>105</v>
      </c>
      <c r="C108" s="193" t="s">
        <v>646</v>
      </c>
      <c r="D108" s="227">
        <v>44235</v>
      </c>
      <c r="E108" s="1">
        <v>58131</v>
      </c>
      <c r="F108" s="1">
        <v>166566</v>
      </c>
      <c r="G108" s="1">
        <v>33788</v>
      </c>
      <c r="H108" s="1">
        <v>354</v>
      </c>
      <c r="I108" s="1"/>
      <c r="J108" s="1">
        <v>4</v>
      </c>
      <c r="K108" s="1">
        <v>9</v>
      </c>
      <c r="L108" s="204" t="s">
        <v>137</v>
      </c>
      <c r="M108" s="204" t="s">
        <v>647</v>
      </c>
      <c r="N108" s="204" t="s">
        <v>648</v>
      </c>
      <c r="O108" s="204"/>
      <c r="P108" s="204" t="s">
        <v>530</v>
      </c>
      <c r="Q108" s="204"/>
      <c r="R108" s="204"/>
      <c r="S108" s="204"/>
      <c r="T108" s="1">
        <v>1</v>
      </c>
      <c r="U108" s="2"/>
      <c r="V108" s="1"/>
      <c r="W108" s="1"/>
      <c r="X108" s="204" t="s">
        <v>67</v>
      </c>
      <c r="Y108" s="1">
        <v>1</v>
      </c>
      <c r="Z108" s="2"/>
      <c r="AA108" s="3">
        <f>+Y108+1</f>
        <v>2</v>
      </c>
      <c r="AB108" s="2"/>
      <c r="AC108" s="3">
        <f>+Y108*2</f>
        <v>2</v>
      </c>
      <c r="AD108" s="2"/>
      <c r="AE108" s="115"/>
      <c r="AF108" s="115"/>
      <c r="AG108" s="115">
        <f>73.8+78.75/2</f>
        <v>113.175</v>
      </c>
      <c r="AH108" s="115"/>
      <c r="AI108" s="116"/>
      <c r="AJ108" s="117"/>
      <c r="AK108" s="118">
        <v>738</v>
      </c>
      <c r="AL108" s="118">
        <f>+(73.8+78.75)/AK108</f>
        <v>0.20670731707317075</v>
      </c>
      <c r="AM108" s="118">
        <f>+AG108/AK108</f>
        <v>0.15335365853658536</v>
      </c>
      <c r="AN108" s="157"/>
      <c r="AO108" s="168">
        <f>+(5*18109+14484*5+6*10864+6*7243)/22*AG108</f>
        <v>1397232.8284090909</v>
      </c>
      <c r="AP108" s="169">
        <v>21710.31</v>
      </c>
      <c r="AQ108" s="193" t="s">
        <v>45</v>
      </c>
      <c r="AR108" s="5" t="s">
        <v>649</v>
      </c>
      <c r="AS108" s="211">
        <v>44400</v>
      </c>
      <c r="AT108" s="211"/>
      <c r="AU108" s="5" t="s">
        <v>650</v>
      </c>
      <c r="AV108" s="8"/>
      <c r="AW108" s="8"/>
      <c r="AX108" s="8"/>
      <c r="AY108" s="8"/>
      <c r="AZ108" s="8"/>
      <c r="BA108" s="8"/>
      <c r="BB108" s="8"/>
      <c r="BC108" s="8"/>
      <c r="BD108" s="8"/>
      <c r="BE108" s="8"/>
      <c r="BF108" s="8"/>
      <c r="BG108" s="9"/>
      <c r="BH108" s="9"/>
      <c r="BI108" s="9"/>
      <c r="BJ108" s="9"/>
      <c r="BK108" s="9"/>
      <c r="BL108" s="9"/>
      <c r="BM108" s="9"/>
      <c r="BN108" s="9"/>
      <c r="BO108" s="9"/>
      <c r="BP108" s="9"/>
      <c r="BQ108" s="9"/>
      <c r="BR108" s="9"/>
      <c r="BS108" s="9"/>
      <c r="BT108" s="9"/>
      <c r="BU108" s="9"/>
      <c r="BV108" s="9"/>
      <c r="IP108" s="9"/>
      <c r="IQ108" s="9"/>
      <c r="IR108" s="9"/>
      <c r="IS108" s="9"/>
      <c r="IT108" s="9"/>
      <c r="IU108" s="9"/>
      <c r="IV108" s="9"/>
    </row>
    <row r="109" spans="1:256" s="10" customFormat="1" ht="76.5">
      <c r="A109" s="274"/>
      <c r="B109" s="86">
        <v>106</v>
      </c>
      <c r="C109" s="193" t="s">
        <v>651</v>
      </c>
      <c r="D109" s="227">
        <v>44292</v>
      </c>
      <c r="E109" s="1">
        <v>57221</v>
      </c>
      <c r="F109" s="1">
        <v>165766</v>
      </c>
      <c r="G109" s="1">
        <v>33706</v>
      </c>
      <c r="H109" s="1">
        <v>292</v>
      </c>
      <c r="I109" s="1"/>
      <c r="J109" s="1"/>
      <c r="K109" s="1">
        <v>25</v>
      </c>
      <c r="L109" s="204" t="s">
        <v>440</v>
      </c>
      <c r="M109" s="204" t="s">
        <v>652</v>
      </c>
      <c r="N109" s="204" t="s">
        <v>653</v>
      </c>
      <c r="O109" s="204"/>
      <c r="P109" s="204" t="s">
        <v>654</v>
      </c>
      <c r="Q109" s="204" t="s">
        <v>654</v>
      </c>
      <c r="R109" s="204" t="s">
        <v>654</v>
      </c>
      <c r="S109" s="204" t="s">
        <v>655</v>
      </c>
      <c r="T109" s="1"/>
      <c r="U109" s="2">
        <v>1</v>
      </c>
      <c r="V109" s="1"/>
      <c r="W109" s="1"/>
      <c r="X109" s="204" t="s">
        <v>67</v>
      </c>
      <c r="Y109" s="1"/>
      <c r="Z109" s="2">
        <v>3</v>
      </c>
      <c r="AA109" s="3"/>
      <c r="AB109" s="2">
        <f>+Z109+1</f>
        <v>4</v>
      </c>
      <c r="AC109" s="3"/>
      <c r="AD109" s="2">
        <f>+Z109*2</f>
        <v>6</v>
      </c>
      <c r="AE109" s="115"/>
      <c r="AF109" s="115"/>
      <c r="AG109" s="115"/>
      <c r="AH109" s="115"/>
      <c r="AI109" s="116">
        <f>109.7+62.7/2+66.1+21.03/2</f>
        <v>217.66500000000002</v>
      </c>
      <c r="AJ109" s="117"/>
      <c r="AK109" s="118">
        <v>485</v>
      </c>
      <c r="AL109" s="118">
        <f>+(109.7+62.7)/AK109</f>
        <v>0.35546391752577322</v>
      </c>
      <c r="AM109" s="118">
        <f>+AI109/AK109</f>
        <v>0.44879381443298971</v>
      </c>
      <c r="AN109" s="157">
        <f>+(2+24+12)/(1+8+2)</f>
        <v>3.4545454545454546</v>
      </c>
      <c r="AO109" s="168">
        <f>+(7*18109+6*14484+7*10864*7+2*7243)/22*AI109</f>
        <v>7524174.4629545454</v>
      </c>
      <c r="AP109" s="169">
        <v>12952.31</v>
      </c>
      <c r="AQ109" s="193" t="s">
        <v>36</v>
      </c>
      <c r="AR109" s="5" t="s">
        <v>656</v>
      </c>
      <c r="AS109" s="211">
        <v>44403</v>
      </c>
      <c r="AT109" s="211"/>
      <c r="AU109" s="5" t="s">
        <v>583</v>
      </c>
      <c r="AV109" s="8"/>
      <c r="AW109" s="8"/>
      <c r="AX109" s="8"/>
      <c r="AY109" s="8"/>
      <c r="AZ109" s="8"/>
      <c r="BA109" s="8"/>
      <c r="BB109" s="8"/>
      <c r="BC109" s="8"/>
      <c r="BD109" s="8"/>
      <c r="BE109" s="8"/>
      <c r="BF109" s="8"/>
      <c r="BG109" s="9"/>
      <c r="BH109" s="9"/>
      <c r="BI109" s="9"/>
      <c r="BJ109" s="9"/>
      <c r="BK109" s="9"/>
      <c r="BL109" s="9"/>
      <c r="BM109" s="9"/>
      <c r="BN109" s="9"/>
      <c r="BO109" s="9"/>
      <c r="BP109" s="9"/>
      <c r="BQ109" s="9"/>
      <c r="BR109" s="9"/>
      <c r="BS109" s="9"/>
      <c r="BT109" s="9"/>
      <c r="BU109" s="9"/>
      <c r="BV109" s="9"/>
      <c r="IP109" s="9"/>
      <c r="IQ109" s="9"/>
      <c r="IR109" s="9"/>
      <c r="IS109" s="9"/>
      <c r="IT109" s="9"/>
      <c r="IU109" s="9"/>
      <c r="IV109" s="9"/>
    </row>
    <row r="110" spans="1:256" s="10" customFormat="1" ht="89.25">
      <c r="A110" s="274"/>
      <c r="B110" s="86">
        <v>107</v>
      </c>
      <c r="C110" s="193" t="s">
        <v>657</v>
      </c>
      <c r="D110" s="227">
        <v>44331</v>
      </c>
      <c r="E110" s="1"/>
      <c r="F110" s="1">
        <v>106695</v>
      </c>
      <c r="G110" s="1">
        <v>3813</v>
      </c>
      <c r="H110" s="1"/>
      <c r="I110" s="1"/>
      <c r="J110" s="1">
        <v>687</v>
      </c>
      <c r="K110" s="1">
        <v>3</v>
      </c>
      <c r="L110" s="204" t="s">
        <v>48</v>
      </c>
      <c r="M110" s="204" t="s">
        <v>658</v>
      </c>
      <c r="N110" s="204" t="s">
        <v>659</v>
      </c>
      <c r="O110" s="204"/>
      <c r="P110" s="204" t="s">
        <v>660</v>
      </c>
      <c r="Q110" s="204" t="s">
        <v>660</v>
      </c>
      <c r="R110" s="204" t="s">
        <v>660</v>
      </c>
      <c r="S110" s="204" t="s">
        <v>661</v>
      </c>
      <c r="T110" s="1"/>
      <c r="U110" s="2"/>
      <c r="V110" s="1">
        <v>1</v>
      </c>
      <c r="W110" s="1"/>
      <c r="X110" s="204" t="s">
        <v>44</v>
      </c>
      <c r="Y110" s="1">
        <v>4</v>
      </c>
      <c r="Z110" s="2">
        <v>2</v>
      </c>
      <c r="AA110" s="3">
        <f>+Y110+4</f>
        <v>8</v>
      </c>
      <c r="AB110" s="2">
        <f>+Z110+1</f>
        <v>3</v>
      </c>
      <c r="AC110" s="3">
        <f>+Y110*2</f>
        <v>8</v>
      </c>
      <c r="AD110" s="2">
        <f>+Z110*2</f>
        <v>4</v>
      </c>
      <c r="AE110" s="115">
        <f>98.5+11.16/2+73.71+11.27/2</f>
        <v>183.42499999999998</v>
      </c>
      <c r="AF110" s="115"/>
      <c r="AG110" s="115"/>
      <c r="AH110" s="115"/>
      <c r="AI110" s="116">
        <f>209.89+29.16/2+212.07-AE110</f>
        <v>253.11499999999998</v>
      </c>
      <c r="AJ110" s="117"/>
      <c r="AK110" s="118">
        <v>775.37</v>
      </c>
      <c r="AL110" s="118">
        <f>+(98.5+11.16+209.89-98.5+29.16-11.16)/AK110</f>
        <v>0.30830442240478734</v>
      </c>
      <c r="AM110" s="118">
        <f>+(AE110+AI110)/AK110</f>
        <v>0.56300862813882402</v>
      </c>
      <c r="AN110" s="157">
        <f>+(6+12+4+24)/(3+4+1+4)</f>
        <v>3.8333333333333335</v>
      </c>
      <c r="AO110" s="168">
        <f>79900+((8*18109+5*14484+4*10864+4*7243)/21*AI110)</f>
        <v>3571922.7523809522</v>
      </c>
      <c r="AP110" s="169">
        <v>35216.57</v>
      </c>
      <c r="AQ110" s="193" t="s">
        <v>36</v>
      </c>
      <c r="AR110" s="5" t="s">
        <v>662</v>
      </c>
      <c r="AS110" s="211">
        <v>44404</v>
      </c>
      <c r="AT110" s="211"/>
      <c r="AU110" s="6" t="s">
        <v>663</v>
      </c>
      <c r="AV110" s="8"/>
      <c r="AW110" s="8"/>
      <c r="AX110" s="8"/>
      <c r="AY110" s="8"/>
      <c r="AZ110" s="8"/>
      <c r="BA110" s="8"/>
      <c r="BB110" s="8"/>
      <c r="BC110" s="8"/>
      <c r="BD110" s="8"/>
      <c r="BE110" s="8"/>
      <c r="BF110" s="8"/>
      <c r="BG110" s="9"/>
      <c r="BH110" s="9"/>
      <c r="BI110" s="9"/>
      <c r="BJ110" s="9"/>
      <c r="BK110" s="9"/>
      <c r="BL110" s="9"/>
      <c r="BM110" s="9"/>
      <c r="BN110" s="9"/>
      <c r="BO110" s="9"/>
      <c r="BP110" s="9"/>
      <c r="BQ110" s="9"/>
      <c r="BR110" s="9"/>
      <c r="BS110" s="9"/>
      <c r="BT110" s="9"/>
      <c r="BU110" s="9"/>
      <c r="BV110" s="9"/>
      <c r="IP110" s="9"/>
      <c r="IQ110" s="9"/>
      <c r="IR110" s="9"/>
      <c r="IS110" s="9"/>
      <c r="IT110" s="9"/>
      <c r="IU110" s="9"/>
      <c r="IV110" s="9"/>
    </row>
    <row r="111" spans="1:256" s="10" customFormat="1" ht="76.5">
      <c r="A111" s="274"/>
      <c r="B111" s="86">
        <v>108</v>
      </c>
      <c r="C111" s="193">
        <v>532105</v>
      </c>
      <c r="D111" s="227">
        <v>44370</v>
      </c>
      <c r="E111" s="1">
        <v>37077</v>
      </c>
      <c r="F111" s="1">
        <v>1081</v>
      </c>
      <c r="G111" s="1">
        <v>3935</v>
      </c>
      <c r="H111" s="1"/>
      <c r="I111" s="1"/>
      <c r="J111" s="1">
        <v>27</v>
      </c>
      <c r="K111" s="1">
        <v>8</v>
      </c>
      <c r="L111" s="204" t="s">
        <v>31</v>
      </c>
      <c r="M111" s="204" t="s">
        <v>664</v>
      </c>
      <c r="N111" s="204" t="s">
        <v>665</v>
      </c>
      <c r="O111" s="204"/>
      <c r="P111" s="204" t="s">
        <v>666</v>
      </c>
      <c r="Q111" s="204" t="s">
        <v>666</v>
      </c>
      <c r="R111" s="204" t="s">
        <v>666</v>
      </c>
      <c r="S111" s="204" t="s">
        <v>389</v>
      </c>
      <c r="T111" s="1">
        <v>1</v>
      </c>
      <c r="U111" s="2">
        <v>1</v>
      </c>
      <c r="V111" s="1"/>
      <c r="W111" s="1"/>
      <c r="X111" s="204" t="s">
        <v>67</v>
      </c>
      <c r="Y111" s="1">
        <f>1+1</f>
        <v>2</v>
      </c>
      <c r="Z111" s="2">
        <v>2</v>
      </c>
      <c r="AA111" s="3">
        <f>+Y111+1</f>
        <v>3</v>
      </c>
      <c r="AB111" s="2">
        <f>+Z111+1</f>
        <v>3</v>
      </c>
      <c r="AC111" s="3">
        <f>+Y111*2</f>
        <v>4</v>
      </c>
      <c r="AD111" s="2">
        <f>+Z111*2</f>
        <v>4</v>
      </c>
      <c r="AE111" s="115">
        <f>50.16+10.6/2</f>
        <v>55.459999999999994</v>
      </c>
      <c r="AF111" s="115"/>
      <c r="AG111" s="115">
        <f>22.42+31.94/2</f>
        <v>38.39</v>
      </c>
      <c r="AH111" s="115"/>
      <c r="AI111" s="116">
        <f>69.3+5.34/2</f>
        <v>71.97</v>
      </c>
      <c r="AJ111" s="117"/>
      <c r="AK111" s="118">
        <v>322.42</v>
      </c>
      <c r="AL111" s="118">
        <f>+(50.16+10.6+22.42+31.94+69.3+5.34)/AI111</f>
        <v>2.6366541614561627</v>
      </c>
      <c r="AM111" s="118">
        <f>+(AE111+AG111+AI111)/AK111</f>
        <v>0.51429812046399104</v>
      </c>
      <c r="AN111" s="157"/>
      <c r="AO111" s="168">
        <f>+(9*14484+6*10864+7243*4)/19*AI111</f>
        <v>850427.82315789466</v>
      </c>
      <c r="AP111" s="169">
        <v>10430.66</v>
      </c>
      <c r="AQ111" s="193" t="s">
        <v>36</v>
      </c>
      <c r="AR111" s="5" t="s">
        <v>667</v>
      </c>
      <c r="AS111" s="211">
        <v>44404</v>
      </c>
      <c r="AT111" s="211"/>
      <c r="AU111" s="5" t="s">
        <v>668</v>
      </c>
      <c r="AV111" s="8"/>
      <c r="AW111" s="8"/>
      <c r="AX111" s="8"/>
      <c r="AY111" s="8"/>
      <c r="AZ111" s="8"/>
      <c r="BA111" s="8"/>
      <c r="BB111" s="8"/>
      <c r="BC111" s="8"/>
      <c r="BD111" s="8"/>
      <c r="BE111" s="8"/>
      <c r="BF111" s="8"/>
      <c r="BG111" s="9"/>
      <c r="BH111" s="9"/>
      <c r="BI111" s="9"/>
      <c r="BJ111" s="9"/>
      <c r="BK111" s="9"/>
      <c r="BL111" s="9"/>
      <c r="BM111" s="9"/>
      <c r="BN111" s="9"/>
      <c r="BO111" s="9"/>
      <c r="BP111" s="9"/>
      <c r="BQ111" s="9"/>
      <c r="BR111" s="9"/>
      <c r="BS111" s="9"/>
      <c r="BT111" s="9"/>
      <c r="BU111" s="9"/>
      <c r="BV111" s="9"/>
      <c r="IP111" s="9"/>
      <c r="IQ111" s="9"/>
      <c r="IR111" s="9"/>
      <c r="IS111" s="9"/>
      <c r="IT111" s="9"/>
      <c r="IU111" s="9"/>
      <c r="IV111" s="9"/>
    </row>
    <row r="112" spans="1:256" s="10" customFormat="1" ht="38.25">
      <c r="A112" s="274"/>
      <c r="B112" s="86">
        <v>109</v>
      </c>
      <c r="C112" s="193">
        <v>530303</v>
      </c>
      <c r="D112" s="227">
        <v>44294</v>
      </c>
      <c r="E112" s="1">
        <v>55332</v>
      </c>
      <c r="F112" s="1">
        <v>164357</v>
      </c>
      <c r="G112" s="1">
        <v>33487</v>
      </c>
      <c r="H112" s="1">
        <v>274</v>
      </c>
      <c r="I112" s="1"/>
      <c r="J112" s="1">
        <v>0</v>
      </c>
      <c r="K112" s="1">
        <v>15</v>
      </c>
      <c r="L112" s="204" t="s">
        <v>192</v>
      </c>
      <c r="M112" s="204" t="s">
        <v>669</v>
      </c>
      <c r="N112" s="204" t="s">
        <v>670</v>
      </c>
      <c r="O112" s="204"/>
      <c r="P112" s="204" t="s">
        <v>413</v>
      </c>
      <c r="Q112" s="204" t="s">
        <v>413</v>
      </c>
      <c r="R112" s="204" t="s">
        <v>413</v>
      </c>
      <c r="S112" s="204" t="s">
        <v>98</v>
      </c>
      <c r="T112" s="1"/>
      <c r="U112" s="2">
        <v>1</v>
      </c>
      <c r="V112" s="1"/>
      <c r="W112" s="1"/>
      <c r="X112" s="204" t="s">
        <v>67</v>
      </c>
      <c r="Y112" s="1"/>
      <c r="Z112" s="2">
        <v>2</v>
      </c>
      <c r="AA112" s="3"/>
      <c r="AB112" s="2">
        <f>+Z112+1</f>
        <v>3</v>
      </c>
      <c r="AC112" s="3"/>
      <c r="AD112" s="2">
        <f>+Z112*2</f>
        <v>4</v>
      </c>
      <c r="AE112" s="115"/>
      <c r="AF112" s="115"/>
      <c r="AG112" s="115"/>
      <c r="AH112" s="115"/>
      <c r="AI112" s="116">
        <f>32.32/2+63.81</f>
        <v>79.97</v>
      </c>
      <c r="AJ112" s="117"/>
      <c r="AK112" s="118">
        <v>804.23</v>
      </c>
      <c r="AL112" s="118">
        <f>+(63.81+32.32)/AK112</f>
        <v>0.11953048257339317</v>
      </c>
      <c r="AM112" s="118">
        <f>+AI112/AK112</f>
        <v>9.9436728299118413E-2</v>
      </c>
      <c r="AN112" s="157"/>
      <c r="AO112" s="168">
        <f>+(18109+3*14484+8*10864+7243*7)/19*AI112</f>
        <v>838312.88315789471</v>
      </c>
      <c r="AP112" s="169">
        <v>3572.43</v>
      </c>
      <c r="AQ112" s="193" t="s">
        <v>36</v>
      </c>
      <c r="AR112" s="5" t="s">
        <v>671</v>
      </c>
      <c r="AS112" s="211">
        <v>44404</v>
      </c>
      <c r="AT112" s="211"/>
      <c r="AU112" s="5" t="s">
        <v>672</v>
      </c>
      <c r="AV112" s="8"/>
      <c r="AW112" s="8"/>
      <c r="AX112" s="8"/>
      <c r="AY112" s="8"/>
      <c r="AZ112" s="8"/>
      <c r="BA112" s="8"/>
      <c r="BB112" s="8"/>
      <c r="BC112" s="8"/>
      <c r="BD112" s="8"/>
      <c r="BE112" s="8"/>
      <c r="BF112" s="8"/>
      <c r="BG112" s="9"/>
      <c r="BH112" s="9"/>
      <c r="BI112" s="9"/>
      <c r="BJ112" s="9"/>
      <c r="BK112" s="9"/>
      <c r="BL112" s="9"/>
      <c r="BM112" s="9"/>
      <c r="BN112" s="9"/>
      <c r="BO112" s="9"/>
      <c r="BP112" s="9"/>
      <c r="BQ112" s="9"/>
      <c r="BR112" s="9"/>
      <c r="BS112" s="9"/>
      <c r="BT112" s="9"/>
      <c r="BU112" s="9"/>
      <c r="BV112" s="9"/>
      <c r="IP112" s="9"/>
      <c r="IQ112" s="9"/>
      <c r="IR112" s="9"/>
      <c r="IS112" s="9"/>
      <c r="IT112" s="9"/>
      <c r="IU112" s="9"/>
      <c r="IV112" s="9"/>
    </row>
    <row r="113" spans="1:256" s="10" customFormat="1" ht="76.5">
      <c r="A113" s="274"/>
      <c r="B113" s="86">
        <v>110</v>
      </c>
      <c r="C113" s="193">
        <v>532219</v>
      </c>
      <c r="D113" s="227">
        <v>44375</v>
      </c>
      <c r="E113" s="1">
        <v>42696</v>
      </c>
      <c r="F113" s="1">
        <v>140783</v>
      </c>
      <c r="G113" s="1">
        <v>8681</v>
      </c>
      <c r="H113" s="1"/>
      <c r="I113" s="1"/>
      <c r="J113" s="1">
        <v>43</v>
      </c>
      <c r="K113" s="1">
        <v>14</v>
      </c>
      <c r="L113" s="204" t="s">
        <v>31</v>
      </c>
      <c r="M113" s="204" t="s">
        <v>673</v>
      </c>
      <c r="N113" s="204" t="s">
        <v>674</v>
      </c>
      <c r="O113" s="204"/>
      <c r="P113" s="204" t="s">
        <v>675</v>
      </c>
      <c r="Q113" s="204"/>
      <c r="R113" s="204"/>
      <c r="S113" s="204"/>
      <c r="T113" s="1">
        <v>2</v>
      </c>
      <c r="U113" s="2"/>
      <c r="V113" s="1"/>
      <c r="W113" s="1"/>
      <c r="X113" s="204" t="s">
        <v>44</v>
      </c>
      <c r="Y113" s="1">
        <f>2+2</f>
        <v>4</v>
      </c>
      <c r="Z113" s="2"/>
      <c r="AA113" s="3">
        <f>+Y113+1+1</f>
        <v>6</v>
      </c>
      <c r="AB113" s="2"/>
      <c r="AC113" s="3">
        <f>+Y113*2</f>
        <v>8</v>
      </c>
      <c r="AD113" s="2"/>
      <c r="AE113" s="115"/>
      <c r="AF113" s="115"/>
      <c r="AG113" s="115">
        <f>74+11.07/2+75.4+9.23/2</f>
        <v>159.55000000000001</v>
      </c>
      <c r="AH113" s="115"/>
      <c r="AI113" s="116"/>
      <c r="AJ113" s="117"/>
      <c r="AK113" s="118">
        <v>436.4</v>
      </c>
      <c r="AL113" s="118">
        <f>+(74+11.07)/AK113</f>
        <v>0.19493583868011</v>
      </c>
      <c r="AM113" s="118">
        <f>+AG113/AK113</f>
        <v>0.36560494958753442</v>
      </c>
      <c r="AN113" s="157">
        <f>+(2+12+16)/(1+4+4)</f>
        <v>3.3333333333333335</v>
      </c>
      <c r="AO113" s="168">
        <f>+(18109+14484*12+10864*7+2*7243)/22*AG113</f>
        <v>2048411.6840909093</v>
      </c>
      <c r="AP113" s="169">
        <v>29531.29</v>
      </c>
      <c r="AQ113" s="193" t="s">
        <v>73</v>
      </c>
      <c r="AR113" s="5" t="s">
        <v>676</v>
      </c>
      <c r="AS113" s="211">
        <v>44404</v>
      </c>
      <c r="AT113" s="211"/>
      <c r="AU113" s="5" t="s">
        <v>677</v>
      </c>
      <c r="AV113" s="8"/>
      <c r="AW113" s="8"/>
      <c r="AX113" s="8"/>
      <c r="AY113" s="8"/>
      <c r="AZ113" s="8"/>
      <c r="BA113" s="8"/>
      <c r="BB113" s="8"/>
      <c r="BC113" s="8"/>
      <c r="BD113" s="8"/>
      <c r="BE113" s="8"/>
      <c r="BF113" s="8"/>
      <c r="BG113" s="9"/>
      <c r="BH113" s="9"/>
      <c r="BI113" s="9"/>
      <c r="BJ113" s="9"/>
      <c r="BK113" s="9"/>
      <c r="BL113" s="9"/>
      <c r="BM113" s="9"/>
      <c r="BN113" s="9"/>
      <c r="BO113" s="9"/>
      <c r="BP113" s="9"/>
      <c r="BQ113" s="9"/>
      <c r="BR113" s="9"/>
      <c r="BS113" s="9"/>
      <c r="BT113" s="9"/>
      <c r="BU113" s="9"/>
      <c r="BV113" s="9"/>
      <c r="IP113" s="9"/>
      <c r="IQ113" s="9"/>
      <c r="IR113" s="9"/>
      <c r="IS113" s="9"/>
      <c r="IT113" s="9"/>
      <c r="IU113" s="9"/>
      <c r="IV113" s="9"/>
    </row>
    <row r="114" spans="1:256" s="10" customFormat="1" ht="38.25">
      <c r="A114" s="274"/>
      <c r="B114" s="86">
        <v>111</v>
      </c>
      <c r="C114" s="193" t="s">
        <v>678</v>
      </c>
      <c r="D114" s="227">
        <v>44323</v>
      </c>
      <c r="E114" s="1">
        <v>54622</v>
      </c>
      <c r="F114" s="1">
        <v>139084</v>
      </c>
      <c r="G114" s="1">
        <v>8351</v>
      </c>
      <c r="H114" s="1"/>
      <c r="I114" s="1"/>
      <c r="J114" s="1">
        <v>370</v>
      </c>
      <c r="K114" s="1">
        <v>9</v>
      </c>
      <c r="L114" s="204" t="s">
        <v>31</v>
      </c>
      <c r="M114" s="204" t="s">
        <v>679</v>
      </c>
      <c r="N114" s="204" t="s">
        <v>680</v>
      </c>
      <c r="O114" s="204"/>
      <c r="P114" s="204" t="s">
        <v>681</v>
      </c>
      <c r="Q114" s="204"/>
      <c r="R114" s="204"/>
      <c r="S114" s="204"/>
      <c r="T114" s="1">
        <v>1</v>
      </c>
      <c r="U114" s="2"/>
      <c r="V114" s="1"/>
      <c r="W114" s="1"/>
      <c r="X114" s="204" t="s">
        <v>162</v>
      </c>
      <c r="Y114" s="1"/>
      <c r="Z114" s="2"/>
      <c r="AA114" s="3"/>
      <c r="AB114" s="2"/>
      <c r="AC114" s="3"/>
      <c r="AD114" s="2"/>
      <c r="AE114" s="115"/>
      <c r="AF114" s="115"/>
      <c r="AG114" s="115"/>
      <c r="AH114" s="115">
        <v>71.47</v>
      </c>
      <c r="AI114" s="116"/>
      <c r="AJ114" s="117"/>
      <c r="AK114" s="118">
        <v>322.8</v>
      </c>
      <c r="AL114" s="118">
        <f>+AH114/AK114</f>
        <v>0.22140644361833953</v>
      </c>
      <c r="AM114" s="118">
        <f>+AH114/AK114</f>
        <v>0.22140644361833953</v>
      </c>
      <c r="AN114" s="157"/>
      <c r="AO114" s="168">
        <f>+AH114*10864</f>
        <v>776450.08</v>
      </c>
      <c r="AP114" s="169">
        <v>5811.39</v>
      </c>
      <c r="AQ114" s="193" t="s">
        <v>36</v>
      </c>
      <c r="AR114" s="5" t="s">
        <v>682</v>
      </c>
      <c r="AS114" s="211">
        <v>44405</v>
      </c>
      <c r="AT114" s="211"/>
      <c r="AU114" s="5" t="s">
        <v>683</v>
      </c>
      <c r="AV114" s="8"/>
      <c r="AW114" s="8"/>
      <c r="AX114" s="8"/>
      <c r="AY114" s="8"/>
      <c r="AZ114" s="8"/>
      <c r="BA114" s="8"/>
      <c r="BB114" s="8"/>
      <c r="BC114" s="8"/>
      <c r="BD114" s="8"/>
      <c r="BE114" s="8"/>
      <c r="BF114" s="8"/>
      <c r="BG114" s="9"/>
      <c r="BH114" s="9"/>
      <c r="BI114" s="9"/>
      <c r="BJ114" s="9"/>
      <c r="BK114" s="9"/>
      <c r="BL114" s="9"/>
      <c r="BM114" s="9"/>
      <c r="BN114" s="9"/>
      <c r="BO114" s="9"/>
      <c r="BP114" s="9"/>
      <c r="BQ114" s="9"/>
      <c r="BR114" s="9"/>
      <c r="BS114" s="9"/>
      <c r="BT114" s="9"/>
      <c r="BU114" s="9"/>
      <c r="BV114" s="9"/>
      <c r="IP114" s="9"/>
      <c r="IQ114" s="9"/>
      <c r="IR114" s="9"/>
      <c r="IS114" s="9"/>
      <c r="IT114" s="9"/>
      <c r="IU114" s="9"/>
      <c r="IV114" s="9"/>
    </row>
    <row r="115" spans="1:256" s="10" customFormat="1" ht="76.5">
      <c r="A115" s="272"/>
      <c r="B115" s="85">
        <v>112</v>
      </c>
      <c r="C115" s="250">
        <v>529774</v>
      </c>
      <c r="D115" s="244">
        <v>44396</v>
      </c>
      <c r="E115" s="1">
        <v>11913</v>
      </c>
      <c r="F115" s="1">
        <v>1497</v>
      </c>
      <c r="G115" s="1">
        <v>4723</v>
      </c>
      <c r="H115" s="1"/>
      <c r="I115" s="1"/>
      <c r="J115" s="1">
        <v>98</v>
      </c>
      <c r="K115" s="1">
        <v>4</v>
      </c>
      <c r="L115" s="204" t="s">
        <v>48</v>
      </c>
      <c r="M115" s="204" t="s">
        <v>684</v>
      </c>
      <c r="N115" s="204" t="s">
        <v>685</v>
      </c>
      <c r="O115" s="204"/>
      <c r="P115" s="204" t="s">
        <v>666</v>
      </c>
      <c r="Q115" s="204" t="s">
        <v>666</v>
      </c>
      <c r="R115" s="204" t="s">
        <v>666</v>
      </c>
      <c r="S115" s="204" t="s">
        <v>686</v>
      </c>
      <c r="T115" s="1"/>
      <c r="U115" s="1">
        <v>1</v>
      </c>
      <c r="V115" s="1"/>
      <c r="W115" s="1"/>
      <c r="X115" s="204" t="s">
        <v>44</v>
      </c>
      <c r="Y115" s="1"/>
      <c r="Z115" s="1"/>
      <c r="AA115" s="1"/>
      <c r="AB115" s="1"/>
      <c r="AC115" s="1"/>
      <c r="AD115" s="1"/>
      <c r="AE115" s="115"/>
      <c r="AF115" s="115"/>
      <c r="AG115" s="115"/>
      <c r="AH115" s="115"/>
      <c r="AI115" s="115"/>
      <c r="AJ115" s="118"/>
      <c r="AK115" s="118">
        <v>592.38</v>
      </c>
      <c r="AL115" s="118"/>
      <c r="AM115" s="118"/>
      <c r="AN115" s="157"/>
      <c r="AO115" s="168">
        <v>175321.95</v>
      </c>
      <c r="AP115" s="169">
        <v>9845.7099999999991</v>
      </c>
      <c r="AQ115" s="193" t="s">
        <v>36</v>
      </c>
      <c r="AR115" s="5" t="s">
        <v>687</v>
      </c>
      <c r="AS115" s="211">
        <v>44405</v>
      </c>
      <c r="AT115" s="211"/>
      <c r="AU115" s="28"/>
      <c r="AV115" s="8"/>
      <c r="AW115" s="8"/>
      <c r="AX115" s="8"/>
      <c r="AY115" s="8"/>
      <c r="AZ115" s="8"/>
      <c r="BA115" s="8"/>
      <c r="BB115" s="8"/>
      <c r="BC115" s="8"/>
      <c r="BD115" s="8"/>
      <c r="BE115" s="8"/>
      <c r="BF115" s="8"/>
      <c r="BG115" s="9"/>
      <c r="BH115" s="9"/>
      <c r="BI115" s="9"/>
      <c r="BJ115" s="9"/>
      <c r="BK115" s="9"/>
      <c r="BL115" s="9"/>
      <c r="BM115" s="9"/>
      <c r="BN115" s="9"/>
      <c r="BO115" s="9"/>
      <c r="BP115" s="9"/>
      <c r="BQ115" s="9"/>
      <c r="BR115" s="9"/>
      <c r="BS115" s="9"/>
      <c r="BT115" s="9"/>
      <c r="BU115" s="9"/>
      <c r="BV115" s="9"/>
      <c r="IP115" s="9"/>
      <c r="IQ115" s="9"/>
      <c r="IR115" s="9"/>
      <c r="IS115" s="9"/>
      <c r="IT115" s="9"/>
      <c r="IU115" s="9"/>
      <c r="IV115" s="9"/>
    </row>
    <row r="116" spans="1:256" s="10" customFormat="1" ht="89.25">
      <c r="A116" s="274"/>
      <c r="B116" s="86">
        <v>113</v>
      </c>
      <c r="C116" s="193">
        <v>532406</v>
      </c>
      <c r="D116" s="227">
        <v>44383</v>
      </c>
      <c r="E116" s="1">
        <v>58195</v>
      </c>
      <c r="F116" s="1">
        <v>138241</v>
      </c>
      <c r="G116" s="1">
        <v>31564</v>
      </c>
      <c r="H116" s="1">
        <v>355</v>
      </c>
      <c r="I116" s="1"/>
      <c r="J116" s="1">
        <v>8</v>
      </c>
      <c r="K116" s="1">
        <v>8</v>
      </c>
      <c r="L116" s="204" t="s">
        <v>688</v>
      </c>
      <c r="M116" s="204" t="s">
        <v>689</v>
      </c>
      <c r="N116" s="204" t="s">
        <v>690</v>
      </c>
      <c r="O116" s="204"/>
      <c r="P116" s="204" t="s">
        <v>181</v>
      </c>
      <c r="Q116" s="204"/>
      <c r="R116" s="204"/>
      <c r="S116" s="204"/>
      <c r="T116" s="1"/>
      <c r="U116" s="2"/>
      <c r="V116" s="1">
        <v>1</v>
      </c>
      <c r="W116" s="1"/>
      <c r="X116" s="204" t="s">
        <v>67</v>
      </c>
      <c r="Y116" s="1">
        <v>2</v>
      </c>
      <c r="Z116" s="2"/>
      <c r="AA116" s="3">
        <f>+Y116+1</f>
        <v>3</v>
      </c>
      <c r="AB116" s="2">
        <v>2</v>
      </c>
      <c r="AC116" s="3"/>
      <c r="AD116" s="2"/>
      <c r="AE116" s="115">
        <f>140.76+7.06/2</f>
        <v>144.29</v>
      </c>
      <c r="AF116" s="115"/>
      <c r="AG116" s="115">
        <f>110.16+41.73</f>
        <v>151.88999999999999</v>
      </c>
      <c r="AH116" s="115"/>
      <c r="AI116" s="116"/>
      <c r="AJ116" s="117"/>
      <c r="AK116" s="118">
        <v>450</v>
      </c>
      <c r="AL116" s="118">
        <f>+(140.76+7.06+110.16)/AK116</f>
        <v>0.57328888888888896</v>
      </c>
      <c r="AM116" s="118">
        <f>+(AE116+AG116)/AK116</f>
        <v>0.65817777777777764</v>
      </c>
      <c r="AN116" s="157">
        <f>+(12+20)/(4+5)</f>
        <v>3.5555555555555554</v>
      </c>
      <c r="AO116" s="168">
        <f>+(8*18109+14484*6+6*10864+3*7243)/23*AG116</f>
        <v>2104594.4439130435</v>
      </c>
      <c r="AP116" s="169">
        <v>30937.7</v>
      </c>
      <c r="AQ116" s="193" t="s">
        <v>36</v>
      </c>
      <c r="AR116" s="5" t="s">
        <v>691</v>
      </c>
      <c r="AS116" s="211">
        <v>44406</v>
      </c>
      <c r="AT116" s="211"/>
      <c r="AU116" s="5" t="s">
        <v>692</v>
      </c>
      <c r="AV116" s="8"/>
      <c r="AW116" s="8"/>
      <c r="AX116" s="8"/>
      <c r="AY116" s="8"/>
      <c r="AZ116" s="8"/>
      <c r="BA116" s="8"/>
      <c r="BB116" s="8"/>
      <c r="BC116" s="8"/>
      <c r="BD116" s="8"/>
      <c r="BE116" s="8"/>
      <c r="BF116" s="8"/>
      <c r="BG116" s="9"/>
      <c r="BH116" s="9"/>
      <c r="BI116" s="9"/>
      <c r="BJ116" s="9"/>
      <c r="BK116" s="9"/>
      <c r="BL116" s="9"/>
      <c r="BM116" s="9"/>
      <c r="BN116" s="9"/>
      <c r="BO116" s="9"/>
      <c r="BP116" s="9"/>
      <c r="BQ116" s="9"/>
      <c r="BR116" s="9"/>
      <c r="BS116" s="9"/>
      <c r="BT116" s="9"/>
      <c r="BU116" s="9"/>
      <c r="BV116" s="9"/>
      <c r="IP116" s="9"/>
      <c r="IQ116" s="9"/>
      <c r="IR116" s="9"/>
      <c r="IS116" s="9"/>
      <c r="IT116" s="9"/>
      <c r="IU116" s="9"/>
      <c r="IV116" s="9"/>
    </row>
    <row r="117" spans="1:256" s="10" customFormat="1" ht="63.75">
      <c r="A117" s="272"/>
      <c r="B117" s="258">
        <v>114</v>
      </c>
      <c r="C117" s="250">
        <v>516468</v>
      </c>
      <c r="D117" s="244">
        <v>43796</v>
      </c>
      <c r="E117" s="1">
        <v>21460</v>
      </c>
      <c r="F117" s="1">
        <v>110685</v>
      </c>
      <c r="G117" s="1">
        <v>5155</v>
      </c>
      <c r="H117" s="1"/>
      <c r="I117" s="1"/>
      <c r="J117" s="1">
        <v>544</v>
      </c>
      <c r="K117" s="1">
        <v>15</v>
      </c>
      <c r="L117" s="204" t="s">
        <v>31</v>
      </c>
      <c r="M117" s="204" t="s">
        <v>693</v>
      </c>
      <c r="N117" s="204" t="s">
        <v>694</v>
      </c>
      <c r="O117" s="204"/>
      <c r="P117" s="204" t="s">
        <v>695</v>
      </c>
      <c r="Q117" s="204"/>
      <c r="R117" s="204"/>
      <c r="S117" s="204"/>
      <c r="T117" s="1">
        <v>1</v>
      </c>
      <c r="U117" s="1"/>
      <c r="V117" s="1"/>
      <c r="W117" s="1"/>
      <c r="X117" s="204" t="s">
        <v>162</v>
      </c>
      <c r="Y117" s="1"/>
      <c r="Z117" s="1"/>
      <c r="AA117" s="1"/>
      <c r="AB117" s="1"/>
      <c r="AC117" s="1"/>
      <c r="AD117" s="1"/>
      <c r="AE117" s="115"/>
      <c r="AF117" s="115"/>
      <c r="AG117" s="115"/>
      <c r="AH117" s="115">
        <v>440</v>
      </c>
      <c r="AI117" s="115"/>
      <c r="AJ117" s="118"/>
      <c r="AK117" s="139">
        <v>440</v>
      </c>
      <c r="AL117" s="118">
        <f>+AH117/AK117</f>
        <v>1</v>
      </c>
      <c r="AM117" s="118">
        <f>+AH117/AK117</f>
        <v>1</v>
      </c>
      <c r="AN117" s="157"/>
      <c r="AO117" s="168">
        <v>2500422</v>
      </c>
      <c r="AP117" s="169">
        <v>37469.33</v>
      </c>
      <c r="AQ117" s="193" t="s">
        <v>36</v>
      </c>
      <c r="AR117" s="5" t="s">
        <v>696</v>
      </c>
      <c r="AS117" s="211">
        <v>44407</v>
      </c>
      <c r="AT117" s="211"/>
      <c r="AU117" s="28" t="s">
        <v>697</v>
      </c>
      <c r="AV117" s="8"/>
      <c r="AW117" s="8"/>
      <c r="AX117" s="8"/>
      <c r="AY117" s="8"/>
      <c r="AZ117" s="8"/>
      <c r="BA117" s="8"/>
      <c r="BB117" s="8"/>
      <c r="BC117" s="8"/>
      <c r="BD117" s="8"/>
      <c r="BE117" s="8"/>
      <c r="BF117" s="8"/>
      <c r="BG117" s="9"/>
      <c r="BH117" s="9"/>
      <c r="BI117" s="9"/>
      <c r="BJ117" s="9"/>
      <c r="BK117" s="9"/>
      <c r="BL117" s="9"/>
      <c r="BM117" s="9"/>
      <c r="BN117" s="9"/>
      <c r="BO117" s="9"/>
      <c r="BP117" s="9"/>
      <c r="BQ117" s="9"/>
      <c r="BR117" s="9"/>
      <c r="BS117" s="9"/>
      <c r="BT117" s="9"/>
      <c r="BU117" s="9"/>
      <c r="BV117" s="9"/>
      <c r="IP117" s="9"/>
      <c r="IQ117" s="9"/>
      <c r="IR117" s="9"/>
      <c r="IS117" s="9"/>
      <c r="IT117" s="9"/>
      <c r="IU117" s="9"/>
      <c r="IV117" s="9"/>
    </row>
    <row r="118" spans="1:256" s="10" customFormat="1" ht="38.25">
      <c r="A118" s="274"/>
      <c r="B118" s="86">
        <v>115</v>
      </c>
      <c r="C118" s="193" t="s">
        <v>698</v>
      </c>
      <c r="D118" s="235">
        <v>44348</v>
      </c>
      <c r="E118" s="1">
        <v>53075</v>
      </c>
      <c r="F118" s="1">
        <v>162592</v>
      </c>
      <c r="G118" s="1">
        <v>33197</v>
      </c>
      <c r="H118" s="1">
        <v>3</v>
      </c>
      <c r="I118" s="1"/>
      <c r="J118" s="1">
        <v>7</v>
      </c>
      <c r="K118" s="1">
        <v>24</v>
      </c>
      <c r="L118" s="204" t="s">
        <v>293</v>
      </c>
      <c r="M118" s="204" t="s">
        <v>699</v>
      </c>
      <c r="N118" s="204" t="s">
        <v>700</v>
      </c>
      <c r="O118" s="204"/>
      <c r="P118" s="204" t="s">
        <v>181</v>
      </c>
      <c r="Q118" s="204" t="s">
        <v>181</v>
      </c>
      <c r="R118" s="204" t="s">
        <v>181</v>
      </c>
      <c r="S118" s="204" t="s">
        <v>701</v>
      </c>
      <c r="T118" s="1"/>
      <c r="U118" s="2">
        <v>1</v>
      </c>
      <c r="V118" s="1"/>
      <c r="W118" s="1"/>
      <c r="X118" s="204" t="s">
        <v>67</v>
      </c>
      <c r="Y118" s="1">
        <v>0</v>
      </c>
      <c r="Z118" s="2">
        <v>2</v>
      </c>
      <c r="AA118" s="3"/>
      <c r="AB118" s="2">
        <f>+Z118+1</f>
        <v>3</v>
      </c>
      <c r="AC118" s="3"/>
      <c r="AD118" s="2">
        <f>+Z118*2</f>
        <v>4</v>
      </c>
      <c r="AE118" s="115"/>
      <c r="AF118" s="115"/>
      <c r="AG118" s="115"/>
      <c r="AH118" s="115"/>
      <c r="AI118" s="116">
        <f>93.95+21.27/2+2.6/2</f>
        <v>105.88500000000001</v>
      </c>
      <c r="AJ118" s="117"/>
      <c r="AK118" s="118">
        <v>860.57</v>
      </c>
      <c r="AL118" s="118">
        <f>+(21.27+93.95+2.6)/(AK118)</f>
        <v>0.13690925781749305</v>
      </c>
      <c r="AM118" s="118">
        <f>+AI118/AK118</f>
        <v>0.12304054289598754</v>
      </c>
      <c r="AN118" s="157"/>
      <c r="AO118" s="168">
        <f>+(18109+14484+14*10864+2*7243)/20*AI118</f>
        <v>1054482.2437500001</v>
      </c>
      <c r="AP118" s="169">
        <v>4995.08</v>
      </c>
      <c r="AQ118" s="193" t="s">
        <v>36</v>
      </c>
      <c r="AR118" s="5" t="s">
        <v>702</v>
      </c>
      <c r="AS118" s="211">
        <v>44407</v>
      </c>
      <c r="AT118" s="211"/>
      <c r="AU118" s="5" t="s">
        <v>703</v>
      </c>
      <c r="AV118" s="8"/>
      <c r="AW118" s="8"/>
      <c r="AX118" s="8"/>
      <c r="AY118" s="8"/>
      <c r="AZ118" s="8"/>
      <c r="BA118" s="8"/>
      <c r="BB118" s="8"/>
      <c r="BC118" s="8"/>
      <c r="BD118" s="8"/>
      <c r="BE118" s="8"/>
      <c r="BF118" s="8"/>
      <c r="BG118" s="9"/>
      <c r="BH118" s="9"/>
      <c r="BI118" s="9"/>
      <c r="BJ118" s="9"/>
      <c r="BK118" s="9"/>
      <c r="BL118" s="9"/>
      <c r="BM118" s="9"/>
      <c r="BN118" s="9"/>
      <c r="BO118" s="9"/>
      <c r="BP118" s="9"/>
      <c r="BQ118" s="9"/>
      <c r="BR118" s="9"/>
      <c r="BS118" s="9"/>
      <c r="BT118" s="9"/>
      <c r="BU118" s="9"/>
      <c r="BV118" s="9"/>
      <c r="IP118" s="9"/>
      <c r="IQ118" s="9"/>
      <c r="IR118" s="9"/>
      <c r="IS118" s="9"/>
      <c r="IT118" s="9"/>
      <c r="IU118" s="9"/>
      <c r="IV118" s="9"/>
    </row>
    <row r="119" spans="1:256" s="10" customFormat="1" ht="38.25">
      <c r="A119" s="274"/>
      <c r="B119" s="86">
        <v>116</v>
      </c>
      <c r="C119" s="193">
        <v>532725</v>
      </c>
      <c r="D119" s="227">
        <v>44398</v>
      </c>
      <c r="E119" s="1">
        <v>56827</v>
      </c>
      <c r="F119" s="1">
        <v>165484</v>
      </c>
      <c r="G119" s="1">
        <v>33646</v>
      </c>
      <c r="H119" s="1">
        <v>291</v>
      </c>
      <c r="I119" s="1"/>
      <c r="J119" s="1">
        <v>44</v>
      </c>
      <c r="K119" s="1">
        <v>6</v>
      </c>
      <c r="L119" s="204" t="s">
        <v>704</v>
      </c>
      <c r="M119" s="204" t="s">
        <v>705</v>
      </c>
      <c r="N119" s="204" t="s">
        <v>706</v>
      </c>
      <c r="O119" s="204"/>
      <c r="P119" s="204" t="s">
        <v>707</v>
      </c>
      <c r="Q119" s="204"/>
      <c r="R119" s="204"/>
      <c r="S119" s="204"/>
      <c r="T119" s="1">
        <v>1</v>
      </c>
      <c r="U119" s="2"/>
      <c r="V119" s="1"/>
      <c r="W119" s="1"/>
      <c r="X119" s="204" t="s">
        <v>162</v>
      </c>
      <c r="Y119" s="1"/>
      <c r="Z119" s="2"/>
      <c r="AA119" s="3"/>
      <c r="AB119" s="2"/>
      <c r="AC119" s="3"/>
      <c r="AD119" s="2"/>
      <c r="AE119" s="115"/>
      <c r="AF119" s="115"/>
      <c r="AG119" s="115"/>
      <c r="AH119" s="115">
        <f>230.85+16.2/2</f>
        <v>238.95</v>
      </c>
      <c r="AI119" s="116"/>
      <c r="AJ119" s="117"/>
      <c r="AK119" s="118">
        <v>800.28</v>
      </c>
      <c r="AL119" s="118"/>
      <c r="AM119" s="118"/>
      <c r="AN119" s="157"/>
      <c r="AO119" s="168">
        <v>1729990.55</v>
      </c>
      <c r="AP119" s="169">
        <v>24941.86</v>
      </c>
      <c r="AQ119" s="193" t="s">
        <v>107</v>
      </c>
      <c r="AR119" s="5" t="s">
        <v>708</v>
      </c>
      <c r="AS119" s="211">
        <v>44410</v>
      </c>
      <c r="AT119" s="211"/>
      <c r="AU119" s="5" t="s">
        <v>709</v>
      </c>
      <c r="AV119" s="8"/>
      <c r="AW119" s="8"/>
      <c r="AX119" s="8"/>
      <c r="AY119" s="8"/>
      <c r="AZ119" s="8"/>
      <c r="BA119" s="8"/>
      <c r="BB119" s="8"/>
      <c r="BC119" s="8"/>
      <c r="BD119" s="8"/>
      <c r="BE119" s="8"/>
      <c r="BF119" s="8"/>
      <c r="BG119" s="9"/>
      <c r="BH119" s="9"/>
      <c r="BI119" s="9"/>
      <c r="BJ119" s="9"/>
      <c r="BK119" s="9"/>
      <c r="BL119" s="9"/>
      <c r="BM119" s="9"/>
      <c r="BN119" s="9"/>
      <c r="BO119" s="9"/>
      <c r="BP119" s="9"/>
      <c r="BQ119" s="9"/>
      <c r="BR119" s="9"/>
      <c r="BS119" s="9"/>
      <c r="BT119" s="9"/>
      <c r="BU119" s="9"/>
      <c r="BV119" s="9"/>
      <c r="IP119" s="9"/>
      <c r="IQ119" s="9"/>
      <c r="IR119" s="9"/>
      <c r="IS119" s="9"/>
      <c r="IT119" s="9"/>
      <c r="IU119" s="9"/>
      <c r="IV119" s="9"/>
    </row>
    <row r="120" spans="1:256" s="10" customFormat="1" ht="63.75">
      <c r="A120" s="274"/>
      <c r="B120" s="86">
        <v>117</v>
      </c>
      <c r="C120" s="193">
        <v>532664</v>
      </c>
      <c r="D120" s="227">
        <v>44396</v>
      </c>
      <c r="E120" s="1">
        <v>38037</v>
      </c>
      <c r="F120" s="1">
        <v>60068</v>
      </c>
      <c r="G120" s="1">
        <v>30841</v>
      </c>
      <c r="H120" s="1">
        <v>291</v>
      </c>
      <c r="I120" s="1"/>
      <c r="J120" s="1"/>
      <c r="K120" s="1">
        <v>4</v>
      </c>
      <c r="L120" s="204" t="s">
        <v>440</v>
      </c>
      <c r="M120" s="204" t="s">
        <v>710</v>
      </c>
      <c r="N120" s="204" t="s">
        <v>706</v>
      </c>
      <c r="O120" s="204"/>
      <c r="P120" s="204" t="s">
        <v>707</v>
      </c>
      <c r="Q120" s="204"/>
      <c r="R120" s="204"/>
      <c r="S120" s="204"/>
      <c r="T120" s="1"/>
      <c r="U120" s="2"/>
      <c r="V120" s="1"/>
      <c r="W120" s="1"/>
      <c r="X120" s="204" t="s">
        <v>711</v>
      </c>
      <c r="Y120" s="1"/>
      <c r="Z120" s="2"/>
      <c r="AA120" s="3"/>
      <c r="AB120" s="2"/>
      <c r="AC120" s="3"/>
      <c r="AD120" s="2">
        <f>+Z120*2</f>
        <v>0</v>
      </c>
      <c r="AE120" s="115"/>
      <c r="AF120" s="115"/>
      <c r="AG120" s="115"/>
      <c r="AH120" s="115"/>
      <c r="AI120" s="116"/>
      <c r="AJ120" s="117"/>
      <c r="AK120" s="118">
        <v>18772.259999999998</v>
      </c>
      <c r="AL120" s="118">
        <f>+(160.56+28.36+59.6+20.59+32.4+86.62+56.12+24.4+11.81+21.08+121.76+57.16+109.15+185.3+63.92)/AK120</f>
        <v>5.5338568717884798E-2</v>
      </c>
      <c r="AM120" s="118">
        <f>+(160.56+28.36+59.6/2+20.59/2+32.4+86.62+56.12/2+24.4/2+11.81/2+21.08/2+121.76+57.16/2+109.15/2+185.3/2+63.92/2)/AK120</f>
        <v>3.9114363427738601E-2</v>
      </c>
      <c r="AN120" s="157"/>
      <c r="AO120" s="168">
        <f>982052.5+3424506.16</f>
        <v>4406558.66</v>
      </c>
      <c r="AP120" s="169">
        <v>130058.79</v>
      </c>
      <c r="AQ120" s="193" t="s">
        <v>107</v>
      </c>
      <c r="AR120" s="5" t="s">
        <v>712</v>
      </c>
      <c r="AS120" s="211">
        <v>44410</v>
      </c>
      <c r="AT120" s="211"/>
      <c r="AU120" s="5" t="s">
        <v>713</v>
      </c>
      <c r="AV120" s="8"/>
      <c r="AW120" s="8"/>
      <c r="AX120" s="8"/>
      <c r="AY120" s="8"/>
      <c r="AZ120" s="8"/>
      <c r="BA120" s="8"/>
      <c r="BB120" s="8"/>
      <c r="BC120" s="8"/>
      <c r="BD120" s="8"/>
      <c r="BE120" s="8"/>
      <c r="BF120" s="8"/>
      <c r="BG120" s="9"/>
      <c r="BH120" s="9"/>
      <c r="BI120" s="9"/>
      <c r="BJ120" s="9"/>
      <c r="BK120" s="9"/>
      <c r="BL120" s="9"/>
      <c r="BM120" s="9"/>
      <c r="BN120" s="9"/>
      <c r="BO120" s="9"/>
      <c r="BP120" s="9"/>
      <c r="BQ120" s="9"/>
      <c r="BR120" s="9"/>
      <c r="BS120" s="9"/>
      <c r="BT120" s="9"/>
      <c r="BU120" s="9"/>
      <c r="BV120" s="9"/>
      <c r="IP120" s="9"/>
      <c r="IQ120" s="9"/>
      <c r="IR120" s="9"/>
      <c r="IS120" s="9"/>
      <c r="IT120" s="9"/>
      <c r="IU120" s="9"/>
      <c r="IV120" s="9"/>
    </row>
    <row r="121" spans="1:256" s="10" customFormat="1" ht="51">
      <c r="A121" s="274"/>
      <c r="B121" s="90">
        <v>118</v>
      </c>
      <c r="C121" s="193" t="s">
        <v>715</v>
      </c>
      <c r="D121" s="227">
        <v>44297</v>
      </c>
      <c r="E121" s="1"/>
      <c r="F121" s="1">
        <v>110108</v>
      </c>
      <c r="G121" s="1">
        <v>4906</v>
      </c>
      <c r="H121" s="1"/>
      <c r="I121" s="1"/>
      <c r="J121" s="1">
        <v>684</v>
      </c>
      <c r="K121" s="1"/>
      <c r="L121" s="204" t="s">
        <v>48</v>
      </c>
      <c r="M121" s="204" t="s">
        <v>716</v>
      </c>
      <c r="N121" s="204" t="s">
        <v>717</v>
      </c>
      <c r="O121" s="204" t="s">
        <v>714</v>
      </c>
      <c r="P121" s="204" t="s">
        <v>241</v>
      </c>
      <c r="Q121" s="204" t="s">
        <v>241</v>
      </c>
      <c r="R121" s="204" t="s">
        <v>241</v>
      </c>
      <c r="S121" s="204" t="s">
        <v>718</v>
      </c>
      <c r="T121" s="1"/>
      <c r="U121" s="2">
        <v>1</v>
      </c>
      <c r="V121" s="1"/>
      <c r="W121" s="1"/>
      <c r="X121" s="204" t="s">
        <v>44</v>
      </c>
      <c r="Y121" s="1"/>
      <c r="Z121" s="2"/>
      <c r="AA121" s="3"/>
      <c r="AB121" s="2"/>
      <c r="AC121" s="3"/>
      <c r="AD121" s="2"/>
      <c r="AE121" s="115"/>
      <c r="AF121" s="115"/>
      <c r="AG121" s="115"/>
      <c r="AH121" s="115"/>
      <c r="AI121" s="116">
        <f>96.56+119.41/2+181.88+173.9*2</f>
        <v>685.94499999999994</v>
      </c>
      <c r="AJ121" s="117"/>
      <c r="AK121" s="118">
        <v>418</v>
      </c>
      <c r="AL121" s="118">
        <f>+(96.56+119.41)/AK121</f>
        <v>0.5166746411483254</v>
      </c>
      <c r="AM121" s="118">
        <f>+(AI121-119.41)/AK121</f>
        <v>1.355346889952153</v>
      </c>
      <c r="AN121" s="157"/>
      <c r="AO121" s="168"/>
      <c r="AP121" s="169"/>
      <c r="AQ121" s="193" t="s">
        <v>36</v>
      </c>
      <c r="AR121" s="5" t="s">
        <v>719</v>
      </c>
      <c r="AS121" s="211">
        <v>44411</v>
      </c>
      <c r="AT121" s="211"/>
      <c r="AU121" s="5" t="s">
        <v>720</v>
      </c>
      <c r="AV121" s="8"/>
      <c r="AW121" s="8"/>
      <c r="AX121" s="8"/>
      <c r="AY121" s="8"/>
      <c r="AZ121" s="8"/>
      <c r="BA121" s="8"/>
      <c r="BB121" s="8"/>
      <c r="BC121" s="8"/>
      <c r="BD121" s="8"/>
      <c r="BE121" s="8"/>
      <c r="BF121" s="8"/>
      <c r="BG121" s="9"/>
      <c r="BH121" s="9"/>
      <c r="BI121" s="9"/>
      <c r="BJ121" s="9"/>
      <c r="BK121" s="9"/>
      <c r="BL121" s="9"/>
      <c r="BM121" s="9"/>
      <c r="BN121" s="9"/>
      <c r="BO121" s="9"/>
      <c r="BP121" s="9"/>
      <c r="BQ121" s="9"/>
      <c r="BR121" s="9"/>
      <c r="BS121" s="9"/>
      <c r="BT121" s="9"/>
      <c r="BU121" s="9"/>
      <c r="BV121" s="9"/>
      <c r="IP121" s="9"/>
      <c r="IQ121" s="9"/>
      <c r="IR121" s="9"/>
      <c r="IS121" s="9"/>
      <c r="IT121" s="9"/>
      <c r="IU121" s="9"/>
      <c r="IV121" s="9"/>
    </row>
    <row r="122" spans="1:256" s="10" customFormat="1" ht="89.25">
      <c r="A122" s="272"/>
      <c r="B122" s="85">
        <v>119</v>
      </c>
      <c r="C122" s="250">
        <v>532214</v>
      </c>
      <c r="D122" s="244">
        <v>44375</v>
      </c>
      <c r="E122" s="1">
        <v>56919</v>
      </c>
      <c r="F122" s="1">
        <v>165572</v>
      </c>
      <c r="G122" s="1">
        <v>33689</v>
      </c>
      <c r="H122" s="1">
        <v>292</v>
      </c>
      <c r="I122" s="1"/>
      <c r="J122" s="1"/>
      <c r="K122" s="1">
        <v>21</v>
      </c>
      <c r="L122" s="204" t="s">
        <v>440</v>
      </c>
      <c r="M122" s="204" t="s">
        <v>721</v>
      </c>
      <c r="N122" s="204" t="s">
        <v>722</v>
      </c>
      <c r="O122" s="204"/>
      <c r="P122" s="204" t="s">
        <v>723</v>
      </c>
      <c r="Q122" s="204"/>
      <c r="R122" s="204"/>
      <c r="S122" s="204"/>
      <c r="T122" s="1">
        <v>2</v>
      </c>
      <c r="U122" s="1"/>
      <c r="V122" s="1"/>
      <c r="W122" s="1"/>
      <c r="X122" s="204" t="s">
        <v>44</v>
      </c>
      <c r="Y122" s="1">
        <v>2</v>
      </c>
      <c r="Z122" s="1"/>
      <c r="AA122" s="1">
        <f>+Y122+2</f>
        <v>4</v>
      </c>
      <c r="AB122" s="1"/>
      <c r="AC122" s="1">
        <f>+Y122*2</f>
        <v>4</v>
      </c>
      <c r="AD122" s="1"/>
      <c r="AE122" s="115"/>
      <c r="AF122" s="115"/>
      <c r="AG122" s="115">
        <f>77.25+13.36/2</f>
        <v>83.93</v>
      </c>
      <c r="AH122" s="115"/>
      <c r="AI122" s="115"/>
      <c r="AJ122" s="118"/>
      <c r="AK122" s="118">
        <v>872.95</v>
      </c>
      <c r="AL122" s="118"/>
      <c r="AM122" s="118"/>
      <c r="AN122" s="157">
        <f>+(6+24)/(2+6)</f>
        <v>3.75</v>
      </c>
      <c r="AO122" s="168">
        <f>+(18109+14484+6*10864+10*7243)/18*AG122+80000</f>
        <v>873637.41722222231</v>
      </c>
      <c r="AP122" s="169">
        <v>16555.02</v>
      </c>
      <c r="AQ122" s="193" t="s">
        <v>36</v>
      </c>
      <c r="AR122" s="5" t="s">
        <v>724</v>
      </c>
      <c r="AS122" s="211">
        <v>44414</v>
      </c>
      <c r="AT122" s="211"/>
      <c r="AU122" s="28" t="s">
        <v>725</v>
      </c>
      <c r="AV122" s="8"/>
      <c r="AW122" s="8"/>
      <c r="AX122" s="8"/>
      <c r="AY122" s="8"/>
      <c r="AZ122" s="8"/>
      <c r="BA122" s="8"/>
      <c r="BB122" s="8"/>
      <c r="BC122" s="8"/>
      <c r="BD122" s="8"/>
      <c r="BE122" s="8"/>
      <c r="BF122" s="8"/>
      <c r="BG122" s="9"/>
      <c r="BH122" s="9"/>
      <c r="BI122" s="9"/>
      <c r="BJ122" s="9"/>
      <c r="BK122" s="9"/>
      <c r="BL122" s="9"/>
      <c r="BM122" s="9"/>
      <c r="BN122" s="9"/>
      <c r="BO122" s="9"/>
      <c r="BP122" s="9"/>
      <c r="BQ122" s="9"/>
      <c r="BR122" s="9"/>
      <c r="BS122" s="9"/>
      <c r="BT122" s="9"/>
      <c r="BU122" s="9"/>
      <c r="BV122" s="9"/>
      <c r="IP122" s="9"/>
      <c r="IQ122" s="9"/>
      <c r="IR122" s="9"/>
      <c r="IS122" s="9"/>
      <c r="IT122" s="9"/>
      <c r="IU122" s="9"/>
      <c r="IV122" s="9"/>
    </row>
    <row r="123" spans="1:256" s="10" customFormat="1" ht="38.25">
      <c r="A123" s="274"/>
      <c r="B123" s="86">
        <v>120</v>
      </c>
      <c r="C123" s="193" t="s">
        <v>726</v>
      </c>
      <c r="D123" s="227">
        <v>44342</v>
      </c>
      <c r="E123" s="1"/>
      <c r="F123" s="1"/>
      <c r="G123" s="1"/>
      <c r="H123" s="1">
        <v>326</v>
      </c>
      <c r="I123" s="1"/>
      <c r="J123" s="1">
        <v>3</v>
      </c>
      <c r="K123" s="1"/>
      <c r="L123" s="204" t="s">
        <v>31</v>
      </c>
      <c r="M123" s="204" t="s">
        <v>727</v>
      </c>
      <c r="N123" s="204"/>
      <c r="O123" s="204" t="s">
        <v>728</v>
      </c>
      <c r="P123" s="204" t="s">
        <v>140</v>
      </c>
      <c r="Q123" s="204"/>
      <c r="R123" s="204"/>
      <c r="S123" s="204"/>
      <c r="T123" s="1"/>
      <c r="U123" s="2"/>
      <c r="V123" s="1"/>
      <c r="W123" s="1"/>
      <c r="X123" s="204" t="s">
        <v>729</v>
      </c>
      <c r="Y123" s="1"/>
      <c r="Z123" s="2"/>
      <c r="AA123" s="3"/>
      <c r="AB123" s="2"/>
      <c r="AC123" s="3"/>
      <c r="AD123" s="2"/>
      <c r="AE123" s="115"/>
      <c r="AF123" s="115"/>
      <c r="AG123" s="115"/>
      <c r="AH123" s="115"/>
      <c r="AI123" s="116"/>
      <c r="AJ123" s="117">
        <f>100.59+4.43/2+37.92</f>
        <v>140.72500000000002</v>
      </c>
      <c r="AK123" s="118">
        <v>175.75</v>
      </c>
      <c r="AL123" s="118">
        <f>+(100.59+4.43)/AK123</f>
        <v>0.59755334281650074</v>
      </c>
      <c r="AM123" s="118">
        <f>+AJ123/AK123</f>
        <v>0.80071123755334295</v>
      </c>
      <c r="AN123" s="157"/>
      <c r="AO123" s="168">
        <f>+AJ123*14484</f>
        <v>2038260.9000000004</v>
      </c>
      <c r="AP123" s="169">
        <v>8432.5</v>
      </c>
      <c r="AQ123" s="193" t="s">
        <v>36</v>
      </c>
      <c r="AR123" s="5" t="s">
        <v>730</v>
      </c>
      <c r="AS123" s="211">
        <v>44414</v>
      </c>
      <c r="AT123" s="211"/>
      <c r="AU123" s="5"/>
      <c r="AV123" s="8"/>
      <c r="AW123" s="8"/>
      <c r="AX123" s="8"/>
      <c r="AY123" s="8"/>
      <c r="AZ123" s="8"/>
      <c r="BA123" s="8"/>
      <c r="BB123" s="8"/>
      <c r="BC123" s="8"/>
      <c r="BD123" s="8"/>
      <c r="BE123" s="8"/>
      <c r="BF123" s="8"/>
      <c r="BG123" s="9"/>
      <c r="BH123" s="9"/>
      <c r="BI123" s="9"/>
      <c r="BJ123" s="9"/>
      <c r="BK123" s="9"/>
      <c r="BL123" s="9"/>
      <c r="BM123" s="9"/>
      <c r="BN123" s="9"/>
      <c r="BO123" s="9"/>
      <c r="BP123" s="9"/>
      <c r="BQ123" s="9"/>
      <c r="BR123" s="9"/>
      <c r="BS123" s="9"/>
      <c r="BT123" s="9"/>
      <c r="BU123" s="9"/>
      <c r="BV123" s="9"/>
      <c r="IP123" s="9"/>
      <c r="IQ123" s="9"/>
      <c r="IR123" s="9"/>
      <c r="IS123" s="9"/>
      <c r="IT123" s="9"/>
      <c r="IU123" s="9"/>
      <c r="IV123" s="9"/>
    </row>
    <row r="124" spans="1:256" s="10" customFormat="1" ht="153">
      <c r="A124" s="274"/>
      <c r="B124" s="86">
        <v>121</v>
      </c>
      <c r="C124" s="193">
        <v>530839</v>
      </c>
      <c r="D124" s="227">
        <v>44315</v>
      </c>
      <c r="E124" s="1">
        <v>56178</v>
      </c>
      <c r="F124" s="1">
        <v>159485</v>
      </c>
      <c r="G124" s="1">
        <v>32635</v>
      </c>
      <c r="H124" s="1">
        <v>225</v>
      </c>
      <c r="I124" s="1"/>
      <c r="J124" s="1">
        <v>3</v>
      </c>
      <c r="K124" s="1">
        <v>5</v>
      </c>
      <c r="L124" s="204" t="s">
        <v>440</v>
      </c>
      <c r="M124" s="204" t="s">
        <v>731</v>
      </c>
      <c r="N124" s="204" t="s">
        <v>732</v>
      </c>
      <c r="O124" s="204" t="s">
        <v>733</v>
      </c>
      <c r="P124" s="204" t="s">
        <v>734</v>
      </c>
      <c r="Q124" s="204"/>
      <c r="R124" s="204"/>
      <c r="S124" s="204"/>
      <c r="T124" s="1">
        <f>1+1</f>
        <v>2</v>
      </c>
      <c r="U124" s="2"/>
      <c r="V124" s="1"/>
      <c r="W124" s="1"/>
      <c r="X124" s="204" t="s">
        <v>44</v>
      </c>
      <c r="Y124" s="1"/>
      <c r="Z124" s="2"/>
      <c r="AA124" s="3"/>
      <c r="AB124" s="2"/>
      <c r="AC124" s="3"/>
      <c r="AD124" s="2"/>
      <c r="AE124" s="115">
        <f>150.45+147.05/2+47.52+26.64/2+16.74</f>
        <v>301.55500000000001</v>
      </c>
      <c r="AF124" s="115"/>
      <c r="AG124" s="115">
        <f>294.58+260.38/2-AE124</f>
        <v>123.21499999999997</v>
      </c>
      <c r="AH124" s="115"/>
      <c r="AI124" s="116"/>
      <c r="AJ124" s="117"/>
      <c r="AK124" s="118">
        <v>2320</v>
      </c>
      <c r="AL124" s="118">
        <f>+(294.58+260.38)/AK124</f>
        <v>0.23920689655172414</v>
      </c>
      <c r="AM124" s="118">
        <f>+(AE124+AG124)/AK124</f>
        <v>0.18309051724137931</v>
      </c>
      <c r="AN124" s="157">
        <f>+(4+12+12)/(2+4+3)</f>
        <v>3.1111111111111112</v>
      </c>
      <c r="AO124" s="168">
        <f>+(4*18109+5*14484+5*10864+6*7243)/20*AG124</f>
        <v>1494807.4154999999</v>
      </c>
      <c r="AP124" s="169">
        <v>29495.09</v>
      </c>
      <c r="AQ124" s="193" t="s">
        <v>36</v>
      </c>
      <c r="AR124" s="5" t="s">
        <v>735</v>
      </c>
      <c r="AS124" s="211">
        <v>44425</v>
      </c>
      <c r="AT124" s="211"/>
      <c r="AU124" s="5" t="s">
        <v>736</v>
      </c>
      <c r="AV124" s="8"/>
      <c r="AW124" s="8"/>
      <c r="AX124" s="8"/>
      <c r="AY124" s="8"/>
      <c r="AZ124" s="8"/>
      <c r="BA124" s="8"/>
      <c r="BB124" s="8"/>
      <c r="BC124" s="8"/>
      <c r="BD124" s="8"/>
      <c r="BE124" s="8"/>
      <c r="BF124" s="8"/>
      <c r="BG124" s="9"/>
      <c r="BH124" s="9"/>
      <c r="BI124" s="9"/>
      <c r="BJ124" s="9"/>
      <c r="BK124" s="9"/>
      <c r="BL124" s="9"/>
      <c r="BM124" s="9"/>
      <c r="BN124" s="9"/>
      <c r="BO124" s="9"/>
      <c r="BP124" s="9"/>
      <c r="BQ124" s="9"/>
      <c r="BR124" s="9"/>
      <c r="BS124" s="9"/>
      <c r="BT124" s="9"/>
      <c r="BU124" s="9"/>
      <c r="BV124" s="9"/>
      <c r="IP124" s="9"/>
      <c r="IQ124" s="9"/>
      <c r="IR124" s="9"/>
      <c r="IS124" s="9"/>
      <c r="IT124" s="9"/>
      <c r="IU124" s="9"/>
      <c r="IV124" s="9"/>
    </row>
    <row r="125" spans="1:256" s="10" customFormat="1" ht="63.75">
      <c r="A125" s="274"/>
      <c r="B125" s="86">
        <v>122</v>
      </c>
      <c r="C125" s="193">
        <v>530868</v>
      </c>
      <c r="D125" s="227">
        <v>44316</v>
      </c>
      <c r="E125" s="1">
        <v>24813</v>
      </c>
      <c r="F125" s="1">
        <v>494</v>
      </c>
      <c r="G125" s="1">
        <v>746</v>
      </c>
      <c r="H125" s="1"/>
      <c r="I125" s="1"/>
      <c r="J125" s="1">
        <v>77</v>
      </c>
      <c r="K125" s="1">
        <v>12</v>
      </c>
      <c r="L125" s="204" t="s">
        <v>81</v>
      </c>
      <c r="M125" s="204" t="s">
        <v>737</v>
      </c>
      <c r="N125" s="204" t="s">
        <v>738</v>
      </c>
      <c r="O125" s="204" t="s">
        <v>739</v>
      </c>
      <c r="P125" s="204" t="s">
        <v>373</v>
      </c>
      <c r="Q125" s="204"/>
      <c r="R125" s="204"/>
      <c r="S125" s="204"/>
      <c r="T125" s="1">
        <v>1</v>
      </c>
      <c r="U125" s="2"/>
      <c r="V125" s="1"/>
      <c r="W125" s="1"/>
      <c r="X125" s="204" t="s">
        <v>114</v>
      </c>
      <c r="Y125" s="1"/>
      <c r="Z125" s="2"/>
      <c r="AA125" s="3"/>
      <c r="AB125" s="2"/>
      <c r="AC125" s="3"/>
      <c r="AD125" s="2"/>
      <c r="AE125" s="115"/>
      <c r="AF125" s="115"/>
      <c r="AG125" s="115"/>
      <c r="AH125" s="115">
        <v>452.87</v>
      </c>
      <c r="AI125" s="116"/>
      <c r="AJ125" s="117"/>
      <c r="AK125" s="118">
        <v>452.87</v>
      </c>
      <c r="AL125" s="118">
        <f>+AH125/AK125</f>
        <v>1</v>
      </c>
      <c r="AM125" s="118">
        <f>+AH125/AK125</f>
        <v>1</v>
      </c>
      <c r="AN125" s="157">
        <f>+(2+15+8+24)/(1+5+2+4)</f>
        <v>4.083333333333333</v>
      </c>
      <c r="AO125" s="168">
        <f>+AH125*14484</f>
        <v>6559369.0800000001</v>
      </c>
      <c r="AP125" s="169">
        <v>101445.02</v>
      </c>
      <c r="AQ125" s="193" t="s">
        <v>36</v>
      </c>
      <c r="AR125" s="5" t="s">
        <v>740</v>
      </c>
      <c r="AS125" s="211">
        <v>44426</v>
      </c>
      <c r="AT125" s="211"/>
      <c r="AU125" s="5" t="s">
        <v>741</v>
      </c>
      <c r="AV125" s="8"/>
      <c r="AW125" s="8"/>
      <c r="AX125" s="8"/>
      <c r="AY125" s="8"/>
      <c r="AZ125" s="8"/>
      <c r="BA125" s="8"/>
      <c r="BB125" s="8"/>
      <c r="BC125" s="8"/>
      <c r="BD125" s="8"/>
      <c r="BE125" s="8"/>
      <c r="BF125" s="8"/>
      <c r="BG125" s="9"/>
      <c r="BH125" s="9"/>
      <c r="BI125" s="9"/>
      <c r="BJ125" s="9"/>
      <c r="BK125" s="9"/>
      <c r="BL125" s="9"/>
      <c r="BM125" s="9"/>
      <c r="BN125" s="9"/>
      <c r="BO125" s="9"/>
      <c r="BP125" s="9"/>
      <c r="BQ125" s="9"/>
      <c r="BR125" s="9"/>
      <c r="BS125" s="9"/>
      <c r="BT125" s="9"/>
      <c r="BU125" s="9"/>
      <c r="BV125" s="9"/>
      <c r="IP125" s="9"/>
      <c r="IQ125" s="9"/>
      <c r="IR125" s="9"/>
      <c r="IS125" s="9"/>
      <c r="IT125" s="9"/>
      <c r="IU125" s="9"/>
      <c r="IV125" s="9"/>
    </row>
    <row r="126" spans="1:256" s="10" customFormat="1" ht="76.5">
      <c r="A126" s="274"/>
      <c r="B126" s="86">
        <v>123</v>
      </c>
      <c r="C126" s="193">
        <v>531712</v>
      </c>
      <c r="D126" s="227">
        <v>44351</v>
      </c>
      <c r="E126" s="1">
        <v>47989</v>
      </c>
      <c r="F126" s="1">
        <v>158725</v>
      </c>
      <c r="G126" s="1">
        <v>32433</v>
      </c>
      <c r="H126" s="1">
        <v>111</v>
      </c>
      <c r="I126" s="1"/>
      <c r="J126" s="1">
        <v>10</v>
      </c>
      <c r="K126" s="1">
        <v>1</v>
      </c>
      <c r="L126" s="204" t="s">
        <v>560</v>
      </c>
      <c r="M126" s="204" t="s">
        <v>742</v>
      </c>
      <c r="N126" s="204" t="s">
        <v>743</v>
      </c>
      <c r="O126" s="204"/>
      <c r="P126" s="204" t="s">
        <v>744</v>
      </c>
      <c r="Q126" s="204"/>
      <c r="R126" s="204"/>
      <c r="S126" s="204"/>
      <c r="T126" s="1">
        <f>1+U126</f>
        <v>1</v>
      </c>
      <c r="U126" s="2"/>
      <c r="V126" s="1"/>
      <c r="W126" s="1"/>
      <c r="X126" s="204" t="s">
        <v>44</v>
      </c>
      <c r="Y126" s="1">
        <f>2+1+1</f>
        <v>4</v>
      </c>
      <c r="Z126" s="2"/>
      <c r="AA126" s="3">
        <f>+Y126+1+1</f>
        <v>6</v>
      </c>
      <c r="AB126" s="2"/>
      <c r="AC126" s="3"/>
      <c r="AD126" s="2"/>
      <c r="AE126" s="115">
        <f>30+46</f>
        <v>76</v>
      </c>
      <c r="AF126" s="115"/>
      <c r="AG126" s="115">
        <f>30+16.5</f>
        <v>46.5</v>
      </c>
      <c r="AH126" s="115"/>
      <c r="AI126" s="116"/>
      <c r="AJ126" s="117"/>
      <c r="AK126" s="118">
        <v>2160</v>
      </c>
      <c r="AL126" s="118">
        <f>+(AE126+AG126)/AK126</f>
        <v>5.6712962962962965E-2</v>
      </c>
      <c r="AM126" s="118">
        <f>+(AE126+AG126)/AK126</f>
        <v>5.6712962962962965E-2</v>
      </c>
      <c r="AN126" s="157"/>
      <c r="AO126" s="168">
        <f>+(14484+6*10864+10*7243)/17*AG126</f>
        <v>416032.76470588229</v>
      </c>
      <c r="AP126" s="169">
        <v>37650.769999999997</v>
      </c>
      <c r="AQ126" s="193" t="s">
        <v>36</v>
      </c>
      <c r="AR126" s="5" t="s">
        <v>745</v>
      </c>
      <c r="AS126" s="211">
        <v>44432</v>
      </c>
      <c r="AT126" s="211"/>
      <c r="AU126" s="5" t="s">
        <v>746</v>
      </c>
      <c r="AV126" s="8"/>
      <c r="AW126" s="8"/>
      <c r="AX126" s="8"/>
      <c r="AY126" s="8"/>
      <c r="AZ126" s="8"/>
      <c r="BA126" s="8"/>
      <c r="BB126" s="8"/>
      <c r="BC126" s="8"/>
      <c r="BD126" s="8"/>
      <c r="BE126" s="8"/>
      <c r="BF126" s="8"/>
      <c r="BG126" s="9"/>
      <c r="BH126" s="9"/>
      <c r="BI126" s="9"/>
      <c r="BJ126" s="9"/>
      <c r="BK126" s="9"/>
      <c r="BL126" s="9"/>
      <c r="BM126" s="9"/>
      <c r="BN126" s="9"/>
      <c r="BO126" s="9"/>
      <c r="BP126" s="9"/>
      <c r="BQ126" s="9"/>
      <c r="BR126" s="9"/>
      <c r="BS126" s="9"/>
      <c r="BT126" s="9"/>
      <c r="BU126" s="9"/>
      <c r="BV126" s="9"/>
      <c r="IP126" s="9"/>
      <c r="IQ126" s="9"/>
      <c r="IR126" s="9"/>
      <c r="IS126" s="9"/>
      <c r="IT126" s="9"/>
      <c r="IU126" s="9"/>
      <c r="IV126" s="9"/>
    </row>
    <row r="127" spans="1:256" s="10" customFormat="1" ht="38.25">
      <c r="A127" s="274"/>
      <c r="B127" s="86">
        <v>124</v>
      </c>
      <c r="C127" s="193" t="s">
        <v>747</v>
      </c>
      <c r="D127" s="227">
        <v>44382</v>
      </c>
      <c r="E127" s="1">
        <v>57148</v>
      </c>
      <c r="F127" s="1">
        <v>163195</v>
      </c>
      <c r="G127" s="1">
        <v>33299</v>
      </c>
      <c r="H127" s="1">
        <v>341</v>
      </c>
      <c r="I127" s="1"/>
      <c r="J127" s="1">
        <v>2</v>
      </c>
      <c r="K127" s="1">
        <v>5</v>
      </c>
      <c r="L127" s="204" t="s">
        <v>748</v>
      </c>
      <c r="M127" s="204" t="s">
        <v>749</v>
      </c>
      <c r="N127" s="204" t="s">
        <v>750</v>
      </c>
      <c r="O127" s="204"/>
      <c r="P127" s="204" t="s">
        <v>236</v>
      </c>
      <c r="Q127" s="204" t="s">
        <v>236</v>
      </c>
      <c r="R127" s="204" t="s">
        <v>236</v>
      </c>
      <c r="S127" s="204" t="s">
        <v>751</v>
      </c>
      <c r="T127" s="1"/>
      <c r="U127" s="2">
        <v>4</v>
      </c>
      <c r="V127" s="1"/>
      <c r="W127" s="1"/>
      <c r="X127" s="204" t="s">
        <v>44</v>
      </c>
      <c r="Y127" s="1">
        <f>1+1+1+1</f>
        <v>4</v>
      </c>
      <c r="Z127" s="2"/>
      <c r="AA127" s="3">
        <f>+Y127</f>
        <v>4</v>
      </c>
      <c r="AB127" s="2"/>
      <c r="AC127" s="3">
        <f>+Y127*2</f>
        <v>8</v>
      </c>
      <c r="AD127" s="2"/>
      <c r="AE127" s="115"/>
      <c r="AF127" s="115"/>
      <c r="AG127" s="115"/>
      <c r="AH127" s="115"/>
      <c r="AI127" s="116">
        <v>151.26</v>
      </c>
      <c r="AJ127" s="117"/>
      <c r="AK127" s="118">
        <v>814.7</v>
      </c>
      <c r="AL127" s="118">
        <f>+AI127/AK127</f>
        <v>0.1856634343930281</v>
      </c>
      <c r="AM127" s="118">
        <f>+AI127/AK127</f>
        <v>0.1856634343930281</v>
      </c>
      <c r="AN127" s="157"/>
      <c r="AO127" s="168">
        <f>641722+((3*14484+11*10864+6*7243)/20)*AI127</f>
        <v>2202831.0819999999</v>
      </c>
      <c r="AP127" s="169">
        <v>42824.92</v>
      </c>
      <c r="AQ127" s="193" t="s">
        <v>45</v>
      </c>
      <c r="AR127" s="5" t="s">
        <v>752</v>
      </c>
      <c r="AS127" s="211">
        <v>44432</v>
      </c>
      <c r="AT127" s="211"/>
      <c r="AU127" s="5" t="s">
        <v>753</v>
      </c>
      <c r="AV127" s="8"/>
      <c r="AW127" s="8"/>
      <c r="AX127" s="8"/>
      <c r="AY127" s="8"/>
      <c r="AZ127" s="8"/>
      <c r="BA127" s="8"/>
      <c r="BB127" s="8"/>
      <c r="BC127" s="8"/>
      <c r="BD127" s="8"/>
      <c r="BE127" s="8"/>
      <c r="BF127" s="8"/>
      <c r="BG127" s="9"/>
      <c r="BH127" s="9"/>
      <c r="BI127" s="9"/>
      <c r="BJ127" s="9"/>
      <c r="BK127" s="9"/>
      <c r="BL127" s="9"/>
      <c r="BM127" s="9"/>
      <c r="BN127" s="9"/>
      <c r="BO127" s="9"/>
      <c r="BP127" s="9"/>
      <c r="BQ127" s="9"/>
      <c r="BR127" s="9"/>
      <c r="BS127" s="9"/>
      <c r="BT127" s="9"/>
      <c r="BU127" s="9"/>
      <c r="BV127" s="9"/>
      <c r="IP127" s="9"/>
      <c r="IQ127" s="9"/>
      <c r="IR127" s="9"/>
      <c r="IS127" s="9"/>
      <c r="IT127" s="9"/>
      <c r="IU127" s="9"/>
      <c r="IV127" s="9"/>
    </row>
    <row r="128" spans="1:256" s="10" customFormat="1" ht="76.5">
      <c r="A128" s="274"/>
      <c r="B128" s="86">
        <v>125</v>
      </c>
      <c r="C128" s="193">
        <v>532721</v>
      </c>
      <c r="D128" s="227">
        <v>44398</v>
      </c>
      <c r="E128" s="1">
        <v>40647</v>
      </c>
      <c r="F128" s="1">
        <v>139101</v>
      </c>
      <c r="G128" s="1">
        <v>31689</v>
      </c>
      <c r="H128" s="1">
        <v>227</v>
      </c>
      <c r="I128" s="1"/>
      <c r="J128" s="1">
        <v>3</v>
      </c>
      <c r="K128" s="1">
        <v>2</v>
      </c>
      <c r="L128" s="204" t="s">
        <v>440</v>
      </c>
      <c r="M128" s="204" t="s">
        <v>754</v>
      </c>
      <c r="N128" s="204" t="s">
        <v>755</v>
      </c>
      <c r="O128" s="204"/>
      <c r="P128" s="204" t="s">
        <v>378</v>
      </c>
      <c r="Q128" s="204"/>
      <c r="R128" s="204"/>
      <c r="S128" s="204"/>
      <c r="T128" s="1">
        <v>1</v>
      </c>
      <c r="U128" s="2"/>
      <c r="V128" s="1"/>
      <c r="W128" s="1"/>
      <c r="X128" s="204" t="s">
        <v>67</v>
      </c>
      <c r="Y128" s="1">
        <v>2</v>
      </c>
      <c r="Z128" s="2"/>
      <c r="AA128" s="3">
        <f>+Y128+1</f>
        <v>3</v>
      </c>
      <c r="AB128" s="2"/>
      <c r="AC128" s="3">
        <f>+Y128*2</f>
        <v>4</v>
      </c>
      <c r="AD128" s="2">
        <f t="shared" ref="AD128:AD133" si="0">+Z128*2</f>
        <v>0</v>
      </c>
      <c r="AE128" s="115"/>
      <c r="AF128" s="115"/>
      <c r="AG128" s="115">
        <f>127.17+14.23/2</f>
        <v>134.285</v>
      </c>
      <c r="AH128" s="115"/>
      <c r="AI128" s="116"/>
      <c r="AJ128" s="117"/>
      <c r="AK128" s="118">
        <v>2183</v>
      </c>
      <c r="AL128" s="118">
        <f>+(127.17+14.23)/AK128</f>
        <v>6.4773247824095284E-2</v>
      </c>
      <c r="AM128" s="118">
        <f>+AG128/AK128</f>
        <v>6.1513971598717361E-2</v>
      </c>
      <c r="AN128" s="157"/>
      <c r="AO128" s="168">
        <f>+(51236.35+((9*14484+7*10864+7243*4)/20*AG128))</f>
        <v>1631609.6580000001</v>
      </c>
      <c r="AP128" s="169">
        <v>26315.63</v>
      </c>
      <c r="AQ128" s="193" t="s">
        <v>36</v>
      </c>
      <c r="AR128" s="5" t="s">
        <v>756</v>
      </c>
      <c r="AS128" s="211">
        <v>44432</v>
      </c>
      <c r="AT128" s="211"/>
      <c r="AU128" s="5" t="s">
        <v>709</v>
      </c>
      <c r="AV128" s="8"/>
      <c r="AW128" s="8"/>
      <c r="AX128" s="8"/>
      <c r="AY128" s="8"/>
      <c r="AZ128" s="8"/>
      <c r="BA128" s="8"/>
      <c r="BB128" s="8"/>
      <c r="BC128" s="8"/>
      <c r="BD128" s="8"/>
      <c r="BE128" s="8"/>
      <c r="BF128" s="8"/>
      <c r="BG128" s="9"/>
      <c r="BH128" s="9"/>
      <c r="BI128" s="9"/>
      <c r="BJ128" s="9"/>
      <c r="BK128" s="9"/>
      <c r="BL128" s="9"/>
      <c r="BM128" s="9"/>
      <c r="BN128" s="9"/>
      <c r="BO128" s="9"/>
      <c r="BP128" s="9"/>
      <c r="BQ128" s="9"/>
      <c r="BR128" s="9"/>
      <c r="BS128" s="9"/>
      <c r="BT128" s="9"/>
      <c r="BU128" s="9"/>
      <c r="BV128" s="9"/>
      <c r="IP128" s="9"/>
      <c r="IQ128" s="9"/>
      <c r="IR128" s="9"/>
      <c r="IS128" s="9"/>
      <c r="IT128" s="9"/>
      <c r="IU128" s="9"/>
      <c r="IV128" s="9"/>
    </row>
    <row r="129" spans="1:256" s="10" customFormat="1" ht="63.75">
      <c r="A129" s="274"/>
      <c r="B129" s="86">
        <v>126</v>
      </c>
      <c r="C129" s="193" t="s">
        <v>757</v>
      </c>
      <c r="D129" s="227">
        <v>44383</v>
      </c>
      <c r="E129" s="1">
        <v>-46940</v>
      </c>
      <c r="F129" s="1">
        <v>141608</v>
      </c>
      <c r="G129" s="1">
        <v>32065</v>
      </c>
      <c r="H129" s="1">
        <v>327</v>
      </c>
      <c r="I129" s="1"/>
      <c r="J129" s="1">
        <v>6</v>
      </c>
      <c r="K129" s="1">
        <v>1</v>
      </c>
      <c r="L129" s="204" t="s">
        <v>144</v>
      </c>
      <c r="M129" s="204" t="s">
        <v>758</v>
      </c>
      <c r="N129" s="204" t="s">
        <v>759</v>
      </c>
      <c r="O129" s="204"/>
      <c r="P129" s="204" t="s">
        <v>760</v>
      </c>
      <c r="Q129" s="204" t="s">
        <v>760</v>
      </c>
      <c r="R129" s="204" t="s">
        <v>760</v>
      </c>
      <c r="S129" s="204" t="s">
        <v>461</v>
      </c>
      <c r="T129" s="1"/>
      <c r="U129" s="2">
        <v>1</v>
      </c>
      <c r="V129" s="1"/>
      <c r="W129" s="1"/>
      <c r="X129" s="204" t="s">
        <v>67</v>
      </c>
      <c r="Y129" s="1"/>
      <c r="Z129" s="2">
        <v>2</v>
      </c>
      <c r="AA129" s="3"/>
      <c r="AB129" s="2">
        <f>+Z129+1+1</f>
        <v>4</v>
      </c>
      <c r="AC129" s="3"/>
      <c r="AD129" s="2">
        <f t="shared" si="0"/>
        <v>4</v>
      </c>
      <c r="AE129" s="115"/>
      <c r="AF129" s="115"/>
      <c r="AG129" s="115"/>
      <c r="AH129" s="115"/>
      <c r="AI129" s="116">
        <f>4.96+21.52+68.01+7.9+4.2+3.32/2+4.47/2</f>
        <v>110.48500000000001</v>
      </c>
      <c r="AJ129" s="117"/>
      <c r="AK129" s="118">
        <v>310.3</v>
      </c>
      <c r="AL129" s="118">
        <f>+(4.96+21.52+68.01+7.9+4.2+3.32+4.47)/AK129</f>
        <v>0.36861102159200776</v>
      </c>
      <c r="AM129" s="118">
        <f>+AI129/AK129</f>
        <v>0.35605865291653244</v>
      </c>
      <c r="AN129" s="157"/>
      <c r="AO129" s="168">
        <f>+(8*18109+14484*3+6*10864+3*7243)/20*AI129</f>
        <v>1520477.9972500002</v>
      </c>
      <c r="AP129" s="169">
        <v>5209.83</v>
      </c>
      <c r="AQ129" s="193" t="s">
        <v>36</v>
      </c>
      <c r="AR129" s="5" t="s">
        <v>761</v>
      </c>
      <c r="AS129" s="211">
        <v>44432</v>
      </c>
      <c r="AT129" s="211"/>
      <c r="AU129" s="5" t="s">
        <v>762</v>
      </c>
      <c r="AV129" s="8"/>
      <c r="AW129" s="8"/>
      <c r="AX129" s="8"/>
      <c r="AY129" s="8"/>
      <c r="AZ129" s="8"/>
      <c r="BA129" s="8"/>
      <c r="BB129" s="8"/>
      <c r="BC129" s="8"/>
      <c r="BD129" s="8"/>
      <c r="BE129" s="8"/>
      <c r="BF129" s="8"/>
      <c r="BG129" s="9"/>
      <c r="BH129" s="9"/>
      <c r="BI129" s="9"/>
      <c r="BJ129" s="9"/>
      <c r="BK129" s="9"/>
      <c r="BL129" s="9"/>
      <c r="BM129" s="9"/>
      <c r="BN129" s="9"/>
      <c r="BO129" s="9"/>
      <c r="BP129" s="9"/>
      <c r="BQ129" s="9"/>
      <c r="BR129" s="9"/>
      <c r="BS129" s="9"/>
      <c r="BT129" s="9"/>
      <c r="BU129" s="9"/>
      <c r="BV129" s="9"/>
      <c r="IP129" s="9"/>
      <c r="IQ129" s="9"/>
      <c r="IR129" s="9"/>
      <c r="IS129" s="9"/>
      <c r="IT129" s="9"/>
      <c r="IU129" s="9"/>
      <c r="IV129" s="9"/>
    </row>
    <row r="130" spans="1:256" s="10" customFormat="1" ht="63.75">
      <c r="A130" s="274"/>
      <c r="B130" s="86">
        <v>127</v>
      </c>
      <c r="C130" s="193">
        <v>529950</v>
      </c>
      <c r="D130" s="227">
        <v>44278</v>
      </c>
      <c r="E130" s="1">
        <v>7760</v>
      </c>
      <c r="F130" s="1">
        <v>50906</v>
      </c>
      <c r="G130" s="1">
        <v>2826</v>
      </c>
      <c r="H130" s="1"/>
      <c r="I130" s="1"/>
      <c r="J130" s="1">
        <v>756</v>
      </c>
      <c r="K130" s="1">
        <v>16</v>
      </c>
      <c r="L130" s="204" t="s">
        <v>130</v>
      </c>
      <c r="M130" s="204" t="s">
        <v>763</v>
      </c>
      <c r="N130" s="204" t="s">
        <v>764</v>
      </c>
      <c r="O130" s="204"/>
      <c r="P130" s="204" t="s">
        <v>120</v>
      </c>
      <c r="Q130" s="204" t="s">
        <v>120</v>
      </c>
      <c r="R130" s="204" t="s">
        <v>120</v>
      </c>
      <c r="S130" s="204" t="s">
        <v>765</v>
      </c>
      <c r="T130" s="1">
        <v>7</v>
      </c>
      <c r="U130" s="2">
        <v>1</v>
      </c>
      <c r="V130" s="1"/>
      <c r="W130" s="1"/>
      <c r="X130" s="204" t="s">
        <v>44</v>
      </c>
      <c r="Y130" s="1">
        <v>7</v>
      </c>
      <c r="Z130" s="2">
        <v>2</v>
      </c>
      <c r="AA130" s="3">
        <f>+Y130</f>
        <v>7</v>
      </c>
      <c r="AB130" s="2">
        <f>+Z130+1</f>
        <v>3</v>
      </c>
      <c r="AC130" s="3">
        <f>+Y130*2</f>
        <v>14</v>
      </c>
      <c r="AD130" s="2">
        <f t="shared" si="0"/>
        <v>4</v>
      </c>
      <c r="AE130" s="115">
        <f>106.38+57.78/2+135.06+26.49/2</f>
        <v>283.57499999999999</v>
      </c>
      <c r="AF130" s="115"/>
      <c r="AG130" s="115"/>
      <c r="AH130" s="115"/>
      <c r="AI130" s="116">
        <f>6.23/2+101.51+22.78/2</f>
        <v>116.015</v>
      </c>
      <c r="AJ130" s="117"/>
      <c r="AK130" s="118">
        <v>375</v>
      </c>
      <c r="AL130" s="118"/>
      <c r="AM130" s="118">
        <f>+(AE130+AI130)/AK130</f>
        <v>1.0655733333333333</v>
      </c>
      <c r="AN130" s="157"/>
      <c r="AO130" s="168">
        <f>+(5*18109+5*14484+8*10864+7243*3)/21*AI130</f>
        <v>1500493.8138095238</v>
      </c>
      <c r="AP130" s="169">
        <v>6992.66</v>
      </c>
      <c r="AQ130" s="193" t="s">
        <v>73</v>
      </c>
      <c r="AR130" s="5" t="s">
        <v>766</v>
      </c>
      <c r="AS130" s="211">
        <v>44434</v>
      </c>
      <c r="AT130" s="211"/>
      <c r="AU130" s="5" t="s">
        <v>767</v>
      </c>
      <c r="AV130" s="8"/>
      <c r="AW130" s="8"/>
      <c r="AX130" s="8"/>
      <c r="AY130" s="8"/>
      <c r="AZ130" s="8"/>
      <c r="BA130" s="8"/>
      <c r="BB130" s="8"/>
      <c r="BC130" s="8"/>
      <c r="BD130" s="8"/>
      <c r="BE130" s="8"/>
      <c r="BF130" s="8"/>
      <c r="BG130" s="9"/>
      <c r="BH130" s="9"/>
      <c r="BI130" s="9"/>
      <c r="BJ130" s="9"/>
      <c r="BK130" s="9"/>
      <c r="BL130" s="9"/>
      <c r="BM130" s="9"/>
      <c r="BN130" s="9"/>
      <c r="BO130" s="9"/>
      <c r="BP130" s="9"/>
      <c r="BQ130" s="9"/>
      <c r="BR130" s="9"/>
      <c r="BS130" s="9"/>
      <c r="BT130" s="9"/>
      <c r="BU130" s="9"/>
      <c r="BV130" s="9"/>
      <c r="IP130" s="9"/>
      <c r="IQ130" s="9"/>
      <c r="IR130" s="9"/>
      <c r="IS130" s="9"/>
      <c r="IT130" s="9"/>
      <c r="IU130" s="9"/>
      <c r="IV130" s="9"/>
    </row>
    <row r="131" spans="1:256" s="10" customFormat="1" ht="51">
      <c r="A131" s="272"/>
      <c r="B131" s="85">
        <v>128</v>
      </c>
      <c r="C131" s="196">
        <v>533299</v>
      </c>
      <c r="D131" s="227">
        <v>44377</v>
      </c>
      <c r="E131" s="1">
        <v>52390</v>
      </c>
      <c r="F131" s="1">
        <v>137277</v>
      </c>
      <c r="G131" s="1">
        <v>8013</v>
      </c>
      <c r="H131" s="1"/>
      <c r="I131" s="1"/>
      <c r="J131" s="1">
        <v>321</v>
      </c>
      <c r="K131" s="1">
        <v>6</v>
      </c>
      <c r="L131" s="204" t="s">
        <v>39</v>
      </c>
      <c r="M131" s="204" t="s">
        <v>768</v>
      </c>
      <c r="N131" s="204" t="s">
        <v>769</v>
      </c>
      <c r="O131" s="204"/>
      <c r="P131" s="204" t="s">
        <v>339</v>
      </c>
      <c r="Q131" s="204" t="s">
        <v>339</v>
      </c>
      <c r="R131" s="204" t="s">
        <v>339</v>
      </c>
      <c r="S131" s="204" t="s">
        <v>340</v>
      </c>
      <c r="T131" s="1"/>
      <c r="U131" s="1">
        <f>4+1</f>
        <v>5</v>
      </c>
      <c r="V131" s="1"/>
      <c r="W131" s="1"/>
      <c r="X131" s="204" t="s">
        <v>770</v>
      </c>
      <c r="Y131" s="1"/>
      <c r="Z131" s="1">
        <f>2*4</f>
        <v>8</v>
      </c>
      <c r="AA131" s="1"/>
      <c r="AB131" s="1">
        <f>+Z131+4</f>
        <v>12</v>
      </c>
      <c r="AC131" s="1"/>
      <c r="AD131" s="1">
        <f t="shared" si="0"/>
        <v>16</v>
      </c>
      <c r="AE131" s="115"/>
      <c r="AF131" s="115"/>
      <c r="AG131" s="115"/>
      <c r="AH131" s="115"/>
      <c r="AI131" s="115">
        <f>68/2+337</f>
        <v>371</v>
      </c>
      <c r="AJ131" s="118"/>
      <c r="AK131" s="139">
        <v>270.35000000000002</v>
      </c>
      <c r="AL131" s="118">
        <f>+((AK131-135.34))/AK131</f>
        <v>0.49938968004438694</v>
      </c>
      <c r="AM131" s="118">
        <f>337/AK131</f>
        <v>1.246532272979471</v>
      </c>
      <c r="AN131" s="157">
        <f>+(2+15+8)/(1+5+2)</f>
        <v>3.125</v>
      </c>
      <c r="AO131" s="168">
        <f>+(2*18109+14484*3+8*10864+14*7243)/27*AI131</f>
        <v>3682298.666666667</v>
      </c>
      <c r="AP131" s="169">
        <v>15469.54</v>
      </c>
      <c r="AQ131" s="193" t="s">
        <v>36</v>
      </c>
      <c r="AR131" s="5" t="s">
        <v>771</v>
      </c>
      <c r="AS131" s="211">
        <v>44434</v>
      </c>
      <c r="AT131" s="211"/>
      <c r="AU131" s="28" t="s">
        <v>772</v>
      </c>
      <c r="AV131" s="8"/>
      <c r="AW131" s="8"/>
      <c r="AX131" s="8"/>
      <c r="AY131" s="8"/>
      <c r="AZ131" s="8"/>
      <c r="BA131" s="8"/>
      <c r="BB131" s="8"/>
      <c r="BC131" s="8"/>
      <c r="BD131" s="8"/>
      <c r="BE131" s="8"/>
      <c r="BF131" s="8"/>
      <c r="BG131" s="9"/>
      <c r="BH131" s="9"/>
      <c r="BI131" s="9"/>
      <c r="BJ131" s="9"/>
      <c r="BK131" s="9"/>
      <c r="BL131" s="9"/>
      <c r="BM131" s="9"/>
      <c r="BN131" s="9"/>
      <c r="BO131" s="9"/>
      <c r="BP131" s="9"/>
      <c r="BQ131" s="9"/>
      <c r="BR131" s="9"/>
      <c r="BS131" s="9"/>
      <c r="BT131" s="9"/>
      <c r="BU131" s="9"/>
      <c r="BV131" s="9"/>
      <c r="IP131" s="9"/>
      <c r="IQ131" s="9"/>
      <c r="IR131" s="9"/>
      <c r="IS131" s="9"/>
      <c r="IT131" s="9"/>
      <c r="IU131" s="9"/>
      <c r="IV131" s="9"/>
    </row>
    <row r="132" spans="1:256" s="10" customFormat="1" ht="38.25">
      <c r="A132" s="274"/>
      <c r="B132" s="86">
        <v>129</v>
      </c>
      <c r="C132" s="193">
        <v>532865</v>
      </c>
      <c r="D132" s="227">
        <v>44404</v>
      </c>
      <c r="E132" s="1">
        <v>-46840</v>
      </c>
      <c r="F132" s="1">
        <v>141608</v>
      </c>
      <c r="G132" s="1">
        <v>32065</v>
      </c>
      <c r="H132" s="1">
        <v>327</v>
      </c>
      <c r="I132" s="1"/>
      <c r="J132" s="1">
        <v>6</v>
      </c>
      <c r="K132" s="1">
        <v>1</v>
      </c>
      <c r="L132" s="204" t="s">
        <v>39</v>
      </c>
      <c r="M132" s="204" t="s">
        <v>773</v>
      </c>
      <c r="N132" s="204" t="s">
        <v>774</v>
      </c>
      <c r="O132" s="204"/>
      <c r="P132" s="204" t="s">
        <v>775</v>
      </c>
      <c r="Q132" s="204" t="s">
        <v>775</v>
      </c>
      <c r="R132" s="204" t="s">
        <v>775</v>
      </c>
      <c r="S132" s="204" t="s">
        <v>776</v>
      </c>
      <c r="T132" s="1"/>
      <c r="U132" s="2">
        <v>1</v>
      </c>
      <c r="V132" s="1"/>
      <c r="W132" s="1"/>
      <c r="X132" s="204" t="s">
        <v>67</v>
      </c>
      <c r="Y132" s="1"/>
      <c r="Z132" s="2">
        <v>2</v>
      </c>
      <c r="AA132" s="3"/>
      <c r="AB132" s="2">
        <f>+Z132+1</f>
        <v>3</v>
      </c>
      <c r="AC132" s="3"/>
      <c r="AD132" s="2">
        <f t="shared" si="0"/>
        <v>4</v>
      </c>
      <c r="AE132" s="115"/>
      <c r="AF132" s="115"/>
      <c r="AG132" s="115"/>
      <c r="AH132" s="115"/>
      <c r="AI132" s="116">
        <f>94+4/2</f>
        <v>96</v>
      </c>
      <c r="AJ132" s="117"/>
      <c r="AK132" s="118">
        <v>310.3</v>
      </c>
      <c r="AL132" s="118">
        <f>+(94+4)/AK132</f>
        <v>0.31582339671285853</v>
      </c>
      <c r="AM132" s="118">
        <f>+AI132/AK132</f>
        <v>0.30937802126973896</v>
      </c>
      <c r="AN132" s="157"/>
      <c r="AO132" s="168">
        <f>+(5*18109+12*14484+3*10864)/20*AI132</f>
        <v>1425336</v>
      </c>
      <c r="AP132" s="169">
        <v>21411.599999999999</v>
      </c>
      <c r="AQ132" s="193" t="s">
        <v>45</v>
      </c>
      <c r="AR132" s="5" t="s">
        <v>777</v>
      </c>
      <c r="AS132" s="211">
        <v>44435</v>
      </c>
      <c r="AT132" s="211"/>
      <c r="AU132" s="5" t="s">
        <v>778</v>
      </c>
      <c r="AV132" s="8"/>
      <c r="AW132" s="8"/>
      <c r="AX132" s="8"/>
      <c r="AY132" s="8"/>
      <c r="AZ132" s="8"/>
      <c r="BA132" s="8"/>
      <c r="BB132" s="8"/>
      <c r="BC132" s="8"/>
      <c r="BD132" s="8"/>
      <c r="BE132" s="8"/>
      <c r="BF132" s="8"/>
      <c r="BG132" s="9"/>
      <c r="BH132" s="9"/>
      <c r="BI132" s="9"/>
      <c r="BJ132" s="9"/>
      <c r="BK132" s="9"/>
      <c r="BL132" s="9"/>
      <c r="BM132" s="9"/>
      <c r="BN132" s="9"/>
      <c r="BO132" s="9"/>
      <c r="BP132" s="9"/>
      <c r="BQ132" s="9"/>
      <c r="BR132" s="9"/>
      <c r="BS132" s="9"/>
      <c r="BT132" s="9"/>
      <c r="BU132" s="9"/>
      <c r="BV132" s="9"/>
      <c r="IP132" s="9"/>
      <c r="IQ132" s="9"/>
      <c r="IR132" s="9"/>
      <c r="IS132" s="9"/>
      <c r="IT132" s="9"/>
      <c r="IU132" s="9"/>
      <c r="IV132" s="9"/>
    </row>
    <row r="133" spans="1:256" s="10" customFormat="1" ht="89.25">
      <c r="A133" s="274"/>
      <c r="B133" s="86">
        <v>130</v>
      </c>
      <c r="C133" s="193" t="s">
        <v>779</v>
      </c>
      <c r="D133" s="227">
        <v>44075</v>
      </c>
      <c r="E133" s="1">
        <v>56036</v>
      </c>
      <c r="F133" s="1">
        <v>1951</v>
      </c>
      <c r="G133" s="1">
        <v>2388</v>
      </c>
      <c r="H133" s="1"/>
      <c r="I133" s="1"/>
      <c r="J133" s="1">
        <v>79</v>
      </c>
      <c r="K133" s="1">
        <v>16</v>
      </c>
      <c r="L133" s="204" t="s">
        <v>48</v>
      </c>
      <c r="M133" s="204" t="s">
        <v>780</v>
      </c>
      <c r="N133" s="204" t="s">
        <v>781</v>
      </c>
      <c r="O133" s="204"/>
      <c r="P133" s="204" t="s">
        <v>231</v>
      </c>
      <c r="Q133" s="204" t="s">
        <v>231</v>
      </c>
      <c r="R133" s="204" t="s">
        <v>231</v>
      </c>
      <c r="S133" s="204" t="s">
        <v>52</v>
      </c>
      <c r="T133" s="1">
        <v>1</v>
      </c>
      <c r="U133" s="2"/>
      <c r="V133" s="1"/>
      <c r="W133" s="1"/>
      <c r="X133" s="204" t="s">
        <v>67</v>
      </c>
      <c r="Y133" s="1">
        <v>1</v>
      </c>
      <c r="Z133" s="2">
        <v>1</v>
      </c>
      <c r="AA133" s="3">
        <f>+Y133+1</f>
        <v>2</v>
      </c>
      <c r="AB133" s="2"/>
      <c r="AC133" s="3">
        <f>+Y133*2</f>
        <v>2</v>
      </c>
      <c r="AD133" s="2">
        <f t="shared" si="0"/>
        <v>2</v>
      </c>
      <c r="AE133" s="115">
        <v>57.35</v>
      </c>
      <c r="AF133" s="115"/>
      <c r="AG133" s="115">
        <f>20.04+43.11/2</f>
        <v>41.594999999999999</v>
      </c>
      <c r="AH133" s="115"/>
      <c r="AI133" s="116">
        <f>14.2/2</f>
        <v>7.1</v>
      </c>
      <c r="AJ133" s="117"/>
      <c r="AK133" s="118">
        <v>232.31</v>
      </c>
      <c r="AL133" s="118">
        <f>+(AE133+20.04+43.11+14.2)/AK133</f>
        <v>0.57982867719857079</v>
      </c>
      <c r="AM133" s="118">
        <f>+(AE133+AG133+AI133)/AK133</f>
        <v>0.45648056476260163</v>
      </c>
      <c r="AN133" s="157"/>
      <c r="AO133" s="168">
        <f>+((5*18109+6*14484+5*10864+7243*4)/20*AG133)+((5*18109+6*14484+4*10864+5*7243)/20*AI133)</f>
        <v>633553.69474999991</v>
      </c>
      <c r="AP133" s="169">
        <v>9886.98</v>
      </c>
      <c r="AQ133" s="193" t="s">
        <v>73</v>
      </c>
      <c r="AR133" s="5" t="s">
        <v>782</v>
      </c>
      <c r="AS133" s="211">
        <v>44435</v>
      </c>
      <c r="AT133" s="211"/>
      <c r="AU133" s="5"/>
      <c r="AV133" s="8"/>
      <c r="AW133" s="8"/>
      <c r="AX133" s="8"/>
      <c r="AY133" s="8"/>
      <c r="AZ133" s="8"/>
      <c r="BA133" s="8"/>
      <c r="BB133" s="8"/>
      <c r="BC133" s="8"/>
      <c r="BD133" s="8"/>
      <c r="BE133" s="8"/>
      <c r="BF133" s="8"/>
      <c r="BG133" s="9"/>
      <c r="BH133" s="9"/>
      <c r="BI133" s="9"/>
      <c r="BJ133" s="9"/>
      <c r="BK133" s="9"/>
      <c r="BL133" s="9"/>
      <c r="BM133" s="9"/>
      <c r="BN133" s="9"/>
      <c r="BO133" s="9"/>
      <c r="BP133" s="9"/>
      <c r="BQ133" s="9"/>
      <c r="BR133" s="9"/>
      <c r="BS133" s="9"/>
      <c r="BT133" s="9"/>
      <c r="BU133" s="9"/>
      <c r="BV133" s="9"/>
      <c r="IP133" s="9"/>
      <c r="IQ133" s="9"/>
      <c r="IR133" s="9"/>
      <c r="IS133" s="9"/>
      <c r="IT133" s="9"/>
      <c r="IU133" s="9"/>
      <c r="IV133" s="9"/>
    </row>
    <row r="134" spans="1:256" s="10" customFormat="1" ht="63.75">
      <c r="A134" s="272"/>
      <c r="B134" s="85">
        <v>131</v>
      </c>
      <c r="C134" s="250" t="s">
        <v>783</v>
      </c>
      <c r="D134" s="227">
        <v>44337</v>
      </c>
      <c r="E134" s="1">
        <v>42020</v>
      </c>
      <c r="F134" s="1">
        <v>111227</v>
      </c>
      <c r="G134" s="1">
        <v>5039</v>
      </c>
      <c r="H134" s="1"/>
      <c r="I134" s="1"/>
      <c r="J134" s="1">
        <v>376</v>
      </c>
      <c r="K134" s="1">
        <v>23</v>
      </c>
      <c r="L134" s="204" t="s">
        <v>39</v>
      </c>
      <c r="M134" s="204" t="s">
        <v>784</v>
      </c>
      <c r="N134" s="204" t="s">
        <v>785</v>
      </c>
      <c r="O134" s="204"/>
      <c r="P134" s="204" t="s">
        <v>786</v>
      </c>
      <c r="Q134" s="204"/>
      <c r="R134" s="204"/>
      <c r="S134" s="204"/>
      <c r="T134" s="1">
        <v>1</v>
      </c>
      <c r="U134" s="110"/>
      <c r="V134" s="1"/>
      <c r="W134" s="1"/>
      <c r="X134" s="204" t="s">
        <v>67</v>
      </c>
      <c r="Y134" s="1">
        <v>1</v>
      </c>
      <c r="Z134" s="2"/>
      <c r="AA134" s="1">
        <f>+Y134+1</f>
        <v>2</v>
      </c>
      <c r="AB134" s="2"/>
      <c r="AC134" s="1">
        <f>+Y134*2</f>
        <v>2</v>
      </c>
      <c r="AD134" s="2"/>
      <c r="AE134" s="115"/>
      <c r="AF134" s="115"/>
      <c r="AG134" s="115">
        <f>34.41+39.7/2</f>
        <v>54.26</v>
      </c>
      <c r="AH134" s="115"/>
      <c r="AI134" s="116"/>
      <c r="AJ134" s="117"/>
      <c r="AK134" s="118">
        <v>200.97</v>
      </c>
      <c r="AL134" s="118">
        <f>+(34.41+39.7)/AK134</f>
        <v>0.36876150669254115</v>
      </c>
      <c r="AM134" s="118">
        <f>+AG134/AK134</f>
        <v>0.26999054585261478</v>
      </c>
      <c r="AN134" s="157"/>
      <c r="AO134" s="168">
        <f>+(18109+6*14484+7*10864+9*7243)/23*AG134</f>
        <v>580931.15130434779</v>
      </c>
      <c r="AP134" s="169">
        <v>9401.32</v>
      </c>
      <c r="AQ134" s="193" t="s">
        <v>36</v>
      </c>
      <c r="AR134" s="5" t="s">
        <v>787</v>
      </c>
      <c r="AS134" s="211">
        <v>44438</v>
      </c>
      <c r="AT134" s="211"/>
      <c r="AU134" s="28" t="s">
        <v>788</v>
      </c>
      <c r="AV134" s="8"/>
      <c r="AW134" s="8"/>
      <c r="AX134" s="8"/>
      <c r="AY134" s="8"/>
      <c r="AZ134" s="8"/>
      <c r="BA134" s="8"/>
      <c r="BB134" s="8"/>
      <c r="BC134" s="8"/>
      <c r="BD134" s="8"/>
      <c r="BE134" s="8"/>
      <c r="BF134" s="8"/>
      <c r="BG134" s="9"/>
      <c r="BH134" s="9"/>
      <c r="BI134" s="9"/>
      <c r="BJ134" s="9"/>
      <c r="BK134" s="9"/>
      <c r="BL134" s="9"/>
      <c r="BM134" s="9"/>
      <c r="BN134" s="9"/>
      <c r="BO134" s="9"/>
      <c r="BP134" s="9"/>
      <c r="BQ134" s="9"/>
      <c r="BR134" s="9"/>
      <c r="BS134" s="9"/>
      <c r="BT134" s="9"/>
      <c r="BU134" s="9"/>
      <c r="BV134" s="9"/>
      <c r="IP134" s="9"/>
      <c r="IQ134" s="9"/>
      <c r="IR134" s="9"/>
      <c r="IS134" s="9"/>
      <c r="IT134" s="9"/>
      <c r="IU134" s="9"/>
      <c r="IV134" s="9"/>
    </row>
    <row r="135" spans="1:256" s="10" customFormat="1" ht="140.25">
      <c r="A135" s="274"/>
      <c r="B135" s="86">
        <v>132</v>
      </c>
      <c r="C135" s="193">
        <v>531005</v>
      </c>
      <c r="D135" s="227">
        <v>44320</v>
      </c>
      <c r="E135" s="1">
        <v>36305</v>
      </c>
      <c r="F135" s="1">
        <v>135819</v>
      </c>
      <c r="G135" s="1">
        <v>7644</v>
      </c>
      <c r="H135" s="1"/>
      <c r="I135" s="1"/>
      <c r="J135" s="1">
        <v>378</v>
      </c>
      <c r="K135" s="1">
        <v>14</v>
      </c>
      <c r="L135" s="204" t="s">
        <v>31</v>
      </c>
      <c r="M135" s="204" t="s">
        <v>789</v>
      </c>
      <c r="N135" s="204" t="s">
        <v>790</v>
      </c>
      <c r="O135" s="204"/>
      <c r="P135" s="204" t="s">
        <v>541</v>
      </c>
      <c r="Q135" s="204"/>
      <c r="R135" s="204"/>
      <c r="S135" s="204"/>
      <c r="T135" s="1"/>
      <c r="U135" s="2"/>
      <c r="V135" s="1">
        <v>1</v>
      </c>
      <c r="W135" s="1"/>
      <c r="X135" s="204" t="s">
        <v>44</v>
      </c>
      <c r="Y135" s="1">
        <f>2+1</f>
        <v>3</v>
      </c>
      <c r="Z135" s="2"/>
      <c r="AA135" s="3">
        <f>+Y135+1+1</f>
        <v>5</v>
      </c>
      <c r="AB135" s="2"/>
      <c r="AC135" s="3">
        <f>+Y135*2</f>
        <v>6</v>
      </c>
      <c r="AD135" s="2"/>
      <c r="AE135" s="115">
        <f>62.1+4.3/2</f>
        <v>64.25</v>
      </c>
      <c r="AF135" s="115"/>
      <c r="AG135" s="115">
        <f>45.9+1.16/2</f>
        <v>46.48</v>
      </c>
      <c r="AH135" s="115"/>
      <c r="AI135" s="116"/>
      <c r="AJ135" s="117"/>
      <c r="AK135" s="118">
        <v>173.45</v>
      </c>
      <c r="AL135" s="118">
        <f>+(45.9+62.1+1.16)/AK135</f>
        <v>0.62934563274718947</v>
      </c>
      <c r="AM135" s="118">
        <f>+(AE135+AG135)/AK135</f>
        <v>0.63839723263188242</v>
      </c>
      <c r="AN135" s="157">
        <f>+(2+21+8)/(1+7+2)</f>
        <v>3.1</v>
      </c>
      <c r="AO135" s="168">
        <f>+(2*18109+5*14484+4*10864+9*7243)/20*AG135</f>
        <v>504961.04399999994</v>
      </c>
      <c r="AP135" s="169">
        <v>8754.4</v>
      </c>
      <c r="AQ135" s="193" t="s">
        <v>36</v>
      </c>
      <c r="AR135" s="5" t="s">
        <v>791</v>
      </c>
      <c r="AS135" s="211">
        <v>44438</v>
      </c>
      <c r="AT135" s="211"/>
      <c r="AU135" s="5" t="s">
        <v>792</v>
      </c>
      <c r="AV135" s="8"/>
      <c r="AW135" s="8"/>
      <c r="AX135" s="8"/>
      <c r="AY135" s="8"/>
      <c r="AZ135" s="8"/>
      <c r="BA135" s="8"/>
      <c r="BB135" s="8"/>
      <c r="BC135" s="8"/>
      <c r="BD135" s="8"/>
      <c r="BE135" s="8"/>
      <c r="BF135" s="8"/>
      <c r="BG135" s="9"/>
      <c r="BH135" s="9"/>
      <c r="BI135" s="9"/>
      <c r="BJ135" s="9"/>
      <c r="BK135" s="9"/>
      <c r="BL135" s="9"/>
      <c r="BM135" s="9"/>
      <c r="BN135" s="9"/>
      <c r="BO135" s="9"/>
      <c r="BP135" s="9"/>
      <c r="BQ135" s="9"/>
      <c r="BR135" s="9"/>
      <c r="BS135" s="9"/>
      <c r="BT135" s="9"/>
      <c r="BU135" s="9"/>
      <c r="BV135" s="9"/>
      <c r="IP135" s="9"/>
      <c r="IQ135" s="9"/>
      <c r="IR135" s="9"/>
      <c r="IS135" s="9"/>
      <c r="IT135" s="9"/>
      <c r="IU135" s="9"/>
      <c r="IV135" s="9"/>
    </row>
    <row r="136" spans="1:256" s="10" customFormat="1" ht="89.25">
      <c r="A136" s="272"/>
      <c r="B136" s="85">
        <v>133</v>
      </c>
      <c r="C136" s="250" t="s">
        <v>793</v>
      </c>
      <c r="D136" s="240">
        <v>44306</v>
      </c>
      <c r="E136" s="1">
        <v>52777</v>
      </c>
      <c r="F136" s="1">
        <v>162266</v>
      </c>
      <c r="G136" s="1">
        <v>33149</v>
      </c>
      <c r="H136" s="1">
        <v>3</v>
      </c>
      <c r="I136" s="1"/>
      <c r="J136" s="1">
        <v>4</v>
      </c>
      <c r="K136" s="1">
        <v>30</v>
      </c>
      <c r="L136" s="204" t="s">
        <v>293</v>
      </c>
      <c r="M136" s="204" t="s">
        <v>699</v>
      </c>
      <c r="N136" s="204" t="s">
        <v>794</v>
      </c>
      <c r="O136" s="204"/>
      <c r="P136" s="204" t="s">
        <v>734</v>
      </c>
      <c r="Q136" s="204"/>
      <c r="R136" s="204" t="s">
        <v>734</v>
      </c>
      <c r="S136" s="204" t="s">
        <v>52</v>
      </c>
      <c r="T136" s="1"/>
      <c r="U136" s="110">
        <v>1</v>
      </c>
      <c r="V136" s="1"/>
      <c r="W136" s="1"/>
      <c r="X136" s="204" t="s">
        <v>67</v>
      </c>
      <c r="Y136" s="1">
        <v>3</v>
      </c>
      <c r="Z136" s="2"/>
      <c r="AA136" s="1">
        <f>+Y136+2</f>
        <v>5</v>
      </c>
      <c r="AB136" s="2"/>
      <c r="AC136" s="1">
        <f>+Y136*2</f>
        <v>6</v>
      </c>
      <c r="AD136" s="2"/>
      <c r="AE136" s="115"/>
      <c r="AF136" s="115"/>
      <c r="AG136" s="115"/>
      <c r="AH136" s="127"/>
      <c r="AI136" s="128">
        <f>159.88+71.39/2+75.24</f>
        <v>270.815</v>
      </c>
      <c r="AJ136" s="128"/>
      <c r="AK136" s="127">
        <v>925.38</v>
      </c>
      <c r="AL136" s="127">
        <f>+(159.88+71.39)/AK136</f>
        <v>0.2499189522142255</v>
      </c>
      <c r="AM136" s="127">
        <f>+AI136/AK136</f>
        <v>0.29265274806025632</v>
      </c>
      <c r="AN136" s="161"/>
      <c r="AO136" s="175"/>
      <c r="AP136" s="176">
        <v>119885.02</v>
      </c>
      <c r="AQ136" s="196" t="s">
        <v>36</v>
      </c>
      <c r="AR136" s="6" t="s">
        <v>795</v>
      </c>
      <c r="AS136" s="216">
        <v>44438</v>
      </c>
      <c r="AT136" s="217"/>
      <c r="AU136" s="28" t="s">
        <v>796</v>
      </c>
      <c r="AV136" s="30"/>
      <c r="AW136" s="30"/>
      <c r="AX136" s="30"/>
      <c r="AY136" s="30"/>
      <c r="AZ136" s="30"/>
      <c r="BA136" s="30"/>
      <c r="BB136" s="30"/>
      <c r="BC136" s="30"/>
      <c r="BD136" s="30"/>
      <c r="BE136" s="9"/>
      <c r="BF136" s="9"/>
      <c r="BG136" s="9"/>
      <c r="BH136" s="9"/>
      <c r="BI136" s="9"/>
      <c r="BJ136" s="9"/>
      <c r="BK136" s="9"/>
      <c r="BL136" s="9"/>
      <c r="BM136" s="9"/>
      <c r="BN136" s="9"/>
      <c r="BO136" s="9"/>
      <c r="BP136" s="9"/>
      <c r="BQ136" s="9"/>
      <c r="BR136" s="9"/>
      <c r="BS136" s="9"/>
      <c r="BT136" s="9"/>
      <c r="IN136" s="9"/>
      <c r="IO136" s="9"/>
      <c r="IP136" s="9"/>
      <c r="IQ136" s="9"/>
      <c r="IR136" s="9"/>
      <c r="IS136" s="9"/>
      <c r="IT136" s="9"/>
      <c r="IU136" s="9"/>
      <c r="IV136" s="9"/>
    </row>
    <row r="137" spans="1:256" s="10" customFormat="1" ht="178.5">
      <c r="A137" s="272"/>
      <c r="B137" s="85">
        <v>134</v>
      </c>
      <c r="C137" s="250">
        <v>529774</v>
      </c>
      <c r="D137" s="244">
        <v>44396</v>
      </c>
      <c r="E137" s="1">
        <v>11913</v>
      </c>
      <c r="F137" s="1">
        <v>1497</v>
      </c>
      <c r="G137" s="1">
        <v>4723</v>
      </c>
      <c r="H137" s="1"/>
      <c r="I137" s="1"/>
      <c r="J137" s="1">
        <v>98</v>
      </c>
      <c r="K137" s="1">
        <v>4</v>
      </c>
      <c r="L137" s="204" t="s">
        <v>130</v>
      </c>
      <c r="M137" s="204" t="s">
        <v>797</v>
      </c>
      <c r="N137" s="204" t="s">
        <v>685</v>
      </c>
      <c r="O137" s="204"/>
      <c r="P137" s="204" t="s">
        <v>666</v>
      </c>
      <c r="Q137" s="204" t="s">
        <v>666</v>
      </c>
      <c r="R137" s="204" t="s">
        <v>666</v>
      </c>
      <c r="S137" s="204" t="s">
        <v>798</v>
      </c>
      <c r="T137" s="1"/>
      <c r="U137" s="110">
        <v>1</v>
      </c>
      <c r="V137" s="1"/>
      <c r="W137" s="1"/>
      <c r="X137" s="204" t="s">
        <v>44</v>
      </c>
      <c r="Y137" s="1">
        <v>4</v>
      </c>
      <c r="Z137" s="2">
        <f>3+2+2+1+1+1</f>
        <v>10</v>
      </c>
      <c r="AA137" s="1">
        <f>+Y137</f>
        <v>4</v>
      </c>
      <c r="AB137" s="2">
        <f>+Z137+1+1+1</f>
        <v>13</v>
      </c>
      <c r="AC137" s="1">
        <f>+Y137*2</f>
        <v>8</v>
      </c>
      <c r="AD137" s="2">
        <f>+Z137*2</f>
        <v>20</v>
      </c>
      <c r="AE137" s="115">
        <f>169.92+27.8/2</f>
        <v>183.82</v>
      </c>
      <c r="AF137" s="115"/>
      <c r="AG137" s="115"/>
      <c r="AH137" s="115"/>
      <c r="AI137" s="116">
        <f>603.79+239.55/2</f>
        <v>723.56499999999994</v>
      </c>
      <c r="AJ137" s="117"/>
      <c r="AK137" s="118">
        <v>592.38</v>
      </c>
      <c r="AL137" s="118"/>
      <c r="AM137" s="118">
        <f>+(AE137+AI137)/AK137</f>
        <v>1.5317617070123908</v>
      </c>
      <c r="AN137" s="157"/>
      <c r="AO137" s="168">
        <f>185163.29+175321.96+((5*14484+12*10864+3*7243)/20*AI137)</f>
        <v>8483117.4052499998</v>
      </c>
      <c r="AP137" s="169">
        <v>39657.85</v>
      </c>
      <c r="AQ137" s="193" t="s">
        <v>36</v>
      </c>
      <c r="AR137" s="5" t="s">
        <v>799</v>
      </c>
      <c r="AS137" s="211">
        <v>44438</v>
      </c>
      <c r="AT137" s="211"/>
      <c r="AU137" s="28" t="s">
        <v>800</v>
      </c>
      <c r="AV137" s="8"/>
      <c r="AW137" s="8"/>
      <c r="AX137" s="8"/>
      <c r="AY137" s="8"/>
      <c r="AZ137" s="8"/>
      <c r="BA137" s="8"/>
      <c r="BB137" s="8"/>
      <c r="BC137" s="8"/>
      <c r="BD137" s="8"/>
      <c r="BE137" s="8"/>
      <c r="BF137" s="8"/>
      <c r="BG137" s="9"/>
      <c r="BH137" s="9"/>
      <c r="BI137" s="9"/>
      <c r="BJ137" s="9"/>
      <c r="BK137" s="9"/>
      <c r="BL137" s="9"/>
      <c r="BM137" s="9"/>
      <c r="BN137" s="9"/>
      <c r="BO137" s="9"/>
      <c r="BP137" s="9"/>
      <c r="BQ137" s="9"/>
      <c r="BR137" s="9"/>
      <c r="BS137" s="9"/>
      <c r="BT137" s="9"/>
      <c r="BU137" s="9"/>
      <c r="BV137" s="9"/>
      <c r="IP137" s="9"/>
      <c r="IQ137" s="9"/>
      <c r="IR137" s="9"/>
      <c r="IS137" s="9"/>
      <c r="IT137" s="9"/>
      <c r="IU137" s="9"/>
      <c r="IV137" s="9"/>
    </row>
    <row r="138" spans="1:256" s="10" customFormat="1" ht="63.75">
      <c r="A138" s="272"/>
      <c r="B138" s="85">
        <v>135</v>
      </c>
      <c r="C138" s="250" t="s">
        <v>801</v>
      </c>
      <c r="D138" s="227">
        <v>44244</v>
      </c>
      <c r="E138" s="1">
        <v>49806</v>
      </c>
      <c r="F138" s="1">
        <v>159940</v>
      </c>
      <c r="G138" s="1">
        <v>32689</v>
      </c>
      <c r="H138" s="1">
        <v>355</v>
      </c>
      <c r="I138" s="1"/>
      <c r="J138" s="1">
        <v>14</v>
      </c>
      <c r="K138" s="1">
        <v>9</v>
      </c>
      <c r="L138" s="204" t="s">
        <v>802</v>
      </c>
      <c r="M138" s="204" t="s">
        <v>803</v>
      </c>
      <c r="N138" s="204" t="s">
        <v>194</v>
      </c>
      <c r="O138" s="204"/>
      <c r="P138" s="204" t="s">
        <v>804</v>
      </c>
      <c r="Q138" s="204"/>
      <c r="R138" s="204"/>
      <c r="S138" s="204"/>
      <c r="T138" s="1">
        <v>1</v>
      </c>
      <c r="U138" s="1"/>
      <c r="V138" s="1"/>
      <c r="W138" s="1"/>
      <c r="X138" s="204" t="s">
        <v>44</v>
      </c>
      <c r="Y138" s="1"/>
      <c r="Z138" s="1"/>
      <c r="AA138" s="1"/>
      <c r="AB138" s="1"/>
      <c r="AC138" s="1"/>
      <c r="AD138" s="1"/>
      <c r="AE138" s="115">
        <f>165.26+35.77/2+4.45+165.26+38/2</f>
        <v>371.85499999999996</v>
      </c>
      <c r="AF138" s="115"/>
      <c r="AG138" s="115">
        <f>78.58/2</f>
        <v>39.29</v>
      </c>
      <c r="AH138" s="115"/>
      <c r="AI138" s="115"/>
      <c r="AJ138" s="118"/>
      <c r="AK138" s="118">
        <v>813.1</v>
      </c>
      <c r="AL138" s="118">
        <f>+(165.26+37.55+4.45+78.58)/AK138</f>
        <v>0.35154347558725862</v>
      </c>
      <c r="AM138" s="118">
        <f>+(AE138+AG138)/AK138</f>
        <v>0.50565121141311031</v>
      </c>
      <c r="AN138" s="157"/>
      <c r="AO138" s="168">
        <f>+(21938+10*17546+7*13161+2*8775)/20*AG138</f>
        <v>603248.83750000002</v>
      </c>
      <c r="AP138" s="169">
        <v>24100.46</v>
      </c>
      <c r="AQ138" s="193" t="s">
        <v>73</v>
      </c>
      <c r="AR138" s="5" t="s">
        <v>805</v>
      </c>
      <c r="AS138" s="211">
        <v>44447</v>
      </c>
      <c r="AT138" s="211"/>
      <c r="AU138" s="28"/>
      <c r="AV138" s="8"/>
      <c r="AW138" s="8"/>
      <c r="AX138" s="8"/>
      <c r="AY138" s="8"/>
      <c r="AZ138" s="8"/>
      <c r="BA138" s="8"/>
      <c r="BB138" s="8"/>
      <c r="BC138" s="8"/>
      <c r="BD138" s="8"/>
      <c r="BE138" s="8"/>
      <c r="BF138" s="8"/>
      <c r="BG138" s="9"/>
      <c r="BH138" s="9"/>
      <c r="BI138" s="9"/>
      <c r="BJ138" s="9"/>
      <c r="BK138" s="9"/>
      <c r="BL138" s="9"/>
      <c r="BM138" s="9"/>
      <c r="BN138" s="9"/>
      <c r="BO138" s="9"/>
      <c r="BP138" s="9"/>
      <c r="BQ138" s="9"/>
      <c r="BR138" s="9"/>
      <c r="BS138" s="9"/>
      <c r="BT138" s="9"/>
      <c r="BU138" s="9"/>
      <c r="BV138" s="9"/>
      <c r="IP138" s="9"/>
      <c r="IQ138" s="9"/>
      <c r="IR138" s="9"/>
      <c r="IS138" s="9"/>
      <c r="IT138" s="9"/>
      <c r="IU138" s="9"/>
      <c r="IV138" s="9"/>
    </row>
    <row r="139" spans="1:256" s="10" customFormat="1" ht="38.25">
      <c r="A139" s="272"/>
      <c r="B139" s="86">
        <v>136</v>
      </c>
      <c r="C139" s="193">
        <v>532029</v>
      </c>
      <c r="D139" s="227">
        <v>44364</v>
      </c>
      <c r="E139" s="1">
        <v>55762</v>
      </c>
      <c r="F139" s="1">
        <v>164622</v>
      </c>
      <c r="G139" s="1">
        <v>33524</v>
      </c>
      <c r="H139" s="1">
        <v>327</v>
      </c>
      <c r="I139" s="1"/>
      <c r="J139" s="1"/>
      <c r="K139" s="1">
        <v>4</v>
      </c>
      <c r="L139" s="204" t="s">
        <v>39</v>
      </c>
      <c r="M139" s="204" t="s">
        <v>806</v>
      </c>
      <c r="N139" s="204" t="s">
        <v>807</v>
      </c>
      <c r="O139" s="204"/>
      <c r="P139" s="204" t="s">
        <v>581</v>
      </c>
      <c r="Q139" s="204"/>
      <c r="R139" s="204"/>
      <c r="S139" s="204"/>
      <c r="T139" s="1">
        <v>1</v>
      </c>
      <c r="U139" s="2"/>
      <c r="V139" s="1"/>
      <c r="W139" s="1"/>
      <c r="X139" s="204" t="s">
        <v>808</v>
      </c>
      <c r="Y139" s="1"/>
      <c r="Z139" s="2"/>
      <c r="AA139" s="3"/>
      <c r="AB139" s="2"/>
      <c r="AC139" s="3"/>
      <c r="AD139" s="2"/>
      <c r="AE139" s="115"/>
      <c r="AF139" s="115"/>
      <c r="AG139" s="115"/>
      <c r="AH139" s="115">
        <f>31.92+2.33+39.67/2</f>
        <v>54.085000000000001</v>
      </c>
      <c r="AI139" s="116"/>
      <c r="AJ139" s="117"/>
      <c r="AK139" s="118">
        <v>321</v>
      </c>
      <c r="AL139" s="118">
        <f>+(31.92+2.33+39.67)/AK139</f>
        <v>0.23028037383177571</v>
      </c>
      <c r="AM139" s="118">
        <f>+AH139/AK139</f>
        <v>0.16848909657320874</v>
      </c>
      <c r="AN139" s="157"/>
      <c r="AO139" s="168">
        <f>+AH139*17546</f>
        <v>948975.41</v>
      </c>
      <c r="AP139" s="169">
        <v>17954.04</v>
      </c>
      <c r="AQ139" s="193" t="s">
        <v>36</v>
      </c>
      <c r="AR139" s="5" t="s">
        <v>809</v>
      </c>
      <c r="AS139" s="211">
        <v>44447</v>
      </c>
      <c r="AT139" s="211"/>
      <c r="AU139" s="5" t="s">
        <v>810</v>
      </c>
      <c r="AV139" s="8"/>
      <c r="AW139" s="8"/>
      <c r="AX139" s="8"/>
      <c r="AY139" s="8"/>
      <c r="AZ139" s="8"/>
      <c r="BA139" s="8"/>
      <c r="BB139" s="8"/>
      <c r="BC139" s="8"/>
      <c r="BD139" s="8"/>
      <c r="BE139" s="8"/>
      <c r="BF139" s="8"/>
      <c r="BG139" s="9"/>
      <c r="BH139" s="9"/>
      <c r="BI139" s="9"/>
      <c r="BJ139" s="9"/>
      <c r="BK139" s="9"/>
      <c r="BL139" s="9"/>
      <c r="BM139" s="9"/>
      <c r="BN139" s="9"/>
      <c r="BO139" s="9"/>
      <c r="BP139" s="9"/>
      <c r="BQ139" s="9"/>
      <c r="BR139" s="9"/>
      <c r="BS139" s="9"/>
      <c r="BT139" s="9"/>
      <c r="BU139" s="9"/>
      <c r="BV139" s="9"/>
      <c r="IP139" s="9"/>
      <c r="IQ139" s="9"/>
      <c r="IR139" s="9"/>
      <c r="IS139" s="9"/>
      <c r="IT139" s="9"/>
      <c r="IU139" s="9"/>
      <c r="IV139" s="9"/>
    </row>
    <row r="140" spans="1:256" s="10" customFormat="1" ht="63.75">
      <c r="A140" s="272"/>
      <c r="B140" s="85">
        <v>137</v>
      </c>
      <c r="C140" s="250">
        <v>533063</v>
      </c>
      <c r="D140" s="227">
        <v>44412</v>
      </c>
      <c r="E140" s="1">
        <v>7589</v>
      </c>
      <c r="F140" s="1">
        <v>2317</v>
      </c>
      <c r="G140" s="1">
        <v>1092</v>
      </c>
      <c r="H140" s="1"/>
      <c r="I140" s="1"/>
      <c r="J140" s="1">
        <v>23</v>
      </c>
      <c r="K140" s="1">
        <v>1</v>
      </c>
      <c r="L140" s="204" t="s">
        <v>39</v>
      </c>
      <c r="M140" s="204" t="s">
        <v>811</v>
      </c>
      <c r="N140" s="204" t="s">
        <v>812</v>
      </c>
      <c r="O140" s="204"/>
      <c r="P140" s="204" t="s">
        <v>373</v>
      </c>
      <c r="Q140" s="204" t="s">
        <v>373</v>
      </c>
      <c r="R140" s="204" t="s">
        <v>373</v>
      </c>
      <c r="S140" s="204"/>
      <c r="T140" s="1">
        <f>1+1</f>
        <v>2</v>
      </c>
      <c r="U140" s="110"/>
      <c r="V140" s="1"/>
      <c r="W140" s="1"/>
      <c r="X140" s="204" t="s">
        <v>813</v>
      </c>
      <c r="Y140" s="1">
        <v>2</v>
      </c>
      <c r="Z140" s="2"/>
      <c r="AA140" s="1">
        <f>+Y140+1</f>
        <v>3</v>
      </c>
      <c r="AB140" s="2"/>
      <c r="AC140" s="1">
        <f>+Y140*2</f>
        <v>4</v>
      </c>
      <c r="AD140" s="2"/>
      <c r="AE140" s="115"/>
      <c r="AF140" s="115"/>
      <c r="AG140" s="115">
        <f>63.07+19.73/2+38.2/2</f>
        <v>92.034999999999997</v>
      </c>
      <c r="AH140" s="115">
        <v>86.04</v>
      </c>
      <c r="AI140" s="116"/>
      <c r="AJ140" s="117"/>
      <c r="AK140" s="139">
        <v>268.37</v>
      </c>
      <c r="AL140" s="118">
        <f>+(86.04+38.2+63.07+19.73)/AK140</f>
        <v>0.77147222118716696</v>
      </c>
      <c r="AM140" s="118">
        <f>+(AG140+AH140)/AK140</f>
        <v>0.66354286991839617</v>
      </c>
      <c r="AN140" s="157">
        <f>+(2+6+24)/(1+2+6)</f>
        <v>3.5555555555555554</v>
      </c>
      <c r="AO140" s="168">
        <f>+AH140*17546+((5*17546+12*13161+2*8775)/19*AG140)</f>
        <v>2784642.9147368418</v>
      </c>
      <c r="AP140" s="169">
        <v>4516.5600000000004</v>
      </c>
      <c r="AQ140" s="193" t="s">
        <v>36</v>
      </c>
      <c r="AR140" s="5" t="s">
        <v>814</v>
      </c>
      <c r="AS140" s="211">
        <v>44448</v>
      </c>
      <c r="AT140" s="211"/>
      <c r="AU140" s="49">
        <v>44419</v>
      </c>
      <c r="AV140" s="8"/>
      <c r="AW140" s="8"/>
      <c r="AX140" s="8"/>
      <c r="AY140" s="8"/>
      <c r="AZ140" s="8"/>
      <c r="BA140" s="8"/>
      <c r="BB140" s="8"/>
      <c r="BC140" s="8"/>
      <c r="BD140" s="8"/>
      <c r="BE140" s="8"/>
      <c r="BF140" s="8"/>
      <c r="BG140" s="9"/>
      <c r="BH140" s="9"/>
      <c r="BI140" s="9"/>
      <c r="BJ140" s="9"/>
      <c r="BK140" s="9"/>
      <c r="BL140" s="9"/>
      <c r="BM140" s="9"/>
      <c r="BN140" s="9"/>
      <c r="BO140" s="9"/>
      <c r="BP140" s="9"/>
      <c r="BQ140" s="9"/>
      <c r="BR140" s="9"/>
      <c r="BS140" s="9"/>
      <c r="BT140" s="9"/>
      <c r="BU140" s="9"/>
      <c r="BV140" s="9"/>
      <c r="IP140" s="9"/>
      <c r="IQ140" s="9"/>
      <c r="IR140" s="9"/>
      <c r="IS140" s="9"/>
      <c r="IT140" s="9"/>
      <c r="IU140" s="9"/>
      <c r="IV140" s="9"/>
    </row>
    <row r="141" spans="1:256" s="10" customFormat="1" ht="76.5">
      <c r="A141" s="272"/>
      <c r="B141" s="90">
        <v>138</v>
      </c>
      <c r="C141" s="193">
        <v>531881</v>
      </c>
      <c r="D141" s="235">
        <v>44358</v>
      </c>
      <c r="E141" s="1">
        <v>47826</v>
      </c>
      <c r="F141" s="1">
        <v>158471</v>
      </c>
      <c r="G141" s="1">
        <v>32404</v>
      </c>
      <c r="H141" s="1">
        <v>327</v>
      </c>
      <c r="I141" s="1"/>
      <c r="J141" s="1">
        <v>3</v>
      </c>
      <c r="K141" s="1">
        <v>17</v>
      </c>
      <c r="L141" s="204" t="s">
        <v>39</v>
      </c>
      <c r="M141" s="204" t="s">
        <v>815</v>
      </c>
      <c r="N141" s="204" t="s">
        <v>816</v>
      </c>
      <c r="O141" s="204"/>
      <c r="P141" s="204" t="s">
        <v>296</v>
      </c>
      <c r="Q141" s="204" t="s">
        <v>296</v>
      </c>
      <c r="R141" s="204" t="s">
        <v>296</v>
      </c>
      <c r="S141" s="204" t="s">
        <v>340</v>
      </c>
      <c r="T141" s="1">
        <v>1</v>
      </c>
      <c r="U141" s="2">
        <v>2</v>
      </c>
      <c r="V141" s="1"/>
      <c r="W141" s="1"/>
      <c r="X141" s="204" t="s">
        <v>770</v>
      </c>
      <c r="Y141" s="1">
        <v>2</v>
      </c>
      <c r="Z141" s="2"/>
      <c r="AA141" s="3">
        <f>2+1</f>
        <v>3</v>
      </c>
      <c r="AB141" s="2"/>
      <c r="AC141" s="3">
        <f>+Y141*2</f>
        <v>4</v>
      </c>
      <c r="AD141" s="2"/>
      <c r="AE141" s="115">
        <f>82.4+10.64/2</f>
        <v>87.72</v>
      </c>
      <c r="AF141" s="115"/>
      <c r="AG141" s="115"/>
      <c r="AH141" s="115"/>
      <c r="AI141" s="116"/>
      <c r="AJ141" s="116">
        <f>75.53+28.51/2</f>
        <v>89.784999999999997</v>
      </c>
      <c r="AK141" s="118">
        <v>391</v>
      </c>
      <c r="AL141" s="118">
        <f>+(82.4+10.64+75.53+28.51)/AK141</f>
        <v>0.50404092071611251</v>
      </c>
      <c r="AM141" s="118">
        <f>+(AE141+AJ141)/AL141</f>
        <v>352.16386746498887</v>
      </c>
      <c r="AN141" s="157">
        <f>+(4+18+12+5+18)/(2+6+3+1+3)</f>
        <v>3.8</v>
      </c>
      <c r="AO141" s="168">
        <f>+(AJ141*17546)</f>
        <v>1575367.6099999999</v>
      </c>
      <c r="AP141" s="169">
        <v>8169.83</v>
      </c>
      <c r="AQ141" s="193" t="s">
        <v>36</v>
      </c>
      <c r="AR141" s="5" t="s">
        <v>817</v>
      </c>
      <c r="AS141" s="211">
        <v>44449</v>
      </c>
      <c r="AT141" s="211"/>
      <c r="AU141" s="5" t="s">
        <v>818</v>
      </c>
      <c r="AV141" s="8"/>
      <c r="AW141" s="8"/>
      <c r="AX141" s="8"/>
      <c r="AY141" s="8"/>
      <c r="AZ141" s="8"/>
      <c r="BA141" s="8"/>
      <c r="BB141" s="8"/>
      <c r="BC141" s="8"/>
      <c r="BD141" s="8"/>
      <c r="BE141" s="8"/>
      <c r="BF141" s="8"/>
      <c r="BG141" s="9"/>
      <c r="BH141" s="9"/>
      <c r="BI141" s="9"/>
      <c r="BJ141" s="9"/>
      <c r="BK141" s="9"/>
      <c r="BL141" s="9"/>
      <c r="BM141" s="9"/>
      <c r="BN141" s="9"/>
      <c r="BO141" s="9"/>
      <c r="BP141" s="9"/>
      <c r="BQ141" s="9"/>
      <c r="BR141" s="9"/>
      <c r="BS141" s="9"/>
      <c r="BT141" s="9"/>
      <c r="BU141" s="9"/>
      <c r="BV141" s="9"/>
      <c r="IP141" s="9"/>
      <c r="IQ141" s="9"/>
      <c r="IR141" s="9"/>
      <c r="IS141" s="9"/>
      <c r="IT141" s="9"/>
      <c r="IU141" s="9"/>
      <c r="IV141" s="9"/>
    </row>
    <row r="142" spans="1:256" s="10" customFormat="1" ht="89.25">
      <c r="A142" s="274"/>
      <c r="B142" s="90">
        <v>139</v>
      </c>
      <c r="C142" s="193" t="s">
        <v>819</v>
      </c>
      <c r="D142" s="227">
        <v>44256</v>
      </c>
      <c r="E142" s="1">
        <v>35000</v>
      </c>
      <c r="F142" s="1">
        <v>135011</v>
      </c>
      <c r="G142" s="1">
        <v>7423</v>
      </c>
      <c r="H142" s="1"/>
      <c r="I142" s="1"/>
      <c r="J142" s="1">
        <v>98</v>
      </c>
      <c r="K142" s="1">
        <v>23</v>
      </c>
      <c r="L142" s="204" t="s">
        <v>130</v>
      </c>
      <c r="M142" s="204" t="s">
        <v>820</v>
      </c>
      <c r="N142" s="204" t="s">
        <v>821</v>
      </c>
      <c r="O142" s="204"/>
      <c r="P142" s="204" t="s">
        <v>97</v>
      </c>
      <c r="Q142" s="204" t="s">
        <v>822</v>
      </c>
      <c r="R142" s="204" t="s">
        <v>97</v>
      </c>
      <c r="S142" s="204" t="s">
        <v>823</v>
      </c>
      <c r="T142" s="1">
        <v>1</v>
      </c>
      <c r="U142" s="2">
        <v>1</v>
      </c>
      <c r="V142" s="1"/>
      <c r="W142" s="1"/>
      <c r="X142" s="204" t="s">
        <v>813</v>
      </c>
      <c r="Y142" s="1">
        <v>2</v>
      </c>
      <c r="Z142" s="2">
        <v>1</v>
      </c>
      <c r="AA142" s="3">
        <f>+Y142+1+1+1</f>
        <v>5</v>
      </c>
      <c r="AB142" s="2">
        <f>+Z142</f>
        <v>1</v>
      </c>
      <c r="AC142" s="3">
        <f>+Y142*2</f>
        <v>4</v>
      </c>
      <c r="AD142" s="2">
        <f>+Z142*2</f>
        <v>2</v>
      </c>
      <c r="AE142" s="115">
        <f>67.7+13.57/2+61.97</f>
        <v>136.45499999999998</v>
      </c>
      <c r="AF142" s="115"/>
      <c r="AG142" s="115">
        <v>72.72</v>
      </c>
      <c r="AH142" s="115"/>
      <c r="AI142" s="116">
        <f>9.028+34.93/2+44.21+8.55/2</f>
        <v>74.978000000000009</v>
      </c>
      <c r="AJ142" s="117"/>
      <c r="AK142" s="118">
        <v>358.85</v>
      </c>
      <c r="AL142" s="118"/>
      <c r="AM142" s="118"/>
      <c r="AN142" s="157">
        <f>+(4+24)/(2+8)</f>
        <v>2.8</v>
      </c>
      <c r="AO142" s="168">
        <f>+(3*21938+6*17546+5*13161+6*8775)/20*(72.72+9.28+34.93+44.21+8.55)</f>
        <v>2456644.5525000002</v>
      </c>
      <c r="AP142" s="169">
        <v>35849.919999999998</v>
      </c>
      <c r="AQ142" s="193" t="s">
        <v>36</v>
      </c>
      <c r="AR142" s="5" t="s">
        <v>824</v>
      </c>
      <c r="AS142" s="211">
        <v>44449</v>
      </c>
      <c r="AT142" s="211"/>
      <c r="AU142" s="5"/>
      <c r="AV142" s="8"/>
      <c r="AW142" s="8"/>
      <c r="AX142" s="8"/>
      <c r="AY142" s="8"/>
      <c r="AZ142" s="8"/>
      <c r="BA142" s="8"/>
      <c r="BB142" s="8"/>
      <c r="BC142" s="8"/>
      <c r="BD142" s="8"/>
      <c r="BE142" s="8"/>
      <c r="BF142" s="8"/>
      <c r="BG142" s="9"/>
      <c r="BH142" s="9"/>
      <c r="BI142" s="9"/>
      <c r="BJ142" s="9"/>
      <c r="BK142" s="9"/>
      <c r="BL142" s="9"/>
      <c r="BM142" s="9"/>
      <c r="BN142" s="9"/>
      <c r="BO142" s="9"/>
      <c r="BP142" s="9"/>
      <c r="BQ142" s="9"/>
      <c r="BR142" s="9"/>
      <c r="BS142" s="9"/>
      <c r="BT142" s="9"/>
      <c r="BU142" s="9"/>
      <c r="BV142" s="9"/>
      <c r="IP142" s="9"/>
      <c r="IQ142" s="9"/>
      <c r="IR142" s="9"/>
      <c r="IS142" s="9"/>
      <c r="IT142" s="9"/>
      <c r="IU142" s="9"/>
      <c r="IV142" s="9"/>
    </row>
    <row r="143" spans="1:256" s="10" customFormat="1" ht="51">
      <c r="A143" s="274"/>
      <c r="B143" s="90">
        <v>140</v>
      </c>
      <c r="C143" s="193" t="s">
        <v>825</v>
      </c>
      <c r="D143" s="227">
        <v>44365</v>
      </c>
      <c r="E143" s="1">
        <v>55999</v>
      </c>
      <c r="F143" s="1">
        <v>164879</v>
      </c>
      <c r="G143" s="1">
        <v>33552</v>
      </c>
      <c r="H143" s="1"/>
      <c r="I143" s="1"/>
      <c r="J143" s="1">
        <v>21</v>
      </c>
      <c r="K143" s="1">
        <v>3</v>
      </c>
      <c r="L143" s="204" t="s">
        <v>440</v>
      </c>
      <c r="M143" s="204" t="s">
        <v>826</v>
      </c>
      <c r="N143" s="204" t="s">
        <v>827</v>
      </c>
      <c r="O143" s="204"/>
      <c r="P143" s="204" t="s">
        <v>828</v>
      </c>
      <c r="Q143" s="204"/>
      <c r="R143" s="204"/>
      <c r="S143" s="204"/>
      <c r="T143" s="1">
        <v>1</v>
      </c>
      <c r="U143" s="2"/>
      <c r="V143" s="1"/>
      <c r="W143" s="1"/>
      <c r="X143" s="204" t="s">
        <v>67</v>
      </c>
      <c r="Y143" s="1">
        <v>3</v>
      </c>
      <c r="Z143" s="2"/>
      <c r="AA143" s="3">
        <f>+Y143+1</f>
        <v>4</v>
      </c>
      <c r="AB143" s="2"/>
      <c r="AC143" s="3">
        <f>+Y143*2</f>
        <v>6</v>
      </c>
      <c r="AD143" s="2"/>
      <c r="AE143" s="115"/>
      <c r="AF143" s="115"/>
      <c r="AG143" s="115">
        <v>91.58</v>
      </c>
      <c r="AH143" s="115"/>
      <c r="AI143" s="116"/>
      <c r="AJ143" s="117"/>
      <c r="AK143" s="118">
        <v>930.93</v>
      </c>
      <c r="AL143" s="118">
        <f>+AG143/AK143</f>
        <v>9.8374743536033857E-2</v>
      </c>
      <c r="AM143" s="118">
        <f>+AG143/AK143</f>
        <v>9.8374743536033857E-2</v>
      </c>
      <c r="AN143" s="157"/>
      <c r="AO143" s="168">
        <f>+(5*21938+17546*6+3*13161+6*8775)/20*AG143</f>
        <v>1406206.321</v>
      </c>
      <c r="AP143" s="169">
        <v>21084.75</v>
      </c>
      <c r="AQ143" s="193" t="s">
        <v>45</v>
      </c>
      <c r="AR143" s="5" t="s">
        <v>829</v>
      </c>
      <c r="AS143" s="211">
        <v>44453</v>
      </c>
      <c r="AT143" s="211"/>
      <c r="AU143" s="48">
        <v>44370</v>
      </c>
      <c r="AV143" s="8"/>
      <c r="AW143" s="8"/>
      <c r="AX143" s="8"/>
      <c r="AY143" s="8"/>
      <c r="AZ143" s="8"/>
      <c r="BA143" s="8"/>
      <c r="BB143" s="8"/>
      <c r="BC143" s="8"/>
      <c r="BD143" s="8"/>
      <c r="BE143" s="8"/>
      <c r="BF143" s="8"/>
      <c r="BG143" s="9"/>
      <c r="BH143" s="9"/>
      <c r="BI143" s="9"/>
      <c r="BJ143" s="9"/>
      <c r="BK143" s="9"/>
      <c r="BL143" s="9"/>
      <c r="BM143" s="9"/>
      <c r="BN143" s="9"/>
      <c r="BO143" s="9"/>
      <c r="BP143" s="9"/>
      <c r="BQ143" s="9"/>
      <c r="BR143" s="9"/>
      <c r="BS143" s="9"/>
      <c r="BT143" s="9"/>
      <c r="BU143" s="9"/>
      <c r="BV143" s="9"/>
      <c r="IP143" s="9"/>
      <c r="IQ143" s="9"/>
      <c r="IR143" s="9"/>
      <c r="IS143" s="9"/>
      <c r="IT143" s="9"/>
      <c r="IU143" s="9"/>
      <c r="IV143" s="9"/>
    </row>
    <row r="144" spans="1:256" s="10" customFormat="1" ht="102">
      <c r="A144" s="274"/>
      <c r="B144" s="90">
        <v>141</v>
      </c>
      <c r="C144" s="193">
        <v>531282</v>
      </c>
      <c r="D144" s="227">
        <v>44329</v>
      </c>
      <c r="E144" s="1">
        <v>29925</v>
      </c>
      <c r="F144" s="1">
        <v>106583</v>
      </c>
      <c r="G144" s="1">
        <v>3785</v>
      </c>
      <c r="H144" s="1"/>
      <c r="I144" s="1"/>
      <c r="J144" s="1">
        <v>344</v>
      </c>
      <c r="K144" s="1">
        <v>15</v>
      </c>
      <c r="L144" s="204" t="s">
        <v>31</v>
      </c>
      <c r="M144" s="204" t="s">
        <v>830</v>
      </c>
      <c r="N144" s="204" t="s">
        <v>831</v>
      </c>
      <c r="O144" s="204"/>
      <c r="P144" s="204" t="s">
        <v>581</v>
      </c>
      <c r="Q144" s="204"/>
      <c r="R144" s="204"/>
      <c r="S144" s="204"/>
      <c r="T144" s="1">
        <f>1+1+1+1</f>
        <v>4</v>
      </c>
      <c r="U144" s="2"/>
      <c r="V144" s="1"/>
      <c r="W144" s="1"/>
      <c r="X144" s="204" t="s">
        <v>220</v>
      </c>
      <c r="Y144" s="1">
        <f>2+2+2</f>
        <v>6</v>
      </c>
      <c r="Z144" s="2"/>
      <c r="AA144" s="3">
        <f>+Y144+1+1+1</f>
        <v>9</v>
      </c>
      <c r="AB144" s="2"/>
      <c r="AC144" s="3">
        <f>+Y144*2</f>
        <v>12</v>
      </c>
      <c r="AD144" s="2"/>
      <c r="AE144" s="115">
        <f>72.56+1.24/2</f>
        <v>73.180000000000007</v>
      </c>
      <c r="AF144" s="115"/>
      <c r="AG144" s="115">
        <f>177.3+31.68+94.57/2-AH144</f>
        <v>219.833</v>
      </c>
      <c r="AH144" s="115">
        <f>+(4.46+0.17+0.17)*(7.25+0.17+0.17)</f>
        <v>36.431999999999995</v>
      </c>
      <c r="AI144" s="116"/>
      <c r="AJ144" s="117"/>
      <c r="AK144" s="118">
        <v>1087</v>
      </c>
      <c r="AL144" s="118">
        <f>+(72.56+1.24+177.3+94.57)/AK144</f>
        <v>0.31800367985280592</v>
      </c>
      <c r="AM144" s="118">
        <f>+(AE144+AG144+AH144)/AK144</f>
        <v>0.30307727690892367</v>
      </c>
      <c r="AN144" s="157"/>
      <c r="AO144" s="168">
        <v>332000</v>
      </c>
      <c r="AP144" s="169">
        <v>82167</v>
      </c>
      <c r="AQ144" s="193" t="s">
        <v>36</v>
      </c>
      <c r="AR144" s="5" t="s">
        <v>832</v>
      </c>
      <c r="AS144" s="211">
        <v>44453</v>
      </c>
      <c r="AT144" s="211"/>
      <c r="AU144" s="5" t="s">
        <v>468</v>
      </c>
      <c r="AV144" s="8"/>
      <c r="AW144" s="8"/>
      <c r="AX144" s="8"/>
      <c r="AY144" s="8"/>
      <c r="AZ144" s="8"/>
      <c r="BA144" s="8"/>
      <c r="BB144" s="8"/>
      <c r="BC144" s="8"/>
      <c r="BD144" s="8"/>
      <c r="BE144" s="8"/>
      <c r="BF144" s="8"/>
      <c r="BG144" s="9"/>
      <c r="BH144" s="9"/>
      <c r="BI144" s="9"/>
      <c r="BJ144" s="9"/>
      <c r="BK144" s="9"/>
      <c r="BL144" s="9"/>
      <c r="BM144" s="9"/>
      <c r="BN144" s="9"/>
      <c r="BO144" s="9"/>
      <c r="BP144" s="9"/>
      <c r="BQ144" s="9"/>
      <c r="BR144" s="9"/>
      <c r="BS144" s="9"/>
      <c r="BT144" s="9"/>
      <c r="BU144" s="9"/>
      <c r="BV144" s="9"/>
      <c r="IP144" s="9"/>
      <c r="IQ144" s="9"/>
      <c r="IR144" s="9"/>
      <c r="IS144" s="9"/>
      <c r="IT144" s="9"/>
      <c r="IU144" s="9"/>
      <c r="IV144" s="9"/>
    </row>
    <row r="145" spans="1:256" s="10" customFormat="1" ht="63.75">
      <c r="A145" s="274"/>
      <c r="B145" s="85">
        <v>142</v>
      </c>
      <c r="C145" s="250">
        <v>533565</v>
      </c>
      <c r="D145" s="244">
        <v>44432</v>
      </c>
      <c r="E145" s="1">
        <v>35876</v>
      </c>
      <c r="F145" s="1">
        <v>135506</v>
      </c>
      <c r="G145" s="1">
        <v>31407</v>
      </c>
      <c r="H145" s="1">
        <v>310</v>
      </c>
      <c r="I145" s="1"/>
      <c r="J145" s="1">
        <v>4</v>
      </c>
      <c r="K145" s="1">
        <v>6</v>
      </c>
      <c r="L145" s="204" t="s">
        <v>39</v>
      </c>
      <c r="M145" s="204" t="s">
        <v>833</v>
      </c>
      <c r="N145" s="204" t="s">
        <v>834</v>
      </c>
      <c r="O145" s="204"/>
      <c r="P145" s="204" t="s">
        <v>241</v>
      </c>
      <c r="Q145" s="204" t="s">
        <v>241</v>
      </c>
      <c r="R145" s="204" t="s">
        <v>241</v>
      </c>
      <c r="S145" s="204" t="s">
        <v>98</v>
      </c>
      <c r="T145" s="1"/>
      <c r="U145" s="110">
        <v>1</v>
      </c>
      <c r="V145" s="1"/>
      <c r="W145" s="1"/>
      <c r="X145" s="204" t="s">
        <v>67</v>
      </c>
      <c r="Y145" s="1"/>
      <c r="Z145" s="2">
        <f>1+2</f>
        <v>3</v>
      </c>
      <c r="AA145" s="1"/>
      <c r="AB145" s="2">
        <f>+Z145+1</f>
        <v>4</v>
      </c>
      <c r="AC145" s="1"/>
      <c r="AD145" s="2">
        <f>+Z145*2</f>
        <v>6</v>
      </c>
      <c r="AE145" s="115"/>
      <c r="AF145" s="115"/>
      <c r="AG145" s="115"/>
      <c r="AH145" s="115"/>
      <c r="AI145" s="134">
        <f>52.6/2+138.6+38.6</f>
        <v>203.5</v>
      </c>
      <c r="AJ145" s="117"/>
      <c r="AK145" s="118">
        <v>4040</v>
      </c>
      <c r="AL145" s="118">
        <f>+(52.6+138.6)/AK145</f>
        <v>4.7326732673267327E-2</v>
      </c>
      <c r="AM145" s="118">
        <f>+AI145/AK145</f>
        <v>5.0371287128712874E-2</v>
      </c>
      <c r="AN145" s="157">
        <f>+(8+12+4)/(4+4+1)</f>
        <v>2.6666666666666665</v>
      </c>
      <c r="AO145" s="168">
        <f>+(7*18109+7*14484+5*10864+2*7243)/21*AI145</f>
        <v>2877654.7380952379</v>
      </c>
      <c r="AP145" s="169">
        <v>50096.959999999999</v>
      </c>
      <c r="AQ145" s="193" t="s">
        <v>36</v>
      </c>
      <c r="AR145" s="5" t="s">
        <v>835</v>
      </c>
      <c r="AS145" s="211">
        <v>44453</v>
      </c>
      <c r="AT145" s="211"/>
      <c r="AU145" s="28" t="s">
        <v>836</v>
      </c>
      <c r="AV145" s="8"/>
      <c r="AW145" s="8"/>
      <c r="AX145" s="8"/>
      <c r="AY145" s="8"/>
      <c r="AZ145" s="8"/>
      <c r="BA145" s="8"/>
      <c r="BB145" s="8"/>
      <c r="BC145" s="8"/>
      <c r="BD145" s="8"/>
      <c r="BE145" s="8"/>
      <c r="BF145" s="8"/>
      <c r="BG145" s="9"/>
      <c r="BH145" s="9"/>
      <c r="BI145" s="9"/>
      <c r="BJ145" s="9"/>
      <c r="BK145" s="9"/>
      <c r="BL145" s="9"/>
      <c r="BM145" s="9"/>
      <c r="BN145" s="9"/>
      <c r="BO145" s="9"/>
      <c r="BP145" s="9"/>
      <c r="BQ145" s="9"/>
      <c r="BR145" s="9"/>
      <c r="BS145" s="9"/>
      <c r="BT145" s="9"/>
      <c r="BU145" s="9"/>
      <c r="BV145" s="9"/>
      <c r="IP145" s="9"/>
      <c r="IQ145" s="9"/>
      <c r="IR145" s="9"/>
      <c r="IS145" s="9"/>
      <c r="IT145" s="9"/>
      <c r="IU145" s="9"/>
      <c r="IV145" s="9"/>
    </row>
    <row r="146" spans="1:256" s="10" customFormat="1" ht="89.25">
      <c r="A146" s="274"/>
      <c r="B146" s="85">
        <v>143</v>
      </c>
      <c r="C146" s="250">
        <v>533496</v>
      </c>
      <c r="D146" s="245">
        <v>44428</v>
      </c>
      <c r="E146" s="1">
        <v>50075</v>
      </c>
      <c r="F146" s="1">
        <v>136759</v>
      </c>
      <c r="G146" s="1">
        <v>31451</v>
      </c>
      <c r="H146" s="1">
        <v>223</v>
      </c>
      <c r="I146" s="1"/>
      <c r="J146" s="1">
        <v>1</v>
      </c>
      <c r="K146" s="1">
        <v>3</v>
      </c>
      <c r="L146" s="204" t="s">
        <v>837</v>
      </c>
      <c r="M146" s="204" t="s">
        <v>838</v>
      </c>
      <c r="N146" s="204" t="s">
        <v>839</v>
      </c>
      <c r="O146" s="204"/>
      <c r="P146" s="204" t="s">
        <v>413</v>
      </c>
      <c r="Q146" s="204"/>
      <c r="R146" s="204"/>
      <c r="S146" s="204"/>
      <c r="T146" s="1">
        <v>4</v>
      </c>
      <c r="U146" s="110"/>
      <c r="V146" s="1">
        <v>1</v>
      </c>
      <c r="W146" s="1"/>
      <c r="X146" s="204" t="s">
        <v>44</v>
      </c>
      <c r="Y146" s="1">
        <f>6+1</f>
        <v>7</v>
      </c>
      <c r="Z146" s="2"/>
      <c r="AA146" s="1">
        <f>+Y146+1</f>
        <v>8</v>
      </c>
      <c r="AB146" s="2"/>
      <c r="AC146" s="1">
        <f>+Y146*2</f>
        <v>14</v>
      </c>
      <c r="AD146" s="2"/>
      <c r="AE146" s="115">
        <f>154.46+29.84/2</f>
        <v>169.38</v>
      </c>
      <c r="AF146" s="115"/>
      <c r="AG146" s="115">
        <v>16.98</v>
      </c>
      <c r="AH146" s="115"/>
      <c r="AI146" s="134"/>
      <c r="AJ146" s="117"/>
      <c r="AK146" s="139">
        <v>2200</v>
      </c>
      <c r="AL146" s="118">
        <f>+(154.46+29.94+16.98)/AK146</f>
        <v>9.1536363636363638E-2</v>
      </c>
      <c r="AM146" s="118">
        <f>+(AE146+AG146)/AK146</f>
        <v>8.4709090909090901E-2</v>
      </c>
      <c r="AN146" s="157"/>
      <c r="AO146" s="168">
        <f>+((3*17546+6*13161+10*8775)/19*AG146)+240000</f>
        <v>436033.20631578949</v>
      </c>
      <c r="AP146" s="169">
        <v>8293.27</v>
      </c>
      <c r="AQ146" s="193" t="s">
        <v>36</v>
      </c>
      <c r="AR146" s="5" t="s">
        <v>840</v>
      </c>
      <c r="AS146" s="211">
        <v>44454</v>
      </c>
      <c r="AT146" s="211"/>
      <c r="AU146" s="50">
        <v>44433</v>
      </c>
      <c r="AV146" s="8"/>
      <c r="AW146" s="8"/>
      <c r="AX146" s="8"/>
      <c r="AY146" s="8"/>
      <c r="AZ146" s="8"/>
      <c r="BA146" s="8"/>
      <c r="BB146" s="8"/>
      <c r="BC146" s="8"/>
      <c r="BD146" s="8"/>
      <c r="BE146" s="8"/>
      <c r="BF146" s="8"/>
      <c r="BG146" s="9"/>
      <c r="BH146" s="9"/>
      <c r="BI146" s="9"/>
      <c r="BJ146" s="9"/>
      <c r="BK146" s="9"/>
      <c r="BL146" s="9"/>
      <c r="BM146" s="9"/>
      <c r="BN146" s="9"/>
      <c r="BO146" s="9"/>
      <c r="BP146" s="9"/>
      <c r="BQ146" s="9"/>
      <c r="BR146" s="9"/>
      <c r="BS146" s="9"/>
      <c r="BT146" s="9"/>
      <c r="BU146" s="9"/>
      <c r="BV146" s="9"/>
      <c r="IP146" s="9"/>
      <c r="IQ146" s="9"/>
      <c r="IR146" s="9"/>
      <c r="IS146" s="9"/>
      <c r="IT146" s="9"/>
      <c r="IU146" s="9"/>
      <c r="IV146" s="9"/>
    </row>
    <row r="147" spans="1:256" s="10" customFormat="1" ht="38.25">
      <c r="A147" s="274"/>
      <c r="B147" s="85">
        <v>146</v>
      </c>
      <c r="C147" s="196">
        <v>533538</v>
      </c>
      <c r="D147" s="227">
        <v>44431</v>
      </c>
      <c r="E147" s="1">
        <v>-1</v>
      </c>
      <c r="F147" s="1">
        <v>1735</v>
      </c>
      <c r="G147" s="1">
        <v>2408</v>
      </c>
      <c r="H147" s="1"/>
      <c r="I147" s="1"/>
      <c r="J147" s="1">
        <v>120</v>
      </c>
      <c r="K147" s="1">
        <v>9</v>
      </c>
      <c r="L147" s="204" t="s">
        <v>130</v>
      </c>
      <c r="M147" s="204" t="s">
        <v>841</v>
      </c>
      <c r="N147" s="204" t="s">
        <v>842</v>
      </c>
      <c r="O147" s="204" t="s">
        <v>843</v>
      </c>
      <c r="P147" s="204" t="s">
        <v>460</v>
      </c>
      <c r="Q147" s="204"/>
      <c r="R147" s="204"/>
      <c r="S147" s="204"/>
      <c r="T147" s="1">
        <v>1</v>
      </c>
      <c r="U147" s="110"/>
      <c r="V147" s="1"/>
      <c r="W147" s="1"/>
      <c r="X147" s="204" t="s">
        <v>67</v>
      </c>
      <c r="Y147" s="1">
        <v>2</v>
      </c>
      <c r="Z147" s="2"/>
      <c r="AA147" s="1">
        <f>+Y147+1</f>
        <v>3</v>
      </c>
      <c r="AB147" s="2"/>
      <c r="AC147" s="1">
        <f t="shared" ref="AC147:AC152" si="1">+Y147*2</f>
        <v>4</v>
      </c>
      <c r="AD147" s="2"/>
      <c r="AE147" s="115"/>
      <c r="AF147" s="115"/>
      <c r="AG147" s="115">
        <v>54.94</v>
      </c>
      <c r="AH147" s="115"/>
      <c r="AI147" s="116"/>
      <c r="AJ147" s="117"/>
      <c r="AK147" s="139">
        <v>140</v>
      </c>
      <c r="AL147" s="118">
        <f>+AG147/AK147</f>
        <v>0.3924285714285714</v>
      </c>
      <c r="AM147" s="118">
        <f>+AG147/AK147</f>
        <v>0.3924285714285714</v>
      </c>
      <c r="AN147" s="157"/>
      <c r="AO147" s="168">
        <f>+(6*17546+13161*6+8*8775)/20*AG147</f>
        <v>698952.174</v>
      </c>
      <c r="AP147" s="169">
        <v>10241.02</v>
      </c>
      <c r="AQ147" s="193" t="s">
        <v>36</v>
      </c>
      <c r="AR147" s="5" t="s">
        <v>844</v>
      </c>
      <c r="AS147" s="211">
        <v>44460</v>
      </c>
      <c r="AT147" s="211"/>
      <c r="AU147" s="50">
        <v>44433</v>
      </c>
      <c r="AV147" s="8"/>
      <c r="AW147" s="8"/>
      <c r="AX147" s="8"/>
      <c r="AY147" s="8"/>
      <c r="AZ147" s="8"/>
      <c r="BA147" s="8"/>
      <c r="BB147" s="8"/>
      <c r="BC147" s="8"/>
      <c r="BD147" s="8"/>
      <c r="BE147" s="8"/>
      <c r="BF147" s="8"/>
      <c r="BG147" s="9"/>
      <c r="BH147" s="9"/>
      <c r="BI147" s="9"/>
      <c r="BJ147" s="9"/>
      <c r="BK147" s="9"/>
      <c r="BL147" s="9"/>
      <c r="BM147" s="9"/>
      <c r="BN147" s="9"/>
      <c r="BO147" s="9"/>
      <c r="BP147" s="9"/>
      <c r="BQ147" s="9"/>
      <c r="BR147" s="9"/>
      <c r="BS147" s="9"/>
      <c r="BT147" s="9"/>
      <c r="BU147" s="9"/>
      <c r="BV147" s="9"/>
      <c r="IP147" s="9"/>
      <c r="IQ147" s="9"/>
      <c r="IR147" s="9"/>
      <c r="IS147" s="9"/>
      <c r="IT147" s="9"/>
      <c r="IU147" s="9"/>
      <c r="IV147" s="9"/>
    </row>
    <row r="148" spans="1:256" s="10" customFormat="1" ht="63.75">
      <c r="A148" s="274"/>
      <c r="B148" s="90">
        <v>145</v>
      </c>
      <c r="C148" s="193">
        <v>524811</v>
      </c>
      <c r="D148" s="227">
        <v>44123</v>
      </c>
      <c r="E148" s="1">
        <v>1093</v>
      </c>
      <c r="F148" s="1">
        <v>1914</v>
      </c>
      <c r="G148" s="1">
        <v>2358</v>
      </c>
      <c r="H148" s="1"/>
      <c r="I148" s="1"/>
      <c r="J148" s="1">
        <v>32</v>
      </c>
      <c r="K148" s="1">
        <v>8</v>
      </c>
      <c r="L148" s="204" t="s">
        <v>144</v>
      </c>
      <c r="M148" s="204" t="s">
        <v>845</v>
      </c>
      <c r="N148" s="204" t="s">
        <v>846</v>
      </c>
      <c r="O148" s="204"/>
      <c r="P148" s="204" t="s">
        <v>202</v>
      </c>
      <c r="Q148" s="204"/>
      <c r="R148" s="204"/>
      <c r="S148" s="204"/>
      <c r="T148" s="1">
        <v>1</v>
      </c>
      <c r="U148" s="2"/>
      <c r="V148" s="1"/>
      <c r="W148" s="1"/>
      <c r="X148" s="204" t="s">
        <v>67</v>
      </c>
      <c r="Y148" s="1">
        <v>1</v>
      </c>
      <c r="Z148" s="2"/>
      <c r="AA148" s="3">
        <f>+Y148+1</f>
        <v>2</v>
      </c>
      <c r="AB148" s="2"/>
      <c r="AC148" s="3">
        <f t="shared" si="1"/>
        <v>2</v>
      </c>
      <c r="AD148" s="2"/>
      <c r="AE148" s="115"/>
      <c r="AF148" s="115"/>
      <c r="AG148" s="115">
        <f>60.8+37.67+24.78/2</f>
        <v>110.86</v>
      </c>
      <c r="AH148" s="115"/>
      <c r="AI148" s="116"/>
      <c r="AJ148" s="117"/>
      <c r="AK148" s="118">
        <f>10.05*15.1</f>
        <v>151.755</v>
      </c>
      <c r="AL148" s="118">
        <f>+(37.67+24.78)/AK148</f>
        <v>0.41151856610984816</v>
      </c>
      <c r="AM148" s="118">
        <f>+AG148/AK148</f>
        <v>0.73051958749299861</v>
      </c>
      <c r="AN148" s="157">
        <f>+(6+24)/(2+6)</f>
        <v>3.75</v>
      </c>
      <c r="AO148" s="168">
        <f>+(6*21938+17546*5+6*13161+4*8775)/21*AG148</f>
        <v>1760161.1733333333</v>
      </c>
      <c r="AP148" s="169">
        <v>26278.3</v>
      </c>
      <c r="AQ148" s="193" t="s">
        <v>36</v>
      </c>
      <c r="AR148" s="5" t="s">
        <v>847</v>
      </c>
      <c r="AS148" s="211">
        <v>44459</v>
      </c>
      <c r="AT148" s="211"/>
      <c r="AU148" s="5" t="s">
        <v>848</v>
      </c>
      <c r="AV148" s="8"/>
      <c r="AW148" s="8"/>
      <c r="AX148" s="8"/>
      <c r="AY148" s="8"/>
      <c r="AZ148" s="8"/>
      <c r="BA148" s="8"/>
      <c r="BB148" s="8"/>
      <c r="BC148" s="8"/>
      <c r="BD148" s="8"/>
      <c r="BE148" s="8"/>
      <c r="BF148" s="8"/>
      <c r="BG148" s="9"/>
      <c r="BH148" s="9"/>
      <c r="BI148" s="9"/>
      <c r="BJ148" s="9"/>
      <c r="BK148" s="9"/>
      <c r="BL148" s="9"/>
      <c r="BM148" s="9"/>
      <c r="BN148" s="9"/>
      <c r="BO148" s="9"/>
      <c r="BP148" s="9"/>
      <c r="BQ148" s="9"/>
      <c r="BR148" s="9"/>
      <c r="BS148" s="9"/>
      <c r="BT148" s="9"/>
      <c r="BU148" s="9"/>
      <c r="BV148" s="9"/>
      <c r="IP148" s="9"/>
      <c r="IQ148" s="9"/>
      <c r="IR148" s="9"/>
      <c r="IS148" s="9"/>
      <c r="IT148" s="9"/>
      <c r="IU148" s="9"/>
      <c r="IV148" s="9"/>
    </row>
    <row r="149" spans="1:256" s="10" customFormat="1" ht="114.75">
      <c r="A149" s="274"/>
      <c r="B149" s="90">
        <v>147</v>
      </c>
      <c r="C149" s="193">
        <v>533590</v>
      </c>
      <c r="D149" s="227">
        <v>44432</v>
      </c>
      <c r="E149" s="1">
        <v>17155</v>
      </c>
      <c r="F149" s="1">
        <v>107206</v>
      </c>
      <c r="G149" s="1">
        <v>3633</v>
      </c>
      <c r="H149" s="1"/>
      <c r="I149" s="1"/>
      <c r="J149" s="1">
        <v>28</v>
      </c>
      <c r="K149" s="1">
        <v>5</v>
      </c>
      <c r="L149" s="204" t="s">
        <v>849</v>
      </c>
      <c r="M149" s="204" t="s">
        <v>850</v>
      </c>
      <c r="N149" s="204" t="s">
        <v>851</v>
      </c>
      <c r="O149" s="204"/>
      <c r="P149" s="204" t="s">
        <v>695</v>
      </c>
      <c r="Q149" s="204"/>
      <c r="R149" s="204"/>
      <c r="S149" s="204"/>
      <c r="T149" s="1">
        <v>3</v>
      </c>
      <c r="U149" s="2"/>
      <c r="V149" s="1"/>
      <c r="W149" s="1"/>
      <c r="X149" s="204" t="s">
        <v>852</v>
      </c>
      <c r="Y149" s="1">
        <v>2</v>
      </c>
      <c r="Z149" s="2"/>
      <c r="AA149" s="3">
        <f>2+1</f>
        <v>3</v>
      </c>
      <c r="AB149" s="2"/>
      <c r="AC149" s="3">
        <f t="shared" si="1"/>
        <v>4</v>
      </c>
      <c r="AD149" s="2"/>
      <c r="AE149" s="115">
        <f>6*(11.53+4.47)+12.98/2</f>
        <v>102.49</v>
      </c>
      <c r="AF149" s="115">
        <f>229.4+229.39-(6*(11.53+4.47))</f>
        <v>362.78999999999996</v>
      </c>
      <c r="AG149" s="115"/>
      <c r="AH149" s="115">
        <v>56.5</v>
      </c>
      <c r="AI149" s="116"/>
      <c r="AJ149" s="117"/>
      <c r="AK149" s="118">
        <v>527.79</v>
      </c>
      <c r="AL149" s="118">
        <f>+(458.79+12.98)/AK149</f>
        <v>0.89385930010041881</v>
      </c>
      <c r="AM149" s="118">
        <f>+(AE149+AF149+AH149)/AK149</f>
        <v>0.98861289528031981</v>
      </c>
      <c r="AN149" s="157"/>
      <c r="AO149" s="168">
        <v>147072</v>
      </c>
      <c r="AP149" s="169">
        <v>2613.13</v>
      </c>
      <c r="AQ149" s="193" t="s">
        <v>36</v>
      </c>
      <c r="AR149" s="5" t="s">
        <v>853</v>
      </c>
      <c r="AS149" s="211">
        <v>44460</v>
      </c>
      <c r="AT149" s="211"/>
      <c r="AU149" s="48" t="s">
        <v>854</v>
      </c>
      <c r="AV149" s="8"/>
      <c r="AW149" s="8"/>
      <c r="AX149" s="8"/>
      <c r="AY149" s="8"/>
      <c r="AZ149" s="8"/>
      <c r="BA149" s="8"/>
      <c r="BB149" s="8"/>
      <c r="BC149" s="8"/>
      <c r="BD149" s="8"/>
      <c r="BE149" s="8"/>
      <c r="BF149" s="8"/>
      <c r="BG149" s="9"/>
      <c r="BH149" s="9"/>
      <c r="BI149" s="9"/>
      <c r="BJ149" s="9"/>
      <c r="BK149" s="9"/>
      <c r="BL149" s="9"/>
      <c r="BM149" s="9"/>
      <c r="BN149" s="9"/>
      <c r="BO149" s="9"/>
      <c r="BP149" s="9"/>
      <c r="BQ149" s="9"/>
      <c r="BR149" s="9"/>
      <c r="BS149" s="9"/>
      <c r="BT149" s="9"/>
      <c r="BU149" s="9"/>
      <c r="BV149" s="9"/>
      <c r="IP149" s="9"/>
      <c r="IQ149" s="9"/>
      <c r="IR149" s="9"/>
      <c r="IS149" s="9"/>
      <c r="IT149" s="9"/>
      <c r="IU149" s="9"/>
      <c r="IV149" s="9"/>
    </row>
    <row r="150" spans="1:256" s="10" customFormat="1" ht="127.5">
      <c r="A150" s="274"/>
      <c r="B150" s="90">
        <v>148</v>
      </c>
      <c r="C150" s="193" t="s">
        <v>855</v>
      </c>
      <c r="D150" s="227">
        <v>44102</v>
      </c>
      <c r="E150" s="1">
        <v>6271</v>
      </c>
      <c r="F150" s="1">
        <v>1001</v>
      </c>
      <c r="G150" s="1">
        <v>4422</v>
      </c>
      <c r="H150" s="1"/>
      <c r="I150" s="1"/>
      <c r="J150" s="1">
        <v>24</v>
      </c>
      <c r="K150" s="1">
        <v>4</v>
      </c>
      <c r="L150" s="204" t="s">
        <v>31</v>
      </c>
      <c r="M150" s="204" t="s">
        <v>856</v>
      </c>
      <c r="N150" s="204" t="s">
        <v>857</v>
      </c>
      <c r="O150" s="204"/>
      <c r="P150" s="204" t="s">
        <v>400</v>
      </c>
      <c r="Q150" s="204"/>
      <c r="R150" s="204"/>
      <c r="S150" s="204"/>
      <c r="T150" s="1"/>
      <c r="U150" s="2"/>
      <c r="V150" s="1">
        <v>1</v>
      </c>
      <c r="W150" s="1"/>
      <c r="X150" s="204" t="s">
        <v>67</v>
      </c>
      <c r="Y150" s="1">
        <v>3</v>
      </c>
      <c r="Z150" s="2"/>
      <c r="AA150" s="3">
        <f>+Y150+3</f>
        <v>6</v>
      </c>
      <c r="AB150" s="2"/>
      <c r="AC150" s="3">
        <f t="shared" si="1"/>
        <v>6</v>
      </c>
      <c r="AD150" s="2"/>
      <c r="AE150" s="115">
        <f>45.6+149.4+14.51+5.4+88.1/2+74.35</f>
        <v>333.30999999999995</v>
      </c>
      <c r="AF150" s="115"/>
      <c r="AG150" s="115">
        <v>69.790000000000006</v>
      </c>
      <c r="AH150" s="115"/>
      <c r="AI150" s="116"/>
      <c r="AJ150" s="117"/>
      <c r="AK150" s="118">
        <v>600.79</v>
      </c>
      <c r="AL150" s="118">
        <f>+(45.6+14.51+88.1+149.4+5.4)/AK150</f>
        <v>0.504352602406831</v>
      </c>
      <c r="AM150" s="118">
        <f>+(AE150+AG150)/AK150</f>
        <v>0.67094991594400699</v>
      </c>
      <c r="AN150" s="157">
        <f>+(1+10+15+6)/(1+5+5+1)</f>
        <v>2.6666666666666665</v>
      </c>
      <c r="AO150" s="168">
        <f>+(7*21938+9*17546+3*13161+3*8775)/22*AG150</f>
        <v>1196860.4327272729</v>
      </c>
      <c r="AP150" s="169">
        <v>19657.099999999999</v>
      </c>
      <c r="AQ150" s="193" t="s">
        <v>36</v>
      </c>
      <c r="AR150" s="5" t="s">
        <v>858</v>
      </c>
      <c r="AS150" s="211">
        <v>44461</v>
      </c>
      <c r="AT150" s="211"/>
      <c r="AU150" s="48" t="s">
        <v>859</v>
      </c>
      <c r="AV150" s="8"/>
      <c r="AW150" s="8"/>
      <c r="AX150" s="8"/>
      <c r="AY150" s="8"/>
      <c r="AZ150" s="8"/>
      <c r="BA150" s="8"/>
      <c r="BB150" s="8"/>
      <c r="BC150" s="8"/>
      <c r="BD150" s="8"/>
      <c r="BE150" s="8"/>
      <c r="BF150" s="8"/>
      <c r="BG150" s="9"/>
      <c r="BH150" s="9"/>
      <c r="BI150" s="9"/>
      <c r="BJ150" s="9"/>
      <c r="BK150" s="9"/>
      <c r="BL150" s="9"/>
      <c r="BM150" s="9"/>
      <c r="BN150" s="9"/>
      <c r="BO150" s="9"/>
      <c r="BP150" s="9"/>
      <c r="BQ150" s="9"/>
      <c r="BR150" s="9"/>
      <c r="BS150" s="9"/>
      <c r="BT150" s="9"/>
      <c r="BU150" s="9"/>
      <c r="BV150" s="9"/>
      <c r="IP150" s="9"/>
      <c r="IQ150" s="9"/>
      <c r="IR150" s="9"/>
      <c r="IS150" s="9"/>
      <c r="IT150" s="9"/>
      <c r="IU150" s="9"/>
      <c r="IV150" s="9"/>
    </row>
    <row r="151" spans="1:256" s="10" customFormat="1" ht="76.5">
      <c r="A151" s="274"/>
      <c r="B151" s="90">
        <v>149</v>
      </c>
      <c r="C151" s="193">
        <v>533711</v>
      </c>
      <c r="D151" s="227">
        <v>44434</v>
      </c>
      <c r="E151" s="1">
        <v>23226</v>
      </c>
      <c r="F151" s="1">
        <v>161</v>
      </c>
      <c r="G151" s="1">
        <v>4289</v>
      </c>
      <c r="H151" s="1"/>
      <c r="I151" s="1"/>
      <c r="J151" s="1">
        <v>151</v>
      </c>
      <c r="K151" s="1">
        <v>13</v>
      </c>
      <c r="L151" s="204" t="s">
        <v>130</v>
      </c>
      <c r="M151" s="204" t="s">
        <v>860</v>
      </c>
      <c r="N151" s="204" t="s">
        <v>861</v>
      </c>
      <c r="O151" s="204" t="s">
        <v>862</v>
      </c>
      <c r="P151" s="204" t="s">
        <v>97</v>
      </c>
      <c r="Q151" s="204"/>
      <c r="R151" s="204"/>
      <c r="S151" s="204"/>
      <c r="T151" s="1">
        <f>1+1</f>
        <v>2</v>
      </c>
      <c r="U151" s="2"/>
      <c r="V151" s="1"/>
      <c r="W151" s="1"/>
      <c r="X151" s="204" t="s">
        <v>53</v>
      </c>
      <c r="Y151" s="1">
        <v>2</v>
      </c>
      <c r="Z151" s="2"/>
      <c r="AA151" s="3">
        <f>+Y151+1</f>
        <v>3</v>
      </c>
      <c r="AB151" s="2"/>
      <c r="AC151" s="3">
        <f t="shared" si="1"/>
        <v>4</v>
      </c>
      <c r="AD151" s="2"/>
      <c r="AE151" s="115"/>
      <c r="AF151" s="115"/>
      <c r="AG151" s="115">
        <f>4.6+5.6+54.3+16.5/2</f>
        <v>72.75</v>
      </c>
      <c r="AH151" s="115">
        <v>24.18</v>
      </c>
      <c r="AI151" s="116"/>
      <c r="AJ151" s="117"/>
      <c r="AK151" s="118">
        <v>529.5</v>
      </c>
      <c r="AL151" s="118">
        <f>+(24.18+4.6+16.5+54.3+5.6)/AK151</f>
        <v>0.19864022662889516</v>
      </c>
      <c r="AM151" s="118">
        <f>+(AG151+AH151)/AK151</f>
        <v>0.18305949008498584</v>
      </c>
      <c r="AN151" s="157">
        <f>+(4+12+16+12)/(2+4+4+2)</f>
        <v>3.6666666666666665</v>
      </c>
      <c r="AO151" s="168">
        <f>+(17456*5+13161*7+8775*7)/19*AH151</f>
        <v>306490.40842105262</v>
      </c>
      <c r="AP151" s="169">
        <v>20282.32</v>
      </c>
      <c r="AQ151" s="193" t="s">
        <v>36</v>
      </c>
      <c r="AR151" s="5" t="s">
        <v>863</v>
      </c>
      <c r="AS151" s="211">
        <v>44462</v>
      </c>
      <c r="AT151" s="211"/>
      <c r="AU151" s="48" t="s">
        <v>864</v>
      </c>
      <c r="AV151" s="8"/>
      <c r="AW151" s="8"/>
      <c r="AX151" s="8"/>
      <c r="AY151" s="8"/>
      <c r="AZ151" s="8"/>
      <c r="BA151" s="8"/>
      <c r="BB151" s="8"/>
      <c r="BC151" s="8"/>
      <c r="BD151" s="8"/>
      <c r="BE151" s="8"/>
      <c r="BF151" s="8"/>
      <c r="BG151" s="9"/>
      <c r="BH151" s="9"/>
      <c r="BI151" s="9"/>
      <c r="BJ151" s="9"/>
      <c r="BK151" s="9"/>
      <c r="BL151" s="9"/>
      <c r="BM151" s="9"/>
      <c r="BN151" s="9"/>
      <c r="BO151" s="9"/>
      <c r="BP151" s="9"/>
      <c r="BQ151" s="9"/>
      <c r="BR151" s="9"/>
      <c r="BS151" s="9"/>
      <c r="BT151" s="9"/>
      <c r="BU151" s="9"/>
      <c r="BV151" s="9"/>
      <c r="IP151" s="9"/>
      <c r="IQ151" s="9"/>
      <c r="IR151" s="9"/>
      <c r="IS151" s="9"/>
      <c r="IT151" s="9"/>
      <c r="IU151" s="9"/>
      <c r="IV151" s="9"/>
    </row>
    <row r="152" spans="1:256" s="10" customFormat="1" ht="89.25">
      <c r="A152" s="274"/>
      <c r="B152" s="85">
        <v>151</v>
      </c>
      <c r="C152" s="250" t="s">
        <v>865</v>
      </c>
      <c r="D152" s="246">
        <v>44403</v>
      </c>
      <c r="E152" s="1">
        <v>29069</v>
      </c>
      <c r="F152" s="1">
        <v>122699</v>
      </c>
      <c r="G152" s="1">
        <v>6356</v>
      </c>
      <c r="H152" s="1"/>
      <c r="I152" s="1"/>
      <c r="J152" s="1">
        <v>144</v>
      </c>
      <c r="K152" s="1">
        <v>2</v>
      </c>
      <c r="L152" s="204" t="s">
        <v>866</v>
      </c>
      <c r="M152" s="204" t="s">
        <v>867</v>
      </c>
      <c r="N152" s="204" t="s">
        <v>868</v>
      </c>
      <c r="O152" s="204"/>
      <c r="P152" s="204" t="s">
        <v>346</v>
      </c>
      <c r="Q152" s="204"/>
      <c r="R152" s="204"/>
      <c r="S152" s="204"/>
      <c r="T152" s="1">
        <f>1+1+1</f>
        <v>3</v>
      </c>
      <c r="U152" s="110"/>
      <c r="V152" s="1"/>
      <c r="W152" s="1"/>
      <c r="X152" s="204" t="s">
        <v>220</v>
      </c>
      <c r="Y152" s="1">
        <f>1+2</f>
        <v>3</v>
      </c>
      <c r="Z152" s="2"/>
      <c r="AA152" s="1">
        <f>+Y152+1+1</f>
        <v>5</v>
      </c>
      <c r="AB152" s="2"/>
      <c r="AC152" s="1">
        <f t="shared" si="1"/>
        <v>6</v>
      </c>
      <c r="AD152" s="2"/>
      <c r="AE152" s="115">
        <f>88.44+14.04/2+75.83+3.42/2-AF152</f>
        <v>142.18</v>
      </c>
      <c r="AF152" s="115">
        <f>+(7.5+0.2+0.15+1.2+0.15)*(3.2+0.15)</f>
        <v>30.820000000000004</v>
      </c>
      <c r="AG152" s="115"/>
      <c r="AH152" s="115"/>
      <c r="AI152" s="116"/>
      <c r="AJ152" s="117"/>
      <c r="AK152" s="139">
        <v>230.4</v>
      </c>
      <c r="AL152" s="118">
        <f>+(88.44+14.04)/AK152</f>
        <v>0.44479166666666659</v>
      </c>
      <c r="AM152" s="118">
        <f>+(AE152+AF152)/AK152</f>
        <v>0.75086805555555558</v>
      </c>
      <c r="AN152" s="157">
        <f>+(2+18+12+12)/(1+6+3+2)</f>
        <v>3.6666666666666665</v>
      </c>
      <c r="AO152" s="168">
        <f>17546*(3.2*1.2)</f>
        <v>67376.639999999999</v>
      </c>
      <c r="AP152" s="169">
        <v>3035.8</v>
      </c>
      <c r="AQ152" s="193" t="s">
        <v>36</v>
      </c>
      <c r="AR152" s="5" t="s">
        <v>869</v>
      </c>
      <c r="AS152" s="211">
        <v>44463</v>
      </c>
      <c r="AT152" s="211"/>
      <c r="AU152" s="28" t="s">
        <v>870</v>
      </c>
      <c r="AV152" s="8"/>
      <c r="AW152" s="8"/>
      <c r="AX152" s="8"/>
      <c r="AY152" s="8"/>
      <c r="AZ152" s="8"/>
      <c r="BA152" s="8"/>
      <c r="BB152" s="8"/>
      <c r="BC152" s="8"/>
      <c r="BD152" s="8"/>
      <c r="BE152" s="8"/>
      <c r="BF152" s="8"/>
      <c r="BG152" s="9"/>
      <c r="BH152" s="9"/>
      <c r="BI152" s="9"/>
      <c r="BJ152" s="9"/>
      <c r="BK152" s="9"/>
      <c r="BL152" s="9"/>
      <c r="BM152" s="9"/>
      <c r="BN152" s="9"/>
      <c r="BO152" s="9"/>
      <c r="BP152" s="9"/>
      <c r="BQ152" s="9"/>
      <c r="BR152" s="9"/>
      <c r="BS152" s="9"/>
      <c r="BT152" s="9"/>
      <c r="BU152" s="9"/>
      <c r="BV152" s="9"/>
      <c r="IP152" s="9"/>
      <c r="IQ152" s="9"/>
      <c r="IR152" s="9"/>
      <c r="IS152" s="9"/>
      <c r="IT152" s="9"/>
      <c r="IU152" s="9"/>
      <c r="IV152" s="9"/>
    </row>
    <row r="153" spans="1:256" s="10" customFormat="1" ht="38.25">
      <c r="A153" s="274"/>
      <c r="B153" s="90">
        <v>144</v>
      </c>
      <c r="C153" s="193">
        <v>532665</v>
      </c>
      <c r="D153" s="227">
        <v>44396</v>
      </c>
      <c r="E153" s="1">
        <v>46114</v>
      </c>
      <c r="F153" s="1">
        <v>105211</v>
      </c>
      <c r="G153" s="1">
        <v>30279</v>
      </c>
      <c r="H153" s="1">
        <v>354</v>
      </c>
      <c r="I153" s="1"/>
      <c r="J153" s="1"/>
      <c r="K153" s="1">
        <v>8</v>
      </c>
      <c r="L153" s="204" t="s">
        <v>137</v>
      </c>
      <c r="M153" s="204" t="s">
        <v>871</v>
      </c>
      <c r="N153" s="204" t="s">
        <v>872</v>
      </c>
      <c r="O153" s="204" t="s">
        <v>873</v>
      </c>
      <c r="P153" s="204" t="s">
        <v>707</v>
      </c>
      <c r="Q153" s="204"/>
      <c r="R153" s="204"/>
      <c r="S153" s="204"/>
      <c r="T153" s="1"/>
      <c r="U153" s="2">
        <v>1</v>
      </c>
      <c r="V153" s="1"/>
      <c r="W153" s="1"/>
      <c r="X153" s="204" t="s">
        <v>126</v>
      </c>
      <c r="Y153" s="1"/>
      <c r="Z153" s="2"/>
      <c r="AA153" s="3"/>
      <c r="AB153" s="2"/>
      <c r="AC153" s="3"/>
      <c r="AD153" s="2">
        <f>+Z153*2</f>
        <v>0</v>
      </c>
      <c r="AE153" s="115"/>
      <c r="AF153" s="115"/>
      <c r="AG153" s="115"/>
      <c r="AH153" s="115"/>
      <c r="AI153" s="116"/>
      <c r="AJ153" s="117">
        <v>720.32</v>
      </c>
      <c r="AK153" s="118">
        <v>1955.5</v>
      </c>
      <c r="AL153" s="118">
        <v>0.38</v>
      </c>
      <c r="AM153" s="118">
        <v>0.43</v>
      </c>
      <c r="AN153" s="157">
        <f>+(1+8+18+4+12)/(1+4+6+1+2)</f>
        <v>3.0714285714285716</v>
      </c>
      <c r="AO153" s="168">
        <v>14725305.039999999</v>
      </c>
      <c r="AP153" s="169">
        <v>53529.51</v>
      </c>
      <c r="AQ153" s="193" t="s">
        <v>107</v>
      </c>
      <c r="AR153" s="5" t="s">
        <v>874</v>
      </c>
      <c r="AS153" s="211">
        <v>44459</v>
      </c>
      <c r="AT153" s="211"/>
      <c r="AU153" s="5" t="s">
        <v>875</v>
      </c>
      <c r="AV153" s="8"/>
      <c r="AW153" s="8"/>
      <c r="AX153" s="8"/>
      <c r="AY153" s="8"/>
      <c r="AZ153" s="8"/>
      <c r="BA153" s="8"/>
      <c r="BB153" s="8"/>
      <c r="BC153" s="8"/>
      <c r="BD153" s="8"/>
      <c r="BE153" s="8"/>
      <c r="BF153" s="8"/>
      <c r="BG153" s="9"/>
      <c r="BH153" s="9"/>
      <c r="BI153" s="9"/>
      <c r="BJ153" s="9"/>
      <c r="BK153" s="9"/>
      <c r="BL153" s="9"/>
      <c r="BM153" s="9"/>
      <c r="BN153" s="9"/>
      <c r="BO153" s="9"/>
      <c r="BP153" s="9"/>
      <c r="BQ153" s="9"/>
      <c r="BR153" s="9"/>
      <c r="BS153" s="9"/>
      <c r="BT153" s="9"/>
      <c r="BU153" s="9"/>
      <c r="BV153" s="9"/>
      <c r="IP153" s="9"/>
      <c r="IQ153" s="9"/>
      <c r="IR153" s="9"/>
      <c r="IS153" s="9"/>
      <c r="IT153" s="9"/>
      <c r="IU153" s="9"/>
      <c r="IV153" s="9"/>
    </row>
    <row r="154" spans="1:256" s="10" customFormat="1" ht="51">
      <c r="A154" s="274"/>
      <c r="B154" s="94">
        <v>156</v>
      </c>
      <c r="C154" s="293" t="s">
        <v>876</v>
      </c>
      <c r="D154" s="227">
        <v>44398</v>
      </c>
      <c r="E154" s="1">
        <v>44153</v>
      </c>
      <c r="F154" s="1">
        <v>141772</v>
      </c>
      <c r="G154" s="1">
        <v>32093</v>
      </c>
      <c r="H154" s="1">
        <v>3</v>
      </c>
      <c r="I154" s="1"/>
      <c r="J154" s="1">
        <v>1</v>
      </c>
      <c r="K154" s="1">
        <v>22</v>
      </c>
      <c r="L154" s="204" t="s">
        <v>293</v>
      </c>
      <c r="M154" s="204" t="s">
        <v>877</v>
      </c>
      <c r="N154" s="204" t="s">
        <v>878</v>
      </c>
      <c r="O154" s="204"/>
      <c r="P154" s="204" t="s">
        <v>879</v>
      </c>
      <c r="Q154" s="204" t="s">
        <v>879</v>
      </c>
      <c r="R154" s="204" t="s">
        <v>879</v>
      </c>
      <c r="S154" s="204" t="s">
        <v>751</v>
      </c>
      <c r="T154" s="1"/>
      <c r="U154" s="2">
        <v>1</v>
      </c>
      <c r="V154" s="1"/>
      <c r="W154" s="1"/>
      <c r="X154" s="204" t="s">
        <v>67</v>
      </c>
      <c r="Y154" s="1"/>
      <c r="Z154" s="2">
        <v>2</v>
      </c>
      <c r="AA154" s="3"/>
      <c r="AB154" s="2">
        <f>2+1</f>
        <v>3</v>
      </c>
      <c r="AC154" s="3"/>
      <c r="AD154" s="2">
        <f>+Z154*2</f>
        <v>4</v>
      </c>
      <c r="AE154" s="115"/>
      <c r="AF154" s="115"/>
      <c r="AG154" s="115"/>
      <c r="AH154" s="115"/>
      <c r="AI154" s="116">
        <f>95.86+34.8/2+73.7</f>
        <v>186.95999999999998</v>
      </c>
      <c r="AJ154" s="117"/>
      <c r="AK154" s="118">
        <v>868.71</v>
      </c>
      <c r="AL154" s="118">
        <f>+(95.86+34.8)/AK154</f>
        <v>0.15040692521094495</v>
      </c>
      <c r="AM154" s="118">
        <f>+AI154/AK154</f>
        <v>0.21521566460614011</v>
      </c>
      <c r="AN154" s="157"/>
      <c r="AO154" s="168">
        <f>+(6*21938+17546*11+5*13161+8775)/23*AI154</f>
        <v>3245089.1060869559</v>
      </c>
      <c r="AP154" s="169">
        <v>13074.79</v>
      </c>
      <c r="AQ154" s="193" t="s">
        <v>36</v>
      </c>
      <c r="AR154" s="5" t="s">
        <v>880</v>
      </c>
      <c r="AS154" s="211">
        <v>44470</v>
      </c>
      <c r="AT154" s="211"/>
      <c r="AU154" s="5" t="s">
        <v>881</v>
      </c>
      <c r="AV154" s="8"/>
      <c r="AW154" s="8"/>
      <c r="AX154" s="8"/>
      <c r="AY154" s="8"/>
      <c r="AZ154" s="8"/>
      <c r="BA154" s="8"/>
      <c r="BB154" s="8"/>
      <c r="BC154" s="8"/>
      <c r="BD154" s="8"/>
      <c r="BE154" s="8"/>
      <c r="BF154" s="8"/>
      <c r="BG154" s="9"/>
      <c r="BH154" s="9"/>
      <c r="BI154" s="9"/>
      <c r="BJ154" s="9"/>
      <c r="BK154" s="9"/>
      <c r="BL154" s="9"/>
      <c r="BM154" s="9"/>
      <c r="BN154" s="9"/>
      <c r="BO154" s="9"/>
      <c r="BP154" s="9"/>
      <c r="BQ154" s="9"/>
      <c r="BR154" s="9"/>
      <c r="BS154" s="9"/>
      <c r="BT154" s="9"/>
      <c r="BU154" s="9"/>
      <c r="BV154" s="9"/>
      <c r="IP154" s="9"/>
      <c r="IQ154" s="9"/>
      <c r="IR154" s="9"/>
      <c r="IS154" s="9"/>
      <c r="IT154" s="9"/>
      <c r="IU154" s="9"/>
      <c r="IV154" s="9"/>
    </row>
    <row r="155" spans="1:256" s="30" customFormat="1" ht="127.5">
      <c r="A155" s="277">
        <v>2019</v>
      </c>
      <c r="B155" s="95">
        <v>158</v>
      </c>
      <c r="C155" s="254">
        <v>517139</v>
      </c>
      <c r="D155" s="233">
        <v>43811</v>
      </c>
      <c r="E155" s="1">
        <v>8521</v>
      </c>
      <c r="F155" s="1">
        <v>101064</v>
      </c>
      <c r="G155" s="1">
        <v>2621</v>
      </c>
      <c r="H155" s="1"/>
      <c r="I155" s="1"/>
      <c r="J155" s="1">
        <v>204</v>
      </c>
      <c r="K155" s="1">
        <v>1</v>
      </c>
      <c r="L155" s="204" t="s">
        <v>882</v>
      </c>
      <c r="M155" s="204" t="s">
        <v>883</v>
      </c>
      <c r="N155" s="204" t="s">
        <v>884</v>
      </c>
      <c r="O155" s="253"/>
      <c r="P155" s="204" t="s">
        <v>885</v>
      </c>
      <c r="Q155" s="204" t="s">
        <v>885</v>
      </c>
      <c r="R155" s="204" t="s">
        <v>885</v>
      </c>
      <c r="S155" s="204" t="s">
        <v>886</v>
      </c>
      <c r="T155" s="1"/>
      <c r="U155" s="2">
        <v>1</v>
      </c>
      <c r="V155" s="1"/>
      <c r="W155" s="1"/>
      <c r="X155" s="204" t="s">
        <v>44</v>
      </c>
      <c r="Y155" s="1"/>
      <c r="Z155" s="2">
        <v>2</v>
      </c>
      <c r="AA155" s="3"/>
      <c r="AB155" s="2">
        <f>2+1</f>
        <v>3</v>
      </c>
      <c r="AC155" s="3"/>
      <c r="AD155" s="2">
        <f>+Z155*2</f>
        <v>4</v>
      </c>
      <c r="AE155" s="115"/>
      <c r="AF155" s="115"/>
      <c r="AG155" s="115"/>
      <c r="AH155" s="115"/>
      <c r="AI155" s="116">
        <f>210.67+63.51+97.02</f>
        <v>371.2</v>
      </c>
      <c r="AJ155" s="128"/>
      <c r="AK155" s="127">
        <v>581.70000000000005</v>
      </c>
      <c r="AL155" s="127">
        <f>+(210.67+97.02)/AK155</f>
        <v>0.52894963039367371</v>
      </c>
      <c r="AM155" s="127">
        <f>+(210.67+63.51+97.02/2)/AK155</f>
        <v>0.55473611827402436</v>
      </c>
      <c r="AN155" s="161"/>
      <c r="AO155" s="185"/>
      <c r="AP155" s="175">
        <v>137301.5</v>
      </c>
      <c r="AQ155" s="199" t="s">
        <v>36</v>
      </c>
      <c r="AR155" s="27" t="s">
        <v>887</v>
      </c>
      <c r="AS155" s="211">
        <v>44474</v>
      </c>
      <c r="AT155" s="211"/>
      <c r="AU155" s="51" t="s">
        <v>888</v>
      </c>
      <c r="BU155" s="52"/>
      <c r="BV155" s="52"/>
      <c r="BW155" s="52"/>
      <c r="BX155" s="52"/>
      <c r="BY155" s="52"/>
      <c r="BZ155" s="52"/>
      <c r="CA155" s="52"/>
      <c r="CB155" s="52"/>
      <c r="CC155" s="52"/>
      <c r="CD155" s="52"/>
      <c r="CE155" s="52"/>
      <c r="CF155" s="52"/>
      <c r="CG155" s="52"/>
      <c r="CH155" s="52"/>
      <c r="CI155" s="52"/>
      <c r="CJ155" s="52"/>
      <c r="CK155" s="52"/>
      <c r="CL155" s="52"/>
      <c r="CM155" s="52"/>
      <c r="CN155" s="52"/>
      <c r="CO155" s="52"/>
      <c r="CP155" s="52"/>
      <c r="CQ155" s="52"/>
      <c r="CR155" s="52"/>
      <c r="CS155" s="52"/>
      <c r="CT155" s="52"/>
      <c r="CU155" s="52"/>
      <c r="CV155" s="52"/>
      <c r="CW155" s="52"/>
      <c r="CX155" s="52"/>
      <c r="CY155" s="52"/>
      <c r="CZ155" s="52"/>
      <c r="DA155" s="52"/>
      <c r="DB155" s="52"/>
      <c r="DC155" s="52"/>
      <c r="DD155" s="52"/>
      <c r="DE155" s="52"/>
      <c r="DF155" s="52"/>
      <c r="DG155" s="52"/>
      <c r="DH155" s="52"/>
      <c r="DI155" s="52"/>
      <c r="DJ155" s="52"/>
      <c r="DK155" s="52"/>
      <c r="DL155" s="52"/>
      <c r="DM155" s="52"/>
      <c r="DN155" s="52"/>
      <c r="DO155" s="52"/>
      <c r="DP155" s="52"/>
      <c r="DQ155" s="52"/>
      <c r="DR155" s="52"/>
      <c r="DS155" s="52"/>
      <c r="DT155" s="52"/>
      <c r="DU155" s="52"/>
      <c r="DV155" s="52"/>
      <c r="DW155" s="52"/>
      <c r="DX155" s="52"/>
      <c r="DY155" s="52"/>
      <c r="DZ155" s="52"/>
      <c r="EA155" s="52"/>
      <c r="EB155" s="52"/>
      <c r="EC155" s="52"/>
      <c r="ED155" s="52"/>
      <c r="EE155" s="52"/>
      <c r="EF155" s="52"/>
      <c r="EG155" s="52"/>
      <c r="EH155" s="52"/>
      <c r="EI155" s="52"/>
      <c r="EJ155" s="52"/>
      <c r="EK155" s="52"/>
      <c r="EL155" s="52"/>
      <c r="EM155" s="52"/>
      <c r="EN155" s="52"/>
      <c r="EO155" s="52"/>
      <c r="EP155" s="52"/>
      <c r="EQ155" s="52"/>
      <c r="ER155" s="52"/>
      <c r="ES155" s="52"/>
      <c r="ET155" s="52"/>
      <c r="EU155" s="52"/>
      <c r="EV155" s="52"/>
      <c r="EW155" s="52"/>
      <c r="EX155" s="52"/>
      <c r="EY155" s="52"/>
      <c r="EZ155" s="52"/>
      <c r="FA155" s="52"/>
      <c r="FB155" s="52"/>
      <c r="FC155" s="52"/>
      <c r="FD155" s="52"/>
      <c r="FE155" s="52"/>
      <c r="FF155" s="52"/>
      <c r="FG155" s="52"/>
      <c r="FH155" s="52"/>
      <c r="FI155" s="52"/>
      <c r="FJ155" s="52"/>
      <c r="FK155" s="52"/>
      <c r="FL155" s="52"/>
      <c r="FM155" s="52"/>
      <c r="FN155" s="52"/>
      <c r="FO155" s="52"/>
      <c r="FP155" s="52"/>
      <c r="FQ155" s="52"/>
      <c r="FR155" s="52"/>
      <c r="FS155" s="52"/>
      <c r="FT155" s="52"/>
      <c r="FU155" s="52"/>
      <c r="FV155" s="52"/>
      <c r="FW155" s="52"/>
      <c r="FX155" s="52"/>
      <c r="FY155" s="52"/>
      <c r="FZ155" s="52"/>
      <c r="GA155" s="52"/>
      <c r="GB155" s="52"/>
      <c r="GC155" s="52"/>
      <c r="GD155" s="52"/>
      <c r="GE155" s="52"/>
      <c r="GF155" s="52"/>
      <c r="GG155" s="52"/>
      <c r="GH155" s="52"/>
      <c r="GI155" s="52"/>
      <c r="GJ155" s="52"/>
      <c r="GK155" s="52"/>
      <c r="GL155" s="52"/>
      <c r="GM155" s="52"/>
      <c r="GN155" s="52"/>
      <c r="GO155" s="52"/>
      <c r="GP155" s="52"/>
      <c r="GQ155" s="52"/>
      <c r="GR155" s="52"/>
      <c r="GS155" s="52"/>
      <c r="GT155" s="52"/>
      <c r="GU155" s="52"/>
      <c r="GV155" s="52"/>
      <c r="GW155" s="52"/>
      <c r="GX155" s="52"/>
      <c r="GY155" s="52"/>
      <c r="GZ155" s="52"/>
      <c r="HA155" s="52"/>
      <c r="HB155" s="52"/>
      <c r="HC155" s="52"/>
      <c r="HD155" s="52"/>
      <c r="HE155" s="52"/>
      <c r="HF155" s="52"/>
      <c r="HG155" s="52"/>
      <c r="HH155" s="52"/>
      <c r="HI155" s="52"/>
      <c r="HJ155" s="52"/>
      <c r="HK155" s="52"/>
      <c r="HL155" s="52"/>
      <c r="HM155" s="52"/>
      <c r="HN155" s="52"/>
      <c r="HO155" s="52"/>
      <c r="HP155" s="52"/>
      <c r="HQ155" s="52"/>
      <c r="HR155" s="52"/>
      <c r="HS155" s="52"/>
      <c r="HT155" s="52"/>
      <c r="HU155" s="52"/>
      <c r="HV155" s="52"/>
      <c r="HW155" s="52"/>
      <c r="HX155" s="52"/>
      <c r="HY155" s="52"/>
      <c r="HZ155" s="52"/>
      <c r="IA155" s="52"/>
      <c r="IB155" s="52"/>
      <c r="IC155" s="52"/>
      <c r="ID155" s="52"/>
      <c r="IE155" s="52"/>
      <c r="IF155" s="52"/>
      <c r="IG155" s="52"/>
      <c r="IH155" s="52"/>
      <c r="II155" s="52"/>
      <c r="IJ155" s="52"/>
      <c r="IK155" s="52"/>
      <c r="IL155" s="52"/>
      <c r="IM155" s="52"/>
    </row>
    <row r="156" spans="1:256" s="10" customFormat="1" ht="63.75">
      <c r="A156" s="274"/>
      <c r="B156" s="90">
        <v>164</v>
      </c>
      <c r="C156" s="193" t="s">
        <v>889</v>
      </c>
      <c r="D156" s="227">
        <v>44430</v>
      </c>
      <c r="E156" s="1">
        <v>20290</v>
      </c>
      <c r="F156" s="1">
        <v>109788</v>
      </c>
      <c r="G156" s="1">
        <v>3455</v>
      </c>
      <c r="H156" s="1"/>
      <c r="I156" s="1"/>
      <c r="J156" s="1">
        <v>754</v>
      </c>
      <c r="K156" s="1">
        <v>16</v>
      </c>
      <c r="L156" s="204" t="s">
        <v>130</v>
      </c>
      <c r="M156" s="204" t="s">
        <v>890</v>
      </c>
      <c r="N156" s="204" t="s">
        <v>891</v>
      </c>
      <c r="O156" s="204"/>
      <c r="P156" s="204" t="s">
        <v>231</v>
      </c>
      <c r="Q156" s="204"/>
      <c r="R156" s="204"/>
      <c r="S156" s="204"/>
      <c r="T156" s="1">
        <v>1</v>
      </c>
      <c r="U156" s="2"/>
      <c r="V156" s="1"/>
      <c r="W156" s="1"/>
      <c r="X156" s="204" t="s">
        <v>892</v>
      </c>
      <c r="Y156" s="1"/>
      <c r="Z156" s="2"/>
      <c r="AA156" s="3"/>
      <c r="AB156" s="2"/>
      <c r="AC156" s="3"/>
      <c r="AD156" s="2"/>
      <c r="AE156" s="115"/>
      <c r="AF156" s="115"/>
      <c r="AG156" s="115"/>
      <c r="AH156" s="115">
        <f>37+79.2</f>
        <v>116.2</v>
      </c>
      <c r="AI156" s="116"/>
      <c r="AJ156" s="117"/>
      <c r="AK156" s="118">
        <v>351</v>
      </c>
      <c r="AL156" s="118">
        <f>+(AH156/AK156)</f>
        <v>0.33105413105413106</v>
      </c>
      <c r="AM156" s="118">
        <f>+AH156/AK156</f>
        <v>0.33105413105413106</v>
      </c>
      <c r="AN156" s="157"/>
      <c r="AO156" s="168">
        <f>+AH156*17546</f>
        <v>2038845.2</v>
      </c>
      <c r="AP156" s="169">
        <v>23021.11</v>
      </c>
      <c r="AQ156" s="193" t="s">
        <v>73</v>
      </c>
      <c r="AR156" s="5" t="s">
        <v>893</v>
      </c>
      <c r="AS156" s="211">
        <v>44487</v>
      </c>
      <c r="AT156" s="211"/>
      <c r="AU156" s="5"/>
      <c r="AV156" s="8"/>
      <c r="AW156" s="8"/>
      <c r="AX156" s="8"/>
      <c r="AY156" s="8"/>
      <c r="AZ156" s="8"/>
      <c r="BA156" s="8"/>
      <c r="BB156" s="8"/>
      <c r="BC156" s="8"/>
      <c r="BD156" s="8"/>
      <c r="BE156" s="8"/>
      <c r="BF156" s="8"/>
      <c r="BG156" s="9"/>
      <c r="BH156" s="9"/>
      <c r="BI156" s="9"/>
      <c r="BJ156" s="9"/>
      <c r="BK156" s="9"/>
      <c r="BL156" s="9"/>
      <c r="BM156" s="9"/>
      <c r="BN156" s="9"/>
      <c r="BO156" s="9"/>
      <c r="BP156" s="9"/>
      <c r="BQ156" s="9"/>
      <c r="BR156" s="9"/>
      <c r="BS156" s="9"/>
      <c r="BT156" s="9"/>
      <c r="BU156" s="9"/>
      <c r="BV156" s="9"/>
      <c r="IP156" s="9"/>
      <c r="IQ156" s="9"/>
      <c r="IR156" s="9"/>
      <c r="IS156" s="9"/>
      <c r="IT156" s="9"/>
      <c r="IU156" s="9"/>
      <c r="IV156" s="9"/>
    </row>
    <row r="157" spans="1:256" s="10" customFormat="1" ht="51">
      <c r="A157" s="274"/>
      <c r="B157" s="90">
        <v>159</v>
      </c>
      <c r="C157" s="193">
        <v>531787</v>
      </c>
      <c r="D157" s="227">
        <v>44355</v>
      </c>
      <c r="E157" s="1"/>
      <c r="F157" s="1"/>
      <c r="G157" s="1">
        <v>33843</v>
      </c>
      <c r="H157" s="1">
        <v>327</v>
      </c>
      <c r="I157" s="1"/>
      <c r="J157" s="1">
        <v>5</v>
      </c>
      <c r="K157" s="1">
        <v>1</v>
      </c>
      <c r="L157" s="204" t="s">
        <v>215</v>
      </c>
      <c r="M157" s="204" t="s">
        <v>754</v>
      </c>
      <c r="N157" s="204" t="s">
        <v>894</v>
      </c>
      <c r="O157" s="204"/>
      <c r="P157" s="204" t="s">
        <v>895</v>
      </c>
      <c r="Q157" s="204" t="s">
        <v>570</v>
      </c>
      <c r="R157" s="204" t="s">
        <v>896</v>
      </c>
      <c r="S157" s="204" t="s">
        <v>897</v>
      </c>
      <c r="T157" s="1"/>
      <c r="U157" s="2">
        <v>2</v>
      </c>
      <c r="V157" s="1"/>
      <c r="W157" s="1"/>
      <c r="X157" s="204" t="s">
        <v>898</v>
      </c>
      <c r="Y157" s="1"/>
      <c r="Z157" s="2">
        <f>1+1</f>
        <v>2</v>
      </c>
      <c r="AA157" s="3"/>
      <c r="AB157" s="2">
        <f>+Z157+1+1</f>
        <v>4</v>
      </c>
      <c r="AC157" s="3"/>
      <c r="AD157" s="2">
        <f>+Z157*2</f>
        <v>4</v>
      </c>
      <c r="AE157" s="115"/>
      <c r="AF157" s="115"/>
      <c r="AG157" s="115"/>
      <c r="AH157" s="115"/>
      <c r="AI157" s="116">
        <f>139.88+14.54/2</f>
        <v>147.15</v>
      </c>
      <c r="AJ157" s="117"/>
      <c r="AK157" s="118">
        <v>321</v>
      </c>
      <c r="AL157" s="118">
        <f>+(139.88+14.54)/AK157</f>
        <v>0.48105919003115261</v>
      </c>
      <c r="AM157" s="118">
        <f>+AI157/AK157</f>
        <v>0.45841121495327103</v>
      </c>
      <c r="AN157" s="157">
        <f>+(1+2+21+4)/(1+1+7+1)</f>
        <v>2.8</v>
      </c>
      <c r="AO157" s="168">
        <f>16914.34+((4*21398+17546*5+13161*9+8775)/19*AI157)</f>
        <v>2344564.0189473685</v>
      </c>
      <c r="AP157" s="169">
        <v>45465.99</v>
      </c>
      <c r="AQ157" s="193" t="s">
        <v>36</v>
      </c>
      <c r="AR157" s="5" t="s">
        <v>899</v>
      </c>
      <c r="AS157" s="211">
        <v>44475</v>
      </c>
      <c r="AT157" s="211"/>
      <c r="AU157" s="5" t="s">
        <v>900</v>
      </c>
      <c r="AV157" s="8"/>
      <c r="AW157" s="8"/>
      <c r="AX157" s="8"/>
      <c r="AY157" s="8"/>
      <c r="AZ157" s="8"/>
      <c r="BA157" s="8"/>
      <c r="BB157" s="8"/>
      <c r="BC157" s="8"/>
      <c r="BD157" s="8"/>
      <c r="BE157" s="8"/>
      <c r="BF157" s="8"/>
      <c r="BG157" s="9"/>
      <c r="BH157" s="9"/>
      <c r="BI157" s="9"/>
      <c r="BJ157" s="9"/>
      <c r="BK157" s="9"/>
      <c r="BL157" s="9"/>
      <c r="BM157" s="9"/>
      <c r="BN157" s="9"/>
      <c r="BO157" s="9"/>
      <c r="BP157" s="9"/>
      <c r="BQ157" s="9"/>
      <c r="BR157" s="9"/>
      <c r="BS157" s="9"/>
      <c r="BT157" s="9"/>
      <c r="BU157" s="9"/>
      <c r="BV157" s="9"/>
      <c r="IP157" s="9"/>
      <c r="IQ157" s="9"/>
      <c r="IR157" s="9"/>
      <c r="IS157" s="9"/>
      <c r="IT157" s="9"/>
      <c r="IU157" s="9"/>
      <c r="IV157" s="9"/>
    </row>
    <row r="158" spans="1:256" s="10" customFormat="1" ht="76.5">
      <c r="A158" s="274"/>
      <c r="B158" s="90">
        <v>163</v>
      </c>
      <c r="C158" s="193">
        <v>534167</v>
      </c>
      <c r="D158" s="227">
        <v>44453</v>
      </c>
      <c r="E158" s="1">
        <v>57722</v>
      </c>
      <c r="F158" s="1">
        <v>166626</v>
      </c>
      <c r="G158" s="1">
        <v>33762</v>
      </c>
      <c r="H158" s="1">
        <v>310</v>
      </c>
      <c r="I158" s="1"/>
      <c r="J158" s="1">
        <v>2</v>
      </c>
      <c r="K158" s="1">
        <v>34</v>
      </c>
      <c r="L158" s="204" t="s">
        <v>440</v>
      </c>
      <c r="M158" s="204" t="s">
        <v>754</v>
      </c>
      <c r="N158" s="204" t="s">
        <v>901</v>
      </c>
      <c r="O158" s="204"/>
      <c r="P158" s="204" t="s">
        <v>493</v>
      </c>
      <c r="Q158" s="204"/>
      <c r="R158" s="204"/>
      <c r="S158" s="204"/>
      <c r="T158" s="1">
        <v>1</v>
      </c>
      <c r="U158" s="2"/>
      <c r="V158" s="1"/>
      <c r="W158" s="1"/>
      <c r="X158" s="204" t="s">
        <v>67</v>
      </c>
      <c r="Y158" s="1">
        <v>1</v>
      </c>
      <c r="Z158" s="2"/>
      <c r="AA158" s="3">
        <f>+Y158+1</f>
        <v>2</v>
      </c>
      <c r="AB158" s="2"/>
      <c r="AC158" s="3">
        <f>+Y158*2</f>
        <v>2</v>
      </c>
      <c r="AD158" s="2"/>
      <c r="AE158" s="115"/>
      <c r="AF158" s="115"/>
      <c r="AG158" s="115">
        <f>172.6+9.69/2+5.88/2</f>
        <v>180.38499999999999</v>
      </c>
      <c r="AH158" s="115"/>
      <c r="AI158" s="116"/>
      <c r="AJ158" s="117"/>
      <c r="AK158" s="118">
        <v>560.62</v>
      </c>
      <c r="AL158" s="115">
        <f>(172.6+9.69+5.88)/AK158</f>
        <v>0.33564624879597588</v>
      </c>
      <c r="AM158" s="118">
        <f>+AG158/AK158</f>
        <v>0.32175983732296382</v>
      </c>
      <c r="AN158" s="157"/>
      <c r="AO158" s="168">
        <f>+(21938+14*17546+2*13161+7*8775)/20*AG158</f>
        <v>3204801.0832500001</v>
      </c>
      <c r="AP158" s="169">
        <v>37269.67</v>
      </c>
      <c r="AQ158" s="193" t="s">
        <v>107</v>
      </c>
      <c r="AR158" s="5" t="s">
        <v>902</v>
      </c>
      <c r="AS158" s="211">
        <v>44484</v>
      </c>
      <c r="AT158" s="211"/>
      <c r="AU158" s="48">
        <v>44456</v>
      </c>
      <c r="AV158" s="8"/>
      <c r="AW158" s="8"/>
      <c r="AX158" s="8"/>
      <c r="AY158" s="8"/>
      <c r="AZ158" s="8"/>
      <c r="BA158" s="8"/>
      <c r="BB158" s="8"/>
      <c r="BC158" s="8"/>
      <c r="BD158" s="8"/>
      <c r="BE158" s="8"/>
      <c r="BF158" s="8"/>
      <c r="BG158" s="9"/>
      <c r="BH158" s="9"/>
      <c r="BI158" s="9"/>
      <c r="BJ158" s="9"/>
      <c r="BK158" s="9"/>
      <c r="BL158" s="9"/>
      <c r="BM158" s="9"/>
      <c r="BN158" s="9"/>
      <c r="BO158" s="9"/>
      <c r="BP158" s="9"/>
      <c r="BQ158" s="9"/>
      <c r="BR158" s="9"/>
      <c r="BS158" s="9"/>
      <c r="BT158" s="9"/>
      <c r="BU158" s="9"/>
      <c r="BV158" s="9"/>
      <c r="IP158" s="9"/>
      <c r="IQ158" s="9"/>
      <c r="IR158" s="9"/>
      <c r="IS158" s="9"/>
      <c r="IT158" s="9"/>
      <c r="IU158" s="9"/>
      <c r="IV158" s="9"/>
    </row>
    <row r="159" spans="1:256" s="10" customFormat="1" ht="63.75">
      <c r="A159" s="274"/>
      <c r="B159" s="90">
        <v>154</v>
      </c>
      <c r="C159" s="193">
        <v>533118</v>
      </c>
      <c r="D159" s="227">
        <v>44413</v>
      </c>
      <c r="E159" s="1">
        <v>-40143</v>
      </c>
      <c r="F159" s="1">
        <v>138753</v>
      </c>
      <c r="G159" s="1">
        <v>31656</v>
      </c>
      <c r="H159" s="1">
        <v>355</v>
      </c>
      <c r="I159" s="1"/>
      <c r="J159" s="1">
        <v>6</v>
      </c>
      <c r="K159" s="1">
        <v>1</v>
      </c>
      <c r="L159" s="204" t="s">
        <v>137</v>
      </c>
      <c r="M159" s="204" t="s">
        <v>903</v>
      </c>
      <c r="N159" s="204" t="s">
        <v>904</v>
      </c>
      <c r="O159" s="204"/>
      <c r="P159" s="204" t="s">
        <v>707</v>
      </c>
      <c r="Q159" s="204" t="s">
        <v>707</v>
      </c>
      <c r="R159" s="204" t="s">
        <v>707</v>
      </c>
      <c r="S159" s="204" t="s">
        <v>886</v>
      </c>
      <c r="T159" s="1"/>
      <c r="U159" s="2">
        <v>1</v>
      </c>
      <c r="V159" s="1"/>
      <c r="W159" s="1"/>
      <c r="X159" s="204" t="s">
        <v>67</v>
      </c>
      <c r="Y159" s="1"/>
      <c r="Z159" s="2">
        <v>3</v>
      </c>
      <c r="AA159" s="3"/>
      <c r="AB159" s="2">
        <f>+Z159+1</f>
        <v>4</v>
      </c>
      <c r="AC159" s="3"/>
      <c r="AD159" s="2">
        <f t="shared" ref="AD159:AD163" si="2">+Z159*2</f>
        <v>6</v>
      </c>
      <c r="AE159" s="115"/>
      <c r="AF159" s="115"/>
      <c r="AG159" s="115"/>
      <c r="AH159" s="115"/>
      <c r="AI159" s="116">
        <f>134.63+39.37/2</f>
        <v>154.315</v>
      </c>
      <c r="AJ159" s="117"/>
      <c r="AK159" s="118">
        <v>450</v>
      </c>
      <c r="AL159" s="118">
        <f>+(134.63+39.37)/AK159</f>
        <v>0.38666666666666666</v>
      </c>
      <c r="AM159" s="118">
        <f>+AI159/AK159</f>
        <v>0.34292222222222224</v>
      </c>
      <c r="AN159" s="157">
        <f>+(6+21+4+12)/(3+7+1+2)</f>
        <v>3.3076923076923075</v>
      </c>
      <c r="AO159" s="168">
        <f>+(11*21938+17546*5+13161*4+8775*5)/25*AI159</f>
        <v>2626854.8642000002</v>
      </c>
      <c r="AP159" s="169">
        <v>9996.34</v>
      </c>
      <c r="AQ159" s="193" t="s">
        <v>73</v>
      </c>
      <c r="AR159" s="5" t="s">
        <v>905</v>
      </c>
      <c r="AS159" s="211">
        <v>44470</v>
      </c>
      <c r="AT159" s="211"/>
      <c r="AU159" s="5" t="s">
        <v>906</v>
      </c>
      <c r="AV159" s="8"/>
      <c r="AW159" s="8"/>
      <c r="AX159" s="8"/>
      <c r="AY159" s="8"/>
      <c r="AZ159" s="8"/>
      <c r="BA159" s="8"/>
      <c r="BB159" s="8"/>
      <c r="BC159" s="8"/>
      <c r="BD159" s="8"/>
      <c r="BE159" s="8"/>
      <c r="BF159" s="8"/>
      <c r="BG159" s="9"/>
      <c r="BH159" s="9"/>
      <c r="BI159" s="9"/>
      <c r="BJ159" s="9"/>
      <c r="BK159" s="9"/>
      <c r="BL159" s="9"/>
      <c r="BM159" s="9"/>
      <c r="BN159" s="9"/>
      <c r="BO159" s="9"/>
      <c r="BP159" s="9"/>
      <c r="BQ159" s="9"/>
      <c r="BR159" s="9"/>
      <c r="BS159" s="9"/>
      <c r="BT159" s="9"/>
      <c r="BU159" s="9"/>
      <c r="BV159" s="9"/>
      <c r="IP159" s="9"/>
      <c r="IQ159" s="9"/>
      <c r="IR159" s="9"/>
      <c r="IS159" s="9"/>
      <c r="IT159" s="9"/>
      <c r="IU159" s="9"/>
      <c r="IV159" s="9"/>
    </row>
    <row r="160" spans="1:256" s="10" customFormat="1" ht="38.25">
      <c r="A160" s="274"/>
      <c r="B160" s="90">
        <v>150</v>
      </c>
      <c r="C160" s="193">
        <v>533946</v>
      </c>
      <c r="D160" s="227">
        <v>44445</v>
      </c>
      <c r="E160" s="1">
        <v>58297</v>
      </c>
      <c r="F160" s="1">
        <v>166714</v>
      </c>
      <c r="G160" s="1">
        <v>10398</v>
      </c>
      <c r="H160" s="1"/>
      <c r="I160" s="1"/>
      <c r="J160" s="1">
        <v>427</v>
      </c>
      <c r="K160" s="1">
        <v>21</v>
      </c>
      <c r="L160" s="204" t="s">
        <v>31</v>
      </c>
      <c r="M160" s="204" t="s">
        <v>907</v>
      </c>
      <c r="N160" s="204" t="s">
        <v>908</v>
      </c>
      <c r="O160" s="204"/>
      <c r="P160" s="204" t="s">
        <v>581</v>
      </c>
      <c r="Q160" s="204" t="s">
        <v>581</v>
      </c>
      <c r="R160" s="204" t="s">
        <v>581</v>
      </c>
      <c r="S160" s="204" t="s">
        <v>909</v>
      </c>
      <c r="T160" s="1"/>
      <c r="U160" s="2">
        <v>1</v>
      </c>
      <c r="V160" s="1"/>
      <c r="W160" s="1"/>
      <c r="X160" s="204" t="s">
        <v>67</v>
      </c>
      <c r="Y160" s="1"/>
      <c r="Z160" s="2">
        <v>2</v>
      </c>
      <c r="AA160" s="3"/>
      <c r="AB160" s="2">
        <f>+Z160+1</f>
        <v>3</v>
      </c>
      <c r="AC160" s="3"/>
      <c r="AD160" s="2">
        <f t="shared" si="2"/>
        <v>4</v>
      </c>
      <c r="AE160" s="115"/>
      <c r="AF160" s="115"/>
      <c r="AG160" s="115"/>
      <c r="AH160" s="115"/>
      <c r="AI160" s="116">
        <v>59.63</v>
      </c>
      <c r="AJ160" s="117"/>
      <c r="AK160" s="118">
        <v>300.72000000000003</v>
      </c>
      <c r="AL160" s="118">
        <f>+AI160/AK160</f>
        <v>0.19829076882149507</v>
      </c>
      <c r="AM160" s="118">
        <f>+AI160/AK160</f>
        <v>0.19829076882149507</v>
      </c>
      <c r="AN160" s="157">
        <f>+(2+24)/(1+8)</f>
        <v>2.8888888888888888</v>
      </c>
      <c r="AO160" s="168">
        <f>+(2*21938+5*17546+6*13161+6*8775)/19*AI160</f>
        <v>826101.4663157895</v>
      </c>
      <c r="AP160" s="169">
        <v>4482.7299999999996</v>
      </c>
      <c r="AQ160" s="193" t="s">
        <v>36</v>
      </c>
      <c r="AR160" s="5" t="s">
        <v>910</v>
      </c>
      <c r="AS160" s="211">
        <v>44463</v>
      </c>
      <c r="AT160" s="211"/>
      <c r="AU160" s="5" t="s">
        <v>911</v>
      </c>
      <c r="AV160" s="8"/>
      <c r="AW160" s="8"/>
      <c r="AX160" s="8"/>
      <c r="AY160" s="8"/>
      <c r="AZ160" s="8"/>
      <c r="BA160" s="8"/>
      <c r="BB160" s="8"/>
      <c r="BC160" s="8"/>
      <c r="BD160" s="8"/>
      <c r="BE160" s="8"/>
      <c r="BF160" s="8"/>
      <c r="BG160" s="9"/>
      <c r="BH160" s="9"/>
      <c r="BI160" s="9"/>
      <c r="BJ160" s="9"/>
      <c r="BK160" s="9"/>
      <c r="BL160" s="9"/>
      <c r="BM160" s="9"/>
      <c r="BN160" s="9"/>
      <c r="BO160" s="9"/>
      <c r="BP160" s="9"/>
      <c r="BQ160" s="9"/>
      <c r="BR160" s="9"/>
      <c r="BS160" s="9"/>
      <c r="BT160" s="9"/>
      <c r="BU160" s="9"/>
      <c r="BV160" s="9"/>
      <c r="IP160" s="9"/>
      <c r="IQ160" s="9"/>
      <c r="IR160" s="9"/>
      <c r="IS160" s="9"/>
      <c r="IT160" s="9"/>
      <c r="IU160" s="9"/>
      <c r="IV160" s="9"/>
    </row>
    <row r="161" spans="1:256" s="10" customFormat="1" ht="114.75">
      <c r="A161" s="274"/>
      <c r="B161" s="90">
        <v>161</v>
      </c>
      <c r="C161" s="193">
        <v>530375</v>
      </c>
      <c r="D161" s="227">
        <v>44299</v>
      </c>
      <c r="E161" s="1">
        <v>55458</v>
      </c>
      <c r="F161" s="1">
        <v>164421</v>
      </c>
      <c r="G161" s="1">
        <v>33489</v>
      </c>
      <c r="H161" s="1">
        <v>3</v>
      </c>
      <c r="I161" s="1"/>
      <c r="J161" s="1">
        <v>4</v>
      </c>
      <c r="K161" s="1">
        <v>34</v>
      </c>
      <c r="L161" s="204" t="s">
        <v>286</v>
      </c>
      <c r="M161" s="204" t="s">
        <v>912</v>
      </c>
      <c r="N161" s="204" t="s">
        <v>913</v>
      </c>
      <c r="O161" s="204"/>
      <c r="P161" s="204" t="s">
        <v>318</v>
      </c>
      <c r="Q161" s="204" t="s">
        <v>318</v>
      </c>
      <c r="R161" s="204" t="s">
        <v>318</v>
      </c>
      <c r="S161" s="204" t="s">
        <v>319</v>
      </c>
      <c r="T161" s="1"/>
      <c r="U161" s="2"/>
      <c r="V161" s="1">
        <v>1</v>
      </c>
      <c r="W161" s="1"/>
      <c r="X161" s="204" t="s">
        <v>67</v>
      </c>
      <c r="Y161" s="1">
        <v>2</v>
      </c>
      <c r="Z161" s="2">
        <v>1</v>
      </c>
      <c r="AA161" s="3">
        <f>+Y161+1</f>
        <v>3</v>
      </c>
      <c r="AB161" s="2">
        <f>+Z161</f>
        <v>1</v>
      </c>
      <c r="AC161" s="3">
        <f>+Y161*2</f>
        <v>4</v>
      </c>
      <c r="AD161" s="2">
        <f t="shared" si="2"/>
        <v>2</v>
      </c>
      <c r="AE161" s="115">
        <f>154.84+38.9+23.45+18.35</f>
        <v>235.54</v>
      </c>
      <c r="AF161" s="115"/>
      <c r="AG161" s="115"/>
      <c r="AH161" s="115"/>
      <c r="AI161" s="116">
        <v>28.3</v>
      </c>
      <c r="AJ161" s="117"/>
      <c r="AK161" s="118">
        <v>900.27</v>
      </c>
      <c r="AL161" s="118">
        <f>+(154.84+38.9+38.9+18.35+18.35)/AK161</f>
        <v>0.29917691359258891</v>
      </c>
      <c r="AM161" s="118">
        <f>+(AE161+AI161)/AK161</f>
        <v>0.29306763526497603</v>
      </c>
      <c r="AN161" s="157">
        <f>+(1+12+9+12)/(1+6+3+2)</f>
        <v>2.8333333333333335</v>
      </c>
      <c r="AO161" s="168">
        <f>1728+((13*21938+17546*6+13161*4)/23*AI161)</f>
        <v>546950.87826086953</v>
      </c>
      <c r="AP161" s="169">
        <v>21648.959999999999</v>
      </c>
      <c r="AQ161" s="193" t="s">
        <v>73</v>
      </c>
      <c r="AR161" s="5" t="s">
        <v>914</v>
      </c>
      <c r="AS161" s="211">
        <v>44481</v>
      </c>
      <c r="AT161" s="211"/>
      <c r="AU161" s="5" t="s">
        <v>915</v>
      </c>
      <c r="AV161" s="8"/>
      <c r="AW161" s="8"/>
      <c r="AX161" s="8"/>
      <c r="AY161" s="8"/>
      <c r="AZ161" s="8"/>
      <c r="BA161" s="8"/>
      <c r="BB161" s="8"/>
      <c r="BC161" s="8"/>
      <c r="BD161" s="8"/>
      <c r="BE161" s="8"/>
      <c r="BF161" s="8"/>
      <c r="BG161" s="9"/>
      <c r="BH161" s="9"/>
      <c r="BI161" s="9"/>
      <c r="BJ161" s="9"/>
      <c r="BK161" s="9"/>
      <c r="BL161" s="9"/>
      <c r="BM161" s="9"/>
      <c r="BN161" s="9"/>
      <c r="BO161" s="9"/>
      <c r="BP161" s="9"/>
      <c r="BQ161" s="9"/>
      <c r="BR161" s="9"/>
      <c r="BS161" s="9"/>
      <c r="BT161" s="9"/>
      <c r="BU161" s="9"/>
      <c r="BV161" s="9"/>
      <c r="IP161" s="9"/>
      <c r="IQ161" s="9"/>
      <c r="IR161" s="9"/>
      <c r="IS161" s="9"/>
      <c r="IT161" s="9"/>
      <c r="IU161" s="9"/>
      <c r="IV161" s="9"/>
    </row>
    <row r="162" spans="1:256" s="10" customFormat="1" ht="38.25">
      <c r="A162" s="272"/>
      <c r="B162" s="96">
        <v>157</v>
      </c>
      <c r="C162" s="298">
        <v>534511</v>
      </c>
      <c r="D162" s="234">
        <v>44462</v>
      </c>
      <c r="E162" s="1">
        <v>56942</v>
      </c>
      <c r="F162" s="1">
        <v>159474</v>
      </c>
      <c r="G162" s="1">
        <v>32616</v>
      </c>
      <c r="H162" s="1">
        <v>310</v>
      </c>
      <c r="I162" s="1"/>
      <c r="J162" s="1">
        <v>2</v>
      </c>
      <c r="K162" s="1">
        <v>14</v>
      </c>
      <c r="L162" s="204" t="s">
        <v>440</v>
      </c>
      <c r="M162" s="204" t="s">
        <v>721</v>
      </c>
      <c r="N162" s="204" t="s">
        <v>916</v>
      </c>
      <c r="O162" s="204"/>
      <c r="P162" s="204" t="s">
        <v>675</v>
      </c>
      <c r="Q162" s="204" t="s">
        <v>675</v>
      </c>
      <c r="R162" s="204" t="s">
        <v>675</v>
      </c>
      <c r="S162" s="204" t="s">
        <v>52</v>
      </c>
      <c r="T162" s="1"/>
      <c r="U162" s="110">
        <v>1</v>
      </c>
      <c r="V162" s="1"/>
      <c r="W162" s="1"/>
      <c r="X162" s="204" t="s">
        <v>67</v>
      </c>
      <c r="Y162" s="1"/>
      <c r="Z162" s="2">
        <v>2</v>
      </c>
      <c r="AA162" s="1"/>
      <c r="AB162" s="2">
        <f>+Z162+1</f>
        <v>3</v>
      </c>
      <c r="AC162" s="1"/>
      <c r="AD162" s="112">
        <f t="shared" si="2"/>
        <v>4</v>
      </c>
      <c r="AE162" s="140"/>
      <c r="AF162" s="141"/>
      <c r="AG162" s="142"/>
      <c r="AH162" s="143"/>
      <c r="AI162" s="144">
        <f>60+20.2/2</f>
        <v>70.099999999999994</v>
      </c>
      <c r="AJ162" s="145"/>
      <c r="AK162" s="146">
        <v>1000</v>
      </c>
      <c r="AL162" s="127">
        <f>+(60+20.2)/AK162</f>
        <v>8.0200000000000007E-2</v>
      </c>
      <c r="AM162" s="127">
        <f>+AI162/AK162</f>
        <v>7.0099999999999996E-2</v>
      </c>
      <c r="AN162" s="161">
        <f>+(9+24)/(3+6)</f>
        <v>3.6666666666666665</v>
      </c>
      <c r="AO162" s="175">
        <f>+(2*21938+8*17546+13161*10+5*8775)/25*AI162</f>
        <v>1008680.1159999999</v>
      </c>
      <c r="AP162" s="176">
        <v>3392.08</v>
      </c>
      <c r="AQ162" s="196" t="s">
        <v>73</v>
      </c>
      <c r="AR162" s="5" t="s">
        <v>917</v>
      </c>
      <c r="AS162" s="216">
        <v>44470</v>
      </c>
      <c r="AT162" s="217"/>
      <c r="AU162" s="28" t="s">
        <v>918</v>
      </c>
      <c r="AV162" s="30"/>
      <c r="AW162" s="30"/>
      <c r="AX162" s="30"/>
      <c r="AY162" s="30"/>
      <c r="AZ162" s="30"/>
      <c r="BA162" s="30"/>
      <c r="BB162" s="30"/>
      <c r="BC162" s="30"/>
      <c r="BD162" s="30"/>
      <c r="BE162" s="9"/>
      <c r="BF162" s="9"/>
      <c r="BG162" s="9"/>
      <c r="BH162" s="9"/>
      <c r="BI162" s="9"/>
      <c r="BJ162" s="9"/>
      <c r="BK162" s="9"/>
      <c r="BL162" s="9"/>
      <c r="BM162" s="9"/>
      <c r="BN162" s="9"/>
      <c r="BO162" s="9"/>
      <c r="BP162" s="9"/>
      <c r="BQ162" s="9"/>
      <c r="BR162" s="9"/>
      <c r="BS162" s="9"/>
      <c r="BT162" s="9"/>
      <c r="IN162" s="9"/>
      <c r="IO162" s="9"/>
      <c r="IP162" s="9"/>
      <c r="IQ162" s="9"/>
      <c r="IR162" s="9"/>
      <c r="IS162" s="9"/>
      <c r="IT162" s="9"/>
      <c r="IU162" s="9"/>
      <c r="IV162" s="9"/>
    </row>
    <row r="163" spans="1:256" s="10" customFormat="1" ht="102">
      <c r="A163" s="274"/>
      <c r="B163" s="90">
        <v>153</v>
      </c>
      <c r="C163" s="193">
        <v>524169</v>
      </c>
      <c r="D163" s="227">
        <v>44099</v>
      </c>
      <c r="E163" s="1">
        <v>39314</v>
      </c>
      <c r="F163" s="1">
        <v>138081</v>
      </c>
      <c r="G163" s="1">
        <v>31558</v>
      </c>
      <c r="H163" s="1">
        <v>355</v>
      </c>
      <c r="I163" s="1"/>
      <c r="J163" s="1">
        <v>2</v>
      </c>
      <c r="K163" s="1">
        <v>1</v>
      </c>
      <c r="L163" s="204" t="s">
        <v>919</v>
      </c>
      <c r="M163" s="204" t="s">
        <v>920</v>
      </c>
      <c r="N163" s="204" t="s">
        <v>921</v>
      </c>
      <c r="O163" s="204"/>
      <c r="P163" s="204" t="s">
        <v>922</v>
      </c>
      <c r="Q163" s="204" t="s">
        <v>922</v>
      </c>
      <c r="R163" s="204" t="s">
        <v>922</v>
      </c>
      <c r="S163" s="204" t="s">
        <v>923</v>
      </c>
      <c r="T163" s="1"/>
      <c r="U163" s="2">
        <v>3</v>
      </c>
      <c r="V163" s="1"/>
      <c r="W163" s="1"/>
      <c r="X163" s="204" t="s">
        <v>44</v>
      </c>
      <c r="Y163" s="1"/>
      <c r="Z163" s="2">
        <f>2+2</f>
        <v>4</v>
      </c>
      <c r="AA163" s="3"/>
      <c r="AB163" s="2">
        <f>2+1+2</f>
        <v>5</v>
      </c>
      <c r="AC163" s="3"/>
      <c r="AD163" s="2">
        <f t="shared" si="2"/>
        <v>8</v>
      </c>
      <c r="AE163" s="115"/>
      <c r="AF163" s="115"/>
      <c r="AG163" s="115"/>
      <c r="AH163" s="115"/>
      <c r="AI163" s="116">
        <f>105.32+17.38/2+37.12</f>
        <v>151.13</v>
      </c>
      <c r="AJ163" s="117"/>
      <c r="AK163" s="118">
        <v>450</v>
      </c>
      <c r="AL163" s="118">
        <f>+(106.32+17.38)/AK163</f>
        <v>0.27488888888888885</v>
      </c>
      <c r="AM163" s="118">
        <f>+AI163/AK163</f>
        <v>0.33584444444444445</v>
      </c>
      <c r="AN163" s="157"/>
      <c r="AO163" s="168">
        <f>+(3*21938+10*17546+13161*8+8775)/22*AI163</f>
        <v>2441003.6731818179</v>
      </c>
      <c r="AP163" s="169">
        <v>41434.559999999998</v>
      </c>
      <c r="AQ163" s="193" t="s">
        <v>630</v>
      </c>
      <c r="AR163" s="5" t="s">
        <v>924</v>
      </c>
      <c r="AS163" s="211">
        <v>44470</v>
      </c>
      <c r="AT163" s="211"/>
      <c r="AU163" s="7" t="s">
        <v>925</v>
      </c>
      <c r="AV163" s="8"/>
      <c r="AW163" s="8"/>
      <c r="AX163" s="8"/>
      <c r="AY163" s="8"/>
      <c r="AZ163" s="8"/>
      <c r="BA163" s="8"/>
      <c r="BB163" s="8"/>
      <c r="BC163" s="8"/>
      <c r="BD163" s="8"/>
      <c r="BE163" s="8"/>
      <c r="BF163" s="8"/>
      <c r="BG163" s="9"/>
      <c r="BH163" s="9"/>
      <c r="BI163" s="9"/>
      <c r="BJ163" s="9"/>
      <c r="BK163" s="9"/>
      <c r="BL163" s="9"/>
      <c r="BM163" s="9"/>
      <c r="BN163" s="9"/>
      <c r="BO163" s="9"/>
      <c r="BP163" s="9"/>
      <c r="BQ163" s="9"/>
      <c r="BR163" s="9"/>
      <c r="BS163" s="9"/>
      <c r="BT163" s="9"/>
      <c r="BU163" s="9"/>
      <c r="BV163" s="9"/>
      <c r="IP163" s="9"/>
      <c r="IQ163" s="9"/>
      <c r="IR163" s="9"/>
      <c r="IS163" s="9"/>
      <c r="IT163" s="9"/>
      <c r="IU163" s="9"/>
      <c r="IV163" s="9"/>
    </row>
    <row r="164" spans="1:256" s="10" customFormat="1" ht="38.25">
      <c r="A164" s="274"/>
      <c r="B164" s="90">
        <v>166</v>
      </c>
      <c r="C164" s="193">
        <v>534043</v>
      </c>
      <c r="D164" s="227">
        <v>44447</v>
      </c>
      <c r="E164" s="1">
        <v>42225</v>
      </c>
      <c r="F164" s="1">
        <v>140492</v>
      </c>
      <c r="G164" s="1">
        <v>8658</v>
      </c>
      <c r="H164" s="1"/>
      <c r="I164" s="1"/>
      <c r="J164" s="1">
        <v>488</v>
      </c>
      <c r="K164" s="1">
        <v>25</v>
      </c>
      <c r="L164" s="204" t="s">
        <v>215</v>
      </c>
      <c r="M164" s="204" t="s">
        <v>926</v>
      </c>
      <c r="N164" s="204" t="s">
        <v>927</v>
      </c>
      <c r="O164" s="204"/>
      <c r="P164" s="204" t="s">
        <v>928</v>
      </c>
      <c r="Q164" s="204"/>
      <c r="R164" s="204"/>
      <c r="S164" s="204"/>
      <c r="T164" s="1">
        <v>1</v>
      </c>
      <c r="U164" s="2"/>
      <c r="V164" s="1"/>
      <c r="W164" s="1"/>
      <c r="X164" s="204" t="s">
        <v>67</v>
      </c>
      <c r="Y164" s="1">
        <v>2</v>
      </c>
      <c r="Z164" s="2"/>
      <c r="AA164" s="3">
        <f>+Y164+1</f>
        <v>3</v>
      </c>
      <c r="AB164" s="2"/>
      <c r="AC164" s="3">
        <f>+Y164*2</f>
        <v>4</v>
      </c>
      <c r="AD164" s="2"/>
      <c r="AE164" s="115"/>
      <c r="AF164" s="115"/>
      <c r="AG164" s="115">
        <f>66.45+18.81/2</f>
        <v>75.855000000000004</v>
      </c>
      <c r="AH164" s="115"/>
      <c r="AI164" s="116"/>
      <c r="AJ164" s="117"/>
      <c r="AK164" s="118">
        <v>248.64</v>
      </c>
      <c r="AL164" s="118">
        <f>+(66.45+18.81)/AK164</f>
        <v>0.34290540540540543</v>
      </c>
      <c r="AM164" s="118">
        <f>+AG164/AK164</f>
        <v>0.30507963320463322</v>
      </c>
      <c r="AN164" s="157">
        <f>+(3+32)/(1+8)</f>
        <v>3.8888888888888888</v>
      </c>
      <c r="AO164" s="168">
        <f>+(2*21938+2*17546+5*13161+10*8775)/19*AG164</f>
        <v>928317.48236842104</v>
      </c>
      <c r="AP164" s="169">
        <v>14968.48</v>
      </c>
      <c r="AQ164" s="193" t="s">
        <v>107</v>
      </c>
      <c r="AR164" s="5" t="s">
        <v>929</v>
      </c>
      <c r="AS164" s="211">
        <v>44489</v>
      </c>
      <c r="AT164" s="211"/>
      <c r="AU164" s="5" t="s">
        <v>930</v>
      </c>
      <c r="AV164" s="8"/>
      <c r="AW164" s="8"/>
      <c r="AX164" s="8"/>
      <c r="AY164" s="8"/>
      <c r="AZ164" s="8"/>
      <c r="BA164" s="8"/>
      <c r="BB164" s="8"/>
      <c r="BC164" s="8"/>
      <c r="BD164" s="8"/>
      <c r="BE164" s="8"/>
      <c r="BF164" s="8"/>
      <c r="BG164" s="9"/>
      <c r="BH164" s="9"/>
      <c r="BI164" s="9"/>
      <c r="BJ164" s="9"/>
      <c r="BK164" s="9"/>
      <c r="BL164" s="9"/>
      <c r="BM164" s="9"/>
      <c r="BN164" s="9"/>
      <c r="BO164" s="9"/>
      <c r="BP164" s="9"/>
      <c r="BQ164" s="9"/>
      <c r="BR164" s="9"/>
      <c r="BS164" s="9"/>
      <c r="BT164" s="9"/>
      <c r="BU164" s="9"/>
      <c r="BV164" s="9"/>
      <c r="IP164" s="9"/>
      <c r="IQ164" s="9"/>
      <c r="IR164" s="9"/>
      <c r="IS164" s="9"/>
      <c r="IT164" s="9"/>
      <c r="IU164" s="9"/>
      <c r="IV164" s="9"/>
    </row>
    <row r="165" spans="1:256" s="10" customFormat="1" ht="63.75">
      <c r="A165" s="274"/>
      <c r="B165" s="284">
        <v>152</v>
      </c>
      <c r="C165" s="197">
        <v>533960</v>
      </c>
      <c r="D165" s="238">
        <v>44445</v>
      </c>
      <c r="E165" s="1">
        <v>52404</v>
      </c>
      <c r="F165" s="1">
        <v>139972</v>
      </c>
      <c r="G165" s="1">
        <v>31871</v>
      </c>
      <c r="H165" s="32">
        <v>310</v>
      </c>
      <c r="I165" s="1"/>
      <c r="J165" s="32">
        <v>3</v>
      </c>
      <c r="K165" s="1">
        <v>11</v>
      </c>
      <c r="L165" s="207" t="s">
        <v>931</v>
      </c>
      <c r="M165" s="207" t="s">
        <v>932</v>
      </c>
      <c r="N165" s="207" t="s">
        <v>933</v>
      </c>
      <c r="O165" s="204"/>
      <c r="P165" s="207" t="s">
        <v>241</v>
      </c>
      <c r="Q165" s="204"/>
      <c r="R165" s="204"/>
      <c r="S165" s="204"/>
      <c r="T165" s="1">
        <v>1</v>
      </c>
      <c r="U165" s="2"/>
      <c r="V165" s="1"/>
      <c r="W165" s="1"/>
      <c r="X165" s="204" t="s">
        <v>934</v>
      </c>
      <c r="Y165" s="1">
        <v>2</v>
      </c>
      <c r="Z165" s="2"/>
      <c r="AA165" s="3">
        <f>+Y165+1</f>
        <v>3</v>
      </c>
      <c r="AB165" s="2"/>
      <c r="AC165" s="3">
        <f>+Y165*2</f>
        <v>4</v>
      </c>
      <c r="AD165" s="2"/>
      <c r="AE165" s="115"/>
      <c r="AF165" s="115"/>
      <c r="AG165" s="115">
        <f>206.6+54.6/2+16.6</f>
        <v>250.5</v>
      </c>
      <c r="AH165" s="115"/>
      <c r="AI165" s="116"/>
      <c r="AJ165" s="117"/>
      <c r="AK165" s="118">
        <v>1315.5</v>
      </c>
      <c r="AL165" s="118">
        <f>+(206.6+54.6)/AK165</f>
        <v>0.19855568225009501</v>
      </c>
      <c r="AM165" s="118">
        <f>+AG165/AK165</f>
        <v>0.19042189281641961</v>
      </c>
      <c r="AN165" s="157">
        <f>+(1+6+18)/(1+3+6)</f>
        <v>2.5</v>
      </c>
      <c r="AO165" s="168">
        <f>+(7*21938+7*17546+5*13161+2*8775)/21*AG165</f>
        <v>4291220.0714285709</v>
      </c>
      <c r="AP165" s="266">
        <v>111567.66</v>
      </c>
      <c r="AQ165" s="197" t="s">
        <v>36</v>
      </c>
      <c r="AR165" s="5" t="s">
        <v>935</v>
      </c>
      <c r="AS165" s="218">
        <v>44470</v>
      </c>
      <c r="AT165" s="211"/>
      <c r="AU165" s="31" t="s">
        <v>936</v>
      </c>
      <c r="AV165" s="8"/>
      <c r="AW165" s="8"/>
      <c r="AX165" s="8"/>
      <c r="AY165" s="8"/>
      <c r="AZ165" s="8"/>
      <c r="BA165" s="8"/>
      <c r="BB165" s="8"/>
      <c r="BC165" s="8"/>
      <c r="BD165" s="8"/>
      <c r="BE165" s="8"/>
      <c r="BF165" s="8"/>
      <c r="BG165" s="9"/>
      <c r="BH165" s="9"/>
      <c r="BI165" s="9"/>
      <c r="BJ165" s="9"/>
      <c r="BK165" s="9"/>
      <c r="BL165" s="9"/>
      <c r="BM165" s="9"/>
      <c r="BN165" s="9"/>
      <c r="BO165" s="9"/>
      <c r="BP165" s="9"/>
      <c r="BQ165" s="9"/>
      <c r="BR165" s="9"/>
      <c r="BS165" s="9"/>
      <c r="BT165" s="9"/>
      <c r="BU165" s="9"/>
      <c r="BV165" s="9"/>
      <c r="IP165" s="9"/>
      <c r="IQ165" s="9"/>
      <c r="IR165" s="9"/>
      <c r="IS165" s="9"/>
      <c r="IT165" s="9"/>
      <c r="IU165" s="9"/>
      <c r="IV165" s="9"/>
    </row>
    <row r="166" spans="1:256" s="10" customFormat="1" ht="12.75">
      <c r="A166" s="274"/>
      <c r="B166" s="285"/>
      <c r="C166" s="286"/>
      <c r="D166" s="263"/>
      <c r="E166" s="1">
        <v>52405</v>
      </c>
      <c r="F166" s="1">
        <v>162068</v>
      </c>
      <c r="G166" s="1">
        <v>33124</v>
      </c>
      <c r="H166" s="264"/>
      <c r="I166" s="1"/>
      <c r="J166" s="264"/>
      <c r="K166" s="1">
        <v>37</v>
      </c>
      <c r="L166" s="265"/>
      <c r="M166" s="265"/>
      <c r="N166" s="265"/>
      <c r="O166" s="204"/>
      <c r="P166" s="265"/>
      <c r="Q166" s="204"/>
      <c r="R166" s="204"/>
      <c r="S166" s="204"/>
      <c r="T166" s="1"/>
      <c r="U166" s="2"/>
      <c r="V166" s="1"/>
      <c r="W166" s="1"/>
      <c r="X166" s="204"/>
      <c r="Y166" s="1"/>
      <c r="Z166" s="2"/>
      <c r="AA166" s="3"/>
      <c r="AB166" s="2"/>
      <c r="AC166" s="3"/>
      <c r="AD166" s="2"/>
      <c r="AE166" s="115"/>
      <c r="AF166" s="115"/>
      <c r="AG166" s="115"/>
      <c r="AH166" s="115"/>
      <c r="AI166" s="116"/>
      <c r="AJ166" s="117"/>
      <c r="AK166" s="118">
        <v>453.8</v>
      </c>
      <c r="AL166" s="118"/>
      <c r="AM166" s="118"/>
      <c r="AN166" s="157"/>
      <c r="AO166" s="168"/>
      <c r="AP166" s="267"/>
      <c r="AQ166" s="286"/>
      <c r="AR166" s="5"/>
      <c r="AS166" s="287"/>
      <c r="AT166" s="211"/>
      <c r="AU166" s="269"/>
      <c r="AV166" s="8"/>
      <c r="AW166" s="8"/>
      <c r="AX166" s="8"/>
      <c r="AY166" s="8"/>
      <c r="AZ166" s="8"/>
      <c r="BA166" s="8"/>
      <c r="BB166" s="8"/>
      <c r="BC166" s="8"/>
      <c r="BD166" s="8"/>
      <c r="BE166" s="8"/>
      <c r="BF166" s="8"/>
      <c r="BG166" s="9"/>
      <c r="BH166" s="9"/>
      <c r="BI166" s="9"/>
      <c r="BJ166" s="9"/>
      <c r="BK166" s="9"/>
      <c r="BL166" s="9"/>
      <c r="BM166" s="9"/>
      <c r="BN166" s="9"/>
      <c r="BO166" s="9"/>
      <c r="BP166" s="9"/>
      <c r="BQ166" s="9"/>
      <c r="BR166" s="9"/>
      <c r="BS166" s="9"/>
      <c r="BT166" s="9"/>
      <c r="BU166" s="9"/>
      <c r="BV166" s="9"/>
      <c r="IP166" s="9"/>
      <c r="IQ166" s="9"/>
      <c r="IR166" s="9"/>
      <c r="IS166" s="9"/>
      <c r="IT166" s="9"/>
      <c r="IU166" s="9"/>
      <c r="IV166" s="9"/>
    </row>
    <row r="167" spans="1:256" s="10" customFormat="1" ht="38.25">
      <c r="A167" s="274"/>
      <c r="B167" s="288"/>
      <c r="C167" s="195"/>
      <c r="D167" s="231"/>
      <c r="E167" s="1">
        <v>52406</v>
      </c>
      <c r="F167" s="1">
        <v>162069</v>
      </c>
      <c r="G167" s="1">
        <v>33125</v>
      </c>
      <c r="H167" s="12"/>
      <c r="I167" s="1"/>
      <c r="J167" s="12"/>
      <c r="K167" s="1">
        <v>38</v>
      </c>
      <c r="L167" s="206"/>
      <c r="M167" s="206"/>
      <c r="N167" s="206"/>
      <c r="O167" s="204"/>
      <c r="P167" s="206"/>
      <c r="Q167" s="204"/>
      <c r="R167" s="204"/>
      <c r="S167" s="204"/>
      <c r="T167" s="1">
        <v>1</v>
      </c>
      <c r="U167" s="2"/>
      <c r="V167" s="1"/>
      <c r="W167" s="1"/>
      <c r="X167" s="204" t="s">
        <v>162</v>
      </c>
      <c r="Y167" s="1"/>
      <c r="Z167" s="2"/>
      <c r="AA167" s="3"/>
      <c r="AB167" s="2"/>
      <c r="AC167" s="3"/>
      <c r="AD167" s="2"/>
      <c r="AE167" s="115"/>
      <c r="AF167" s="115"/>
      <c r="AG167" s="115"/>
      <c r="AH167" s="115">
        <v>180</v>
      </c>
      <c r="AI167" s="116"/>
      <c r="AJ167" s="117"/>
      <c r="AK167" s="118">
        <v>454.6</v>
      </c>
      <c r="AL167" s="118">
        <f>+AH167/AK167</f>
        <v>0.39595248570171576</v>
      </c>
      <c r="AM167" s="118">
        <f>+AH167/AK167</f>
        <v>0.39595248570171576</v>
      </c>
      <c r="AN167" s="157">
        <f>+(18+4)/(6+1)</f>
        <v>3.1428571428571428</v>
      </c>
      <c r="AO167" s="168"/>
      <c r="AP167" s="268"/>
      <c r="AQ167" s="195"/>
      <c r="AR167" s="5" t="s">
        <v>937</v>
      </c>
      <c r="AS167" s="289"/>
      <c r="AT167" s="211"/>
      <c r="AU167" s="11"/>
      <c r="AV167" s="8"/>
      <c r="AW167" s="8"/>
      <c r="AX167" s="8"/>
      <c r="AY167" s="8"/>
      <c r="AZ167" s="8"/>
      <c r="BA167" s="8"/>
      <c r="BB167" s="8"/>
      <c r="BC167" s="8"/>
      <c r="BD167" s="8"/>
      <c r="BE167" s="8"/>
      <c r="BF167" s="8"/>
      <c r="BG167" s="9"/>
      <c r="BH167" s="9"/>
      <c r="BI167" s="9"/>
      <c r="BJ167" s="9"/>
      <c r="BK167" s="9"/>
      <c r="BL167" s="9"/>
      <c r="BM167" s="9"/>
      <c r="BN167" s="9"/>
      <c r="BO167" s="9"/>
      <c r="BP167" s="9"/>
      <c r="BQ167" s="9"/>
      <c r="BR167" s="9"/>
      <c r="BS167" s="9"/>
      <c r="BT167" s="9"/>
      <c r="BU167" s="9"/>
      <c r="BV167" s="9"/>
      <c r="IP167" s="9"/>
      <c r="IQ167" s="9"/>
      <c r="IR167" s="9"/>
      <c r="IS167" s="9"/>
      <c r="IT167" s="9"/>
      <c r="IU167" s="9"/>
      <c r="IV167" s="9"/>
    </row>
    <row r="168" spans="1:256" s="10" customFormat="1" ht="63.75">
      <c r="A168" s="274"/>
      <c r="B168" s="90">
        <v>155</v>
      </c>
      <c r="C168" s="193">
        <v>529880</v>
      </c>
      <c r="D168" s="227">
        <v>44274</v>
      </c>
      <c r="E168" s="1">
        <v>-35861</v>
      </c>
      <c r="F168" s="1">
        <v>135372</v>
      </c>
      <c r="G168" s="1">
        <v>7488</v>
      </c>
      <c r="H168" s="1"/>
      <c r="I168" s="1"/>
      <c r="J168" s="1">
        <v>713</v>
      </c>
      <c r="K168" s="1">
        <v>7</v>
      </c>
      <c r="L168" s="204" t="s">
        <v>130</v>
      </c>
      <c r="M168" s="204" t="s">
        <v>938</v>
      </c>
      <c r="N168" s="204" t="s">
        <v>939</v>
      </c>
      <c r="O168" s="204"/>
      <c r="P168" s="204" t="s">
        <v>940</v>
      </c>
      <c r="Q168" s="204" t="s">
        <v>940</v>
      </c>
      <c r="R168" s="204" t="s">
        <v>940</v>
      </c>
      <c r="S168" s="204" t="s">
        <v>340</v>
      </c>
      <c r="T168" s="1"/>
      <c r="U168" s="2"/>
      <c r="V168" s="1">
        <v>1</v>
      </c>
      <c r="W168" s="1"/>
      <c r="X168" s="204" t="s">
        <v>67</v>
      </c>
      <c r="Y168" s="1">
        <v>2</v>
      </c>
      <c r="Z168" s="2">
        <v>2</v>
      </c>
      <c r="AA168" s="3">
        <f>+Y168+1</f>
        <v>3</v>
      </c>
      <c r="AB168" s="2">
        <f>+Z168</f>
        <v>2</v>
      </c>
      <c r="AC168" s="3">
        <f>+Y168*2</f>
        <v>4</v>
      </c>
      <c r="AD168" s="2">
        <f>+Z168*2</f>
        <v>4</v>
      </c>
      <c r="AE168" s="115">
        <v>59.1</v>
      </c>
      <c r="AF168" s="115"/>
      <c r="AG168" s="115"/>
      <c r="AH168" s="115"/>
      <c r="AI168" s="116">
        <f>50.96+50.96</f>
        <v>101.92</v>
      </c>
      <c r="AJ168" s="117"/>
      <c r="AK168" s="118">
        <v>174.1</v>
      </c>
      <c r="AL168" s="118">
        <f>+(AE168+50.96)/AK168</f>
        <v>0.632165422171166</v>
      </c>
      <c r="AM168" s="118">
        <f>+(AE168+AI168)/AK168</f>
        <v>0.92487076392877665</v>
      </c>
      <c r="AN168" s="157">
        <f>+(2+12+8+5)/(1+4+2+1)</f>
        <v>3.375</v>
      </c>
      <c r="AO168" s="168">
        <f>+(21938+9*17546+13161*10+8775)/21*AI168</f>
        <v>1554216.9066666667</v>
      </c>
      <c r="AP168" s="169">
        <v>10344.92</v>
      </c>
      <c r="AQ168" s="193" t="s">
        <v>36</v>
      </c>
      <c r="AR168" s="5" t="s">
        <v>941</v>
      </c>
      <c r="AS168" s="211">
        <v>44470</v>
      </c>
      <c r="AT168" s="211"/>
      <c r="AU168" s="5" t="s">
        <v>942</v>
      </c>
      <c r="AV168" s="8"/>
      <c r="AW168" s="8"/>
      <c r="AX168" s="8"/>
      <c r="AY168" s="8"/>
      <c r="AZ168" s="8"/>
      <c r="BA168" s="8"/>
      <c r="BB168" s="8"/>
      <c r="BC168" s="8"/>
      <c r="BD168" s="8"/>
      <c r="BE168" s="8"/>
      <c r="BF168" s="8"/>
      <c r="BG168" s="9"/>
      <c r="BH168" s="9"/>
      <c r="BI168" s="9"/>
      <c r="BJ168" s="9"/>
      <c r="BK168" s="9"/>
      <c r="BL168" s="9"/>
      <c r="BM168" s="9"/>
      <c r="BN168" s="9"/>
      <c r="BO168" s="9"/>
      <c r="BP168" s="9"/>
      <c r="BQ168" s="9"/>
      <c r="BR168" s="9"/>
      <c r="BS168" s="9"/>
      <c r="BT168" s="9"/>
      <c r="BU168" s="9"/>
      <c r="BV168" s="9"/>
      <c r="IP168" s="9"/>
      <c r="IQ168" s="9"/>
      <c r="IR168" s="9"/>
      <c r="IS168" s="9"/>
      <c r="IT168" s="9"/>
      <c r="IU168" s="9"/>
      <c r="IV168" s="9"/>
    </row>
    <row r="169" spans="1:256" s="10" customFormat="1" ht="63.75">
      <c r="A169" s="274"/>
      <c r="B169" s="90">
        <v>162</v>
      </c>
      <c r="C169" s="193">
        <v>533880</v>
      </c>
      <c r="D169" s="227">
        <v>44441</v>
      </c>
      <c r="E169" s="1">
        <v>58536</v>
      </c>
      <c r="F169" s="1">
        <v>166838</v>
      </c>
      <c r="G169" s="1">
        <v>33807</v>
      </c>
      <c r="H169" s="1">
        <v>3</v>
      </c>
      <c r="I169" s="1"/>
      <c r="J169" s="1">
        <v>2</v>
      </c>
      <c r="K169" s="1">
        <v>24</v>
      </c>
      <c r="L169" s="204" t="s">
        <v>943</v>
      </c>
      <c r="M169" s="204" t="s">
        <v>944</v>
      </c>
      <c r="N169" s="204" t="s">
        <v>945</v>
      </c>
      <c r="O169" s="204"/>
      <c r="P169" s="204" t="s">
        <v>388</v>
      </c>
      <c r="Q169" s="204" t="s">
        <v>388</v>
      </c>
      <c r="R169" s="204" t="s">
        <v>388</v>
      </c>
      <c r="S169" s="204" t="s">
        <v>945</v>
      </c>
      <c r="T169" s="1"/>
      <c r="U169" s="2">
        <v>1</v>
      </c>
      <c r="V169" s="1"/>
      <c r="W169" s="1"/>
      <c r="X169" s="204" t="s">
        <v>67</v>
      </c>
      <c r="Y169" s="1"/>
      <c r="Z169" s="2">
        <v>4</v>
      </c>
      <c r="AA169" s="3"/>
      <c r="AB169" s="2">
        <f>+Z169+1</f>
        <v>5</v>
      </c>
      <c r="AC169" s="3"/>
      <c r="AD169" s="2">
        <f>+Z169*2</f>
        <v>8</v>
      </c>
      <c r="AE169" s="115"/>
      <c r="AF169" s="115"/>
      <c r="AG169" s="115"/>
      <c r="AH169" s="115"/>
      <c r="AI169" s="116">
        <f>169.77+80.57/2</f>
        <v>210.05500000000001</v>
      </c>
      <c r="AJ169" s="117"/>
      <c r="AK169" s="118">
        <v>808.9</v>
      </c>
      <c r="AL169" s="118">
        <f>+(119.39+36.53+40.8)/AK169</f>
        <v>0.24319446161453831</v>
      </c>
      <c r="AM169" s="118">
        <f>+AI169/AK169</f>
        <v>0.25967981209049329</v>
      </c>
      <c r="AN169" s="157"/>
      <c r="AO169" s="169">
        <f>+(13*21938+5*17546+4*13161)/22*AI169</f>
        <v>4063303.92</v>
      </c>
      <c r="AP169" s="169">
        <v>14402.58</v>
      </c>
      <c r="AQ169" s="193" t="s">
        <v>36</v>
      </c>
      <c r="AR169" s="5" t="s">
        <v>946</v>
      </c>
      <c r="AS169" s="211">
        <v>44482</v>
      </c>
      <c r="AT169" s="211"/>
      <c r="AU169" s="48" t="s">
        <v>947</v>
      </c>
      <c r="AV169" s="8"/>
      <c r="AW169" s="8"/>
      <c r="AX169" s="8"/>
      <c r="AY169" s="8"/>
      <c r="AZ169" s="8"/>
      <c r="BA169" s="8"/>
      <c r="BB169" s="8"/>
      <c r="BC169" s="8"/>
      <c r="BD169" s="8"/>
      <c r="BE169" s="8"/>
      <c r="BF169" s="8"/>
      <c r="BG169" s="9"/>
      <c r="BH169" s="9"/>
      <c r="BI169" s="9"/>
      <c r="BJ169" s="9"/>
      <c r="BK169" s="9"/>
      <c r="BL169" s="9"/>
      <c r="BM169" s="9"/>
      <c r="BN169" s="9"/>
      <c r="BO169" s="9"/>
      <c r="BP169" s="9"/>
      <c r="BQ169" s="9"/>
      <c r="BR169" s="9"/>
      <c r="BS169" s="9"/>
      <c r="BT169" s="9"/>
      <c r="BU169" s="9"/>
      <c r="BV169" s="9"/>
      <c r="IP169" s="9"/>
      <c r="IQ169" s="9"/>
      <c r="IR169" s="9"/>
      <c r="IS169" s="9"/>
      <c r="IT169" s="9"/>
      <c r="IU169" s="9"/>
      <c r="IV169" s="9"/>
    </row>
    <row r="170" spans="1:256" s="10" customFormat="1" ht="51">
      <c r="A170" s="274"/>
      <c r="B170" s="90">
        <v>175</v>
      </c>
      <c r="C170" s="193">
        <v>534512</v>
      </c>
      <c r="D170" s="227">
        <v>44462</v>
      </c>
      <c r="E170" s="1">
        <v>56162</v>
      </c>
      <c r="F170" s="1">
        <v>164885</v>
      </c>
      <c r="G170" s="1">
        <v>33544</v>
      </c>
      <c r="H170" s="1">
        <v>310</v>
      </c>
      <c r="I170" s="1"/>
      <c r="J170" s="1">
        <v>2</v>
      </c>
      <c r="K170" s="1">
        <v>30</v>
      </c>
      <c r="L170" s="204" t="s">
        <v>440</v>
      </c>
      <c r="M170" s="204" t="s">
        <v>721</v>
      </c>
      <c r="N170" s="204" t="s">
        <v>948</v>
      </c>
      <c r="O170" s="204"/>
      <c r="P170" s="204" t="s">
        <v>949</v>
      </c>
      <c r="Q170" s="204"/>
      <c r="R170" s="204"/>
      <c r="S170" s="204"/>
      <c r="T170" s="1">
        <v>1</v>
      </c>
      <c r="U170" s="2"/>
      <c r="V170" s="1"/>
      <c r="W170" s="1"/>
      <c r="X170" s="204" t="s">
        <v>950</v>
      </c>
      <c r="Y170" s="1">
        <v>2</v>
      </c>
      <c r="Z170" s="2"/>
      <c r="AA170" s="3">
        <f>+Y170+1</f>
        <v>3</v>
      </c>
      <c r="AB170" s="2"/>
      <c r="AC170" s="3">
        <f>+Y170*2</f>
        <v>4</v>
      </c>
      <c r="AD170" s="2"/>
      <c r="AE170" s="115"/>
      <c r="AF170" s="115"/>
      <c r="AG170" s="115">
        <f>48.96+24.4/2+34.24</f>
        <v>95.4</v>
      </c>
      <c r="AH170" s="115"/>
      <c r="AI170" s="116"/>
      <c r="AJ170" s="117"/>
      <c r="AK170" s="118">
        <v>1000</v>
      </c>
      <c r="AL170" s="115">
        <f>+(48.96+24.4+34.24)/AK170</f>
        <v>0.1076</v>
      </c>
      <c r="AM170" s="118">
        <f>+AG170/AK170</f>
        <v>9.5400000000000013E-2</v>
      </c>
      <c r="AN170" s="157">
        <f>+(3+20+5)/(1+7+1)</f>
        <v>3.1111111111111112</v>
      </c>
      <c r="AO170" s="168">
        <v>162949.20000000001</v>
      </c>
      <c r="AP170" s="169">
        <v>14086.67</v>
      </c>
      <c r="AQ170" s="193" t="s">
        <v>951</v>
      </c>
      <c r="AR170" s="5" t="s">
        <v>952</v>
      </c>
      <c r="AS170" s="211">
        <v>44503</v>
      </c>
      <c r="AT170" s="211"/>
      <c r="AU170" s="48">
        <v>44470</v>
      </c>
      <c r="AV170" s="8"/>
      <c r="AW170" s="8"/>
      <c r="AX170" s="8"/>
      <c r="AY170" s="8"/>
      <c r="AZ170" s="8"/>
      <c r="BA170" s="8"/>
      <c r="BB170" s="8"/>
      <c r="BC170" s="8"/>
      <c r="BD170" s="8"/>
      <c r="BE170" s="8"/>
      <c r="BF170" s="8"/>
      <c r="BG170" s="9"/>
      <c r="BH170" s="9"/>
      <c r="BI170" s="9"/>
      <c r="BJ170" s="9"/>
      <c r="BK170" s="9"/>
      <c r="BL170" s="9"/>
      <c r="BM170" s="9"/>
      <c r="BN170" s="9"/>
      <c r="BO170" s="9"/>
      <c r="BP170" s="9"/>
      <c r="BQ170" s="9"/>
      <c r="BR170" s="9"/>
      <c r="BS170" s="9"/>
      <c r="BT170" s="9"/>
      <c r="BU170" s="9"/>
      <c r="BV170" s="9"/>
      <c r="IP170" s="9"/>
      <c r="IQ170" s="9"/>
      <c r="IR170" s="9"/>
      <c r="IS170" s="9"/>
      <c r="IT170" s="9"/>
      <c r="IU170" s="9"/>
      <c r="IV170" s="9"/>
    </row>
    <row r="171" spans="1:256" s="10" customFormat="1" ht="38.25">
      <c r="A171" s="274"/>
      <c r="B171" s="90">
        <v>160</v>
      </c>
      <c r="C171" s="193">
        <v>533805</v>
      </c>
      <c r="D171" s="227">
        <v>44439</v>
      </c>
      <c r="E171" s="1">
        <v>59782</v>
      </c>
      <c r="F171" s="1">
        <v>167998</v>
      </c>
      <c r="G171" s="1">
        <v>33838</v>
      </c>
      <c r="H171" s="1">
        <v>327</v>
      </c>
      <c r="I171" s="1"/>
      <c r="J171" s="1">
        <v>5</v>
      </c>
      <c r="K171" s="1">
        <v>9</v>
      </c>
      <c r="L171" s="204" t="s">
        <v>39</v>
      </c>
      <c r="M171" s="204" t="s">
        <v>151</v>
      </c>
      <c r="N171" s="204" t="s">
        <v>953</v>
      </c>
      <c r="O171" s="204"/>
      <c r="P171" s="204" t="s">
        <v>346</v>
      </c>
      <c r="Q171" s="204" t="s">
        <v>346</v>
      </c>
      <c r="R171" s="204" t="s">
        <v>346</v>
      </c>
      <c r="S171" s="204" t="s">
        <v>954</v>
      </c>
      <c r="T171" s="1"/>
      <c r="U171" s="2">
        <v>1</v>
      </c>
      <c r="V171" s="1"/>
      <c r="W171" s="1"/>
      <c r="X171" s="204" t="s">
        <v>67</v>
      </c>
      <c r="Y171" s="1"/>
      <c r="Z171" s="2">
        <v>2</v>
      </c>
      <c r="AA171" s="3"/>
      <c r="AB171" s="2">
        <f>+Z171+1</f>
        <v>3</v>
      </c>
      <c r="AC171" s="3"/>
      <c r="AD171" s="2">
        <f>+Z171*2</f>
        <v>4</v>
      </c>
      <c r="AE171" s="115"/>
      <c r="AF171" s="115"/>
      <c r="AG171" s="115"/>
      <c r="AH171" s="115"/>
      <c r="AI171" s="116">
        <f>59.5+1/2</f>
        <v>60</v>
      </c>
      <c r="AJ171" s="117"/>
      <c r="AK171" s="118">
        <v>321</v>
      </c>
      <c r="AL171" s="118">
        <f>+(59.5+1)/AK171</f>
        <v>0.18847352024922118</v>
      </c>
      <c r="AM171" s="118">
        <f>+AI171/AK171</f>
        <v>0.18691588785046728</v>
      </c>
      <c r="AN171" s="157"/>
      <c r="AO171" s="168">
        <f>+(21983+17546*6+10*13161+8775*3)/20*AI171</f>
        <v>855582</v>
      </c>
      <c r="AP171" s="169">
        <v>6440.4</v>
      </c>
      <c r="AQ171" s="193" t="s">
        <v>36</v>
      </c>
      <c r="AR171" s="5" t="s">
        <v>955</v>
      </c>
      <c r="AS171" s="211">
        <v>44476</v>
      </c>
      <c r="AT171" s="211"/>
      <c r="AU171" s="48">
        <v>44447</v>
      </c>
      <c r="AV171" s="8"/>
      <c r="AW171" s="8"/>
      <c r="AX171" s="8"/>
      <c r="AY171" s="8"/>
      <c r="AZ171" s="8"/>
      <c r="BA171" s="8"/>
      <c r="BB171" s="8"/>
      <c r="BC171" s="8"/>
      <c r="BD171" s="8"/>
      <c r="BE171" s="8"/>
      <c r="BF171" s="8"/>
      <c r="BG171" s="9"/>
      <c r="BH171" s="9"/>
      <c r="BI171" s="9"/>
      <c r="BJ171" s="9"/>
      <c r="BK171" s="9"/>
      <c r="BL171" s="9"/>
      <c r="BM171" s="9"/>
      <c r="BN171" s="9"/>
      <c r="BO171" s="9"/>
      <c r="BP171" s="9"/>
      <c r="BQ171" s="9"/>
      <c r="BR171" s="9"/>
      <c r="BS171" s="9"/>
      <c r="BT171" s="9"/>
      <c r="BU171" s="9"/>
      <c r="BV171" s="9"/>
      <c r="IP171" s="9"/>
      <c r="IQ171" s="9"/>
      <c r="IR171" s="9"/>
      <c r="IS171" s="9"/>
      <c r="IT171" s="9"/>
      <c r="IU171" s="9"/>
      <c r="IV171" s="9"/>
    </row>
    <row r="172" spans="1:256" s="10" customFormat="1" ht="102">
      <c r="A172" s="274"/>
      <c r="B172" s="90">
        <v>165</v>
      </c>
      <c r="C172" s="193" t="s">
        <v>956</v>
      </c>
      <c r="D172" s="227">
        <v>44284</v>
      </c>
      <c r="E172" s="1">
        <v>58212</v>
      </c>
      <c r="F172" s="1">
        <v>166661</v>
      </c>
      <c r="G172" s="1">
        <v>33816</v>
      </c>
      <c r="H172" s="1">
        <v>331</v>
      </c>
      <c r="I172" s="1"/>
      <c r="J172" s="1"/>
      <c r="K172" s="1">
        <v>27</v>
      </c>
      <c r="L172" s="204" t="s">
        <v>137</v>
      </c>
      <c r="M172" s="204" t="s">
        <v>957</v>
      </c>
      <c r="N172" s="204" t="s">
        <v>958</v>
      </c>
      <c r="O172" s="204"/>
      <c r="P172" s="204" t="s">
        <v>959</v>
      </c>
      <c r="Q172" s="204"/>
      <c r="R172" s="204"/>
      <c r="S172" s="204"/>
      <c r="T172" s="1">
        <v>5</v>
      </c>
      <c r="U172" s="2"/>
      <c r="V172" s="1"/>
      <c r="W172" s="1"/>
      <c r="X172" s="204" t="s">
        <v>44</v>
      </c>
      <c r="Y172" s="1">
        <f>2+1+1+1+1</f>
        <v>6</v>
      </c>
      <c r="Z172" s="2"/>
      <c r="AA172" s="3">
        <f>+Y172+1+1+1+1+1</f>
        <v>11</v>
      </c>
      <c r="AB172" s="2"/>
      <c r="AC172" s="3">
        <f>+Y172*2</f>
        <v>12</v>
      </c>
      <c r="AD172" s="2"/>
      <c r="AE172" s="115"/>
      <c r="AF172" s="115"/>
      <c r="AG172" s="115">
        <f>156.4+28.4/2</f>
        <v>170.6</v>
      </c>
      <c r="AH172" s="115"/>
      <c r="AI172" s="116"/>
      <c r="AJ172" s="117"/>
      <c r="AK172" s="118">
        <v>800</v>
      </c>
      <c r="AL172" s="118">
        <f>+(156.4+28.4)/AK172</f>
        <v>0.23100000000000001</v>
      </c>
      <c r="AM172" s="118">
        <f>+AG172/AK172</f>
        <v>0.21325</v>
      </c>
      <c r="AN172" s="157"/>
      <c r="AO172" s="168">
        <f>860000+((2*21938+1*17546+4*13161+13*8775)/20*AG172)</f>
        <v>2806042.7299999995</v>
      </c>
      <c r="AP172" s="169">
        <v>76544.41</v>
      </c>
      <c r="AQ172" s="193" t="s">
        <v>36</v>
      </c>
      <c r="AR172" s="5" t="s">
        <v>960</v>
      </c>
      <c r="AS172" s="211">
        <v>44487</v>
      </c>
      <c r="AT172" s="211"/>
      <c r="AU172" s="48">
        <v>44454</v>
      </c>
      <c r="AV172" s="8"/>
      <c r="AW172" s="8"/>
      <c r="AX172" s="8"/>
      <c r="AY172" s="8"/>
      <c r="AZ172" s="8"/>
      <c r="BA172" s="8"/>
      <c r="BB172" s="8"/>
      <c r="BC172" s="8"/>
      <c r="BD172" s="8"/>
      <c r="BE172" s="8"/>
      <c r="BF172" s="8"/>
      <c r="BG172" s="9"/>
      <c r="BH172" s="9"/>
      <c r="BI172" s="9"/>
      <c r="BJ172" s="9"/>
      <c r="BK172" s="9"/>
      <c r="BL172" s="9"/>
      <c r="BM172" s="9"/>
      <c r="BN172" s="9"/>
      <c r="BO172" s="9"/>
      <c r="BP172" s="9"/>
      <c r="BQ172" s="9"/>
      <c r="BR172" s="9"/>
      <c r="BS172" s="9"/>
      <c r="BT172" s="9"/>
      <c r="BU172" s="9"/>
      <c r="BV172" s="9"/>
      <c r="IP172" s="9"/>
      <c r="IQ172" s="9"/>
      <c r="IR172" s="9"/>
      <c r="IS172" s="9"/>
      <c r="IT172" s="9"/>
      <c r="IU172" s="9"/>
      <c r="IV172" s="9"/>
    </row>
    <row r="173" spans="1:256" s="10" customFormat="1" ht="63.75">
      <c r="A173" s="274"/>
      <c r="B173" s="90">
        <v>172</v>
      </c>
      <c r="C173" s="193" t="s">
        <v>961</v>
      </c>
      <c r="D173" s="227">
        <v>44436</v>
      </c>
      <c r="E173" s="1">
        <v>25702</v>
      </c>
      <c r="F173" s="1">
        <v>60417</v>
      </c>
      <c r="G173" s="1">
        <v>31549</v>
      </c>
      <c r="H173" s="1">
        <v>204</v>
      </c>
      <c r="I173" s="1"/>
      <c r="J173" s="1"/>
      <c r="K173" s="1">
        <v>6</v>
      </c>
      <c r="L173" s="204"/>
      <c r="M173" s="204" t="s">
        <v>962</v>
      </c>
      <c r="N173" s="204" t="s">
        <v>963</v>
      </c>
      <c r="O173" s="204"/>
      <c r="P173" s="204" t="s">
        <v>413</v>
      </c>
      <c r="Q173" s="204"/>
      <c r="R173" s="204"/>
      <c r="S173" s="204"/>
      <c r="T173" s="1">
        <f>3+2+2</f>
        <v>7</v>
      </c>
      <c r="U173" s="2"/>
      <c r="V173" s="1"/>
      <c r="W173" s="1"/>
      <c r="X173" s="204" t="s">
        <v>964</v>
      </c>
      <c r="Y173" s="1">
        <f>1+1+1+1+1</f>
        <v>5</v>
      </c>
      <c r="Z173" s="2"/>
      <c r="AA173" s="3">
        <f>+Y173+1+1</f>
        <v>7</v>
      </c>
      <c r="AB173" s="2"/>
      <c r="AC173" s="3">
        <f>+Y173*2</f>
        <v>10</v>
      </c>
      <c r="AD173" s="2"/>
      <c r="AE173" s="115">
        <f>6.78*6.48+(239.97+16.35/2)-AF173</f>
        <v>254.27940000000001</v>
      </c>
      <c r="AF173" s="115">
        <f>6*6.3</f>
        <v>37.799999999999997</v>
      </c>
      <c r="AG173" s="115">
        <f>58.78+17.88/2</f>
        <v>67.72</v>
      </c>
      <c r="AH173" s="115">
        <f>191.8+11.05/2+13.16/2+11.36/2+406</f>
        <v>615.58500000000004</v>
      </c>
      <c r="AI173" s="116"/>
      <c r="AJ173" s="117"/>
      <c r="AK173" s="118">
        <v>35500</v>
      </c>
      <c r="AL173" s="118">
        <v>0.27</v>
      </c>
      <c r="AM173" s="118">
        <v>0.27</v>
      </c>
      <c r="AN173" s="157"/>
      <c r="AO173" s="168">
        <f>175000+((11*17546+6*13161+3*8775)/20*85.02)+406*13161+17546*209.58</f>
        <v>10463717.227</v>
      </c>
      <c r="AP173" s="169">
        <v>157223.94</v>
      </c>
      <c r="AQ173" s="193" t="s">
        <v>36</v>
      </c>
      <c r="AR173" s="5" t="s">
        <v>965</v>
      </c>
      <c r="AS173" s="211">
        <v>44498</v>
      </c>
      <c r="AT173" s="211"/>
      <c r="AU173" s="48">
        <v>44476</v>
      </c>
      <c r="AV173" s="8"/>
      <c r="AW173" s="8"/>
      <c r="AX173" s="8"/>
      <c r="AY173" s="8"/>
      <c r="AZ173" s="8"/>
      <c r="BA173" s="8"/>
      <c r="BB173" s="8"/>
      <c r="BC173" s="8"/>
      <c r="BD173" s="8"/>
      <c r="BE173" s="8"/>
      <c r="BF173" s="8"/>
      <c r="BG173" s="9"/>
      <c r="BH173" s="9"/>
      <c r="BI173" s="9"/>
      <c r="BJ173" s="9"/>
      <c r="BK173" s="9"/>
      <c r="BL173" s="9"/>
      <c r="BM173" s="9"/>
      <c r="BN173" s="9"/>
      <c r="BO173" s="9"/>
      <c r="BP173" s="9"/>
      <c r="BQ173" s="9"/>
      <c r="BR173" s="9"/>
      <c r="BS173" s="9"/>
      <c r="BT173" s="9"/>
      <c r="BU173" s="9"/>
      <c r="BV173" s="9"/>
      <c r="IP173" s="9"/>
      <c r="IQ173" s="9"/>
      <c r="IR173" s="9"/>
      <c r="IS173" s="9"/>
      <c r="IT173" s="9"/>
      <c r="IU173" s="9"/>
      <c r="IV173" s="9"/>
    </row>
    <row r="174" spans="1:256" s="10" customFormat="1" ht="89.25">
      <c r="A174" s="272"/>
      <c r="B174" s="97">
        <v>180</v>
      </c>
      <c r="C174" s="294" t="s">
        <v>966</v>
      </c>
      <c r="D174" s="244">
        <v>44250</v>
      </c>
      <c r="E174" s="1">
        <v>49236</v>
      </c>
      <c r="F174" s="1"/>
      <c r="G174" s="1">
        <v>32665</v>
      </c>
      <c r="H174" s="1"/>
      <c r="I174" s="1"/>
      <c r="J174" s="1"/>
      <c r="K174" s="1">
        <v>24</v>
      </c>
      <c r="L174" s="204" t="s">
        <v>293</v>
      </c>
      <c r="M174" s="204" t="s">
        <v>699</v>
      </c>
      <c r="N174" s="204" t="s">
        <v>967</v>
      </c>
      <c r="O174" s="204"/>
      <c r="P174" s="204" t="s">
        <v>460</v>
      </c>
      <c r="Q174" s="204" t="s">
        <v>460</v>
      </c>
      <c r="R174" s="204" t="s">
        <v>460</v>
      </c>
      <c r="S174" s="204" t="s">
        <v>968</v>
      </c>
      <c r="T174" s="1"/>
      <c r="U174" s="2"/>
      <c r="V174" s="1">
        <v>1</v>
      </c>
      <c r="W174" s="1"/>
      <c r="X174" s="204" t="s">
        <v>67</v>
      </c>
      <c r="Y174" s="1">
        <v>3</v>
      </c>
      <c r="Z174" s="2"/>
      <c r="AA174" s="3">
        <f>+Y174+1+1</f>
        <v>5</v>
      </c>
      <c r="AB174" s="2"/>
      <c r="AC174" s="3">
        <f>+Y174*2</f>
        <v>6</v>
      </c>
      <c r="AD174" s="2"/>
      <c r="AE174" s="115">
        <f>149.29+2.78/2</f>
        <v>150.67999999999998</v>
      </c>
      <c r="AF174" s="115"/>
      <c r="AG174" s="115"/>
      <c r="AH174" s="115"/>
      <c r="AI174" s="116">
        <v>2.25</v>
      </c>
      <c r="AJ174" s="117"/>
      <c r="AK174" s="118">
        <v>1246.8900000000001</v>
      </c>
      <c r="AL174" s="118">
        <f>+(149.29+2.78+2.25)/AK174</f>
        <v>0.12376392464451554</v>
      </c>
      <c r="AM174" s="118">
        <f>+(AE174+AI174)/AK174</f>
        <v>0.12264915108790668</v>
      </c>
      <c r="AN174" s="157"/>
      <c r="AO174" s="168">
        <v>207387</v>
      </c>
      <c r="AP174" s="169">
        <v>13992.29</v>
      </c>
      <c r="AQ174" s="193" t="s">
        <v>36</v>
      </c>
      <c r="AR174" s="5" t="s">
        <v>969</v>
      </c>
      <c r="AS174" s="211">
        <v>44511</v>
      </c>
      <c r="AT174" s="211"/>
      <c r="AU174" s="28"/>
      <c r="AV174" s="8"/>
      <c r="AW174" s="8"/>
      <c r="AX174" s="8"/>
      <c r="AY174" s="8"/>
      <c r="AZ174" s="8"/>
      <c r="BA174" s="8"/>
      <c r="BB174" s="8"/>
      <c r="BC174" s="8"/>
      <c r="BD174" s="8"/>
      <c r="BE174" s="8"/>
      <c r="BF174" s="8"/>
      <c r="BG174" s="9"/>
      <c r="BH174" s="9"/>
      <c r="BI174" s="9"/>
      <c r="BJ174" s="9"/>
      <c r="BK174" s="9"/>
      <c r="BL174" s="9"/>
      <c r="BM174" s="9"/>
      <c r="BN174" s="9"/>
      <c r="BO174" s="9"/>
      <c r="BP174" s="9"/>
      <c r="BQ174" s="9"/>
      <c r="BR174" s="9"/>
      <c r="BS174" s="9"/>
      <c r="BT174" s="9"/>
      <c r="BU174" s="9"/>
      <c r="BV174" s="9"/>
      <c r="IP174" s="9"/>
      <c r="IQ174" s="9"/>
      <c r="IR174" s="9"/>
      <c r="IS174" s="9"/>
      <c r="IT174" s="9"/>
      <c r="IU174" s="9"/>
      <c r="IV174" s="9"/>
    </row>
    <row r="175" spans="1:256" s="10" customFormat="1" ht="153">
      <c r="A175" s="274"/>
      <c r="B175" s="90">
        <v>167</v>
      </c>
      <c r="C175" s="193">
        <v>534202</v>
      </c>
      <c r="D175" s="227">
        <v>44454</v>
      </c>
      <c r="E175" s="1">
        <v>56794</v>
      </c>
      <c r="F175" s="1">
        <v>2001</v>
      </c>
      <c r="G175" s="1">
        <v>1009</v>
      </c>
      <c r="H175" s="1"/>
      <c r="I175" s="1"/>
      <c r="J175" s="1">
        <v>173</v>
      </c>
      <c r="K175" s="1">
        <v>19</v>
      </c>
      <c r="L175" s="204" t="s">
        <v>81</v>
      </c>
      <c r="M175" s="204" t="s">
        <v>970</v>
      </c>
      <c r="N175" s="204" t="s">
        <v>971</v>
      </c>
      <c r="O175" s="204"/>
      <c r="P175" s="204" t="s">
        <v>707</v>
      </c>
      <c r="Q175" s="204" t="s">
        <v>707</v>
      </c>
      <c r="R175" s="204" t="s">
        <v>707</v>
      </c>
      <c r="S175" s="204" t="s">
        <v>52</v>
      </c>
      <c r="T175" s="1"/>
      <c r="U175" s="2"/>
      <c r="V175" s="1">
        <v>1</v>
      </c>
      <c r="W175" s="1"/>
      <c r="X175" s="204" t="s">
        <v>53</v>
      </c>
      <c r="Y175" s="1">
        <f>3+1</f>
        <v>4</v>
      </c>
      <c r="Z175" s="2"/>
      <c r="AA175" s="3">
        <f>+Y175+1</f>
        <v>5</v>
      </c>
      <c r="AB175" s="2"/>
      <c r="AC175" s="3">
        <f>+Y175*2</f>
        <v>8</v>
      </c>
      <c r="AD175" s="2"/>
      <c r="AE175" s="115">
        <f>57.17+95.06+49.68/2</f>
        <v>177.07000000000002</v>
      </c>
      <c r="AF175" s="115">
        <v>108.07</v>
      </c>
      <c r="AG175" s="115">
        <v>20.9</v>
      </c>
      <c r="AH175" s="115"/>
      <c r="AI175" s="116"/>
      <c r="AJ175" s="117">
        <f>26.69/2+28.04</f>
        <v>41.384999999999998</v>
      </c>
      <c r="AK175" s="118">
        <v>428.43</v>
      </c>
      <c r="AL175" s="118">
        <f>+(49.68+95.06+AF175+26.69)/AK175</f>
        <v>0.65238195271106125</v>
      </c>
      <c r="AM175" s="118">
        <f>+(AE175+AF175+AG175+AJ175)/AK175</f>
        <v>0.810925938893168</v>
      </c>
      <c r="AN175" s="157"/>
      <c r="AO175" s="168">
        <f>726228.94+((11*21938+17546*5+13161*7+4*8775)/27*(AG175))</f>
        <v>1079419.588148148</v>
      </c>
      <c r="AP175" s="169">
        <v>11387.22</v>
      </c>
      <c r="AQ175" s="193" t="s">
        <v>107</v>
      </c>
      <c r="AR175" s="5" t="s">
        <v>972</v>
      </c>
      <c r="AS175" s="211">
        <v>44491</v>
      </c>
      <c r="AT175" s="211"/>
      <c r="AU175" s="5" t="s">
        <v>973</v>
      </c>
      <c r="AV175" s="8"/>
      <c r="AW175" s="8"/>
      <c r="AX175" s="8"/>
      <c r="AY175" s="8"/>
      <c r="AZ175" s="8"/>
      <c r="BA175" s="8"/>
      <c r="BB175" s="8"/>
      <c r="BC175" s="8"/>
      <c r="BD175" s="8"/>
      <c r="BE175" s="8"/>
      <c r="BF175" s="8"/>
      <c r="BG175" s="9"/>
      <c r="BH175" s="9"/>
      <c r="BI175" s="9"/>
      <c r="BJ175" s="9"/>
      <c r="BK175" s="9"/>
      <c r="BL175" s="9"/>
      <c r="BM175" s="9"/>
      <c r="BN175" s="9"/>
      <c r="BO175" s="9"/>
      <c r="BP175" s="9"/>
      <c r="BQ175" s="9"/>
      <c r="BR175" s="9"/>
      <c r="BS175" s="9"/>
      <c r="BT175" s="9"/>
      <c r="BU175" s="9"/>
      <c r="BV175" s="9"/>
      <c r="IP175" s="9"/>
      <c r="IQ175" s="9"/>
      <c r="IR175" s="9"/>
      <c r="IS175" s="9"/>
      <c r="IT175" s="9"/>
      <c r="IU175" s="9"/>
      <c r="IV175" s="9"/>
    </row>
    <row r="176" spans="1:256" s="10" customFormat="1" ht="63.75">
      <c r="A176" s="274"/>
      <c r="B176" s="90">
        <v>168</v>
      </c>
      <c r="C176" s="193">
        <v>533972</v>
      </c>
      <c r="D176" s="227">
        <v>44446</v>
      </c>
      <c r="E176" s="1">
        <v>57490</v>
      </c>
      <c r="F176" s="1">
        <v>160657</v>
      </c>
      <c r="G176" s="1">
        <v>32834</v>
      </c>
      <c r="H176" s="1">
        <v>3</v>
      </c>
      <c r="I176" s="1"/>
      <c r="J176" s="1">
        <v>4</v>
      </c>
      <c r="K176" s="1">
        <v>25</v>
      </c>
      <c r="L176" s="204" t="s">
        <v>974</v>
      </c>
      <c r="M176" s="204" t="s">
        <v>975</v>
      </c>
      <c r="N176" s="204" t="s">
        <v>976</v>
      </c>
      <c r="O176" s="204"/>
      <c r="P176" s="204" t="s">
        <v>760</v>
      </c>
      <c r="Q176" s="204" t="s">
        <v>760</v>
      </c>
      <c r="R176" s="204" t="s">
        <v>760</v>
      </c>
      <c r="S176" s="204" t="s">
        <v>977</v>
      </c>
      <c r="T176" s="1"/>
      <c r="U176" s="2"/>
      <c r="V176" s="1">
        <v>1</v>
      </c>
      <c r="W176" s="1"/>
      <c r="X176" s="204" t="s">
        <v>67</v>
      </c>
      <c r="Y176" s="1"/>
      <c r="Z176" s="2"/>
      <c r="AA176" s="3"/>
      <c r="AB176" s="2"/>
      <c r="AC176" s="3"/>
      <c r="AD176" s="2"/>
      <c r="AE176" s="115"/>
      <c r="AF176" s="115"/>
      <c r="AG176" s="115"/>
      <c r="AH176" s="115"/>
      <c r="AI176" s="116">
        <f>239.71+186.49/2+144.62</f>
        <v>477.57500000000005</v>
      </c>
      <c r="AJ176" s="117"/>
      <c r="AK176" s="118">
        <v>1600</v>
      </c>
      <c r="AL176" s="118">
        <f>+(239.71+186.49)/AK176</f>
        <v>0.26637500000000003</v>
      </c>
      <c r="AM176" s="118">
        <f>+AI176/AK176</f>
        <v>0.29848437500000002</v>
      </c>
      <c r="AN176" s="157"/>
      <c r="AO176" s="168">
        <f>+(11*21938+17546*5+2*13161+5*8775)/23*AI176</f>
        <v>8289975.2554347832</v>
      </c>
      <c r="AP176" s="169">
        <v>56078.01</v>
      </c>
      <c r="AQ176" s="193" t="s">
        <v>36</v>
      </c>
      <c r="AR176" s="5" t="s">
        <v>978</v>
      </c>
      <c r="AS176" s="211">
        <v>44491</v>
      </c>
      <c r="AT176" s="211"/>
      <c r="AU176" s="5" t="s">
        <v>979</v>
      </c>
      <c r="AV176" s="8"/>
      <c r="AW176" s="8"/>
      <c r="AX176" s="8"/>
      <c r="AY176" s="8"/>
      <c r="AZ176" s="8"/>
      <c r="BA176" s="8"/>
      <c r="BB176" s="8"/>
      <c r="BC176" s="8"/>
      <c r="BD176" s="8"/>
      <c r="BE176" s="8"/>
      <c r="BF176" s="8"/>
      <c r="BG176" s="9"/>
      <c r="BH176" s="9"/>
      <c r="BI176" s="9"/>
      <c r="BJ176" s="9"/>
      <c r="BK176" s="9"/>
      <c r="BL176" s="9"/>
      <c r="BM176" s="9"/>
      <c r="BN176" s="9"/>
      <c r="BO176" s="9"/>
      <c r="BP176" s="9"/>
      <c r="BQ176" s="9"/>
      <c r="BR176" s="9"/>
      <c r="BS176" s="9"/>
      <c r="BT176" s="9"/>
      <c r="BU176" s="9"/>
      <c r="BV176" s="9"/>
      <c r="IP176" s="9"/>
      <c r="IQ176" s="9"/>
      <c r="IR176" s="9"/>
      <c r="IS176" s="9"/>
      <c r="IT176" s="9"/>
      <c r="IU176" s="9"/>
      <c r="IV176" s="9"/>
    </row>
    <row r="177" spans="1:256" s="10" customFormat="1" ht="76.5">
      <c r="A177" s="274"/>
      <c r="B177" s="90">
        <v>174</v>
      </c>
      <c r="C177" s="193">
        <v>533119</v>
      </c>
      <c r="D177" s="227">
        <v>44413</v>
      </c>
      <c r="E177" s="1">
        <v>23490</v>
      </c>
      <c r="F177" s="1">
        <v>116119</v>
      </c>
      <c r="G177" s="1">
        <v>5014</v>
      </c>
      <c r="H177" s="1"/>
      <c r="I177" s="1"/>
      <c r="J177" s="1">
        <v>224</v>
      </c>
      <c r="K177" s="1">
        <v>3</v>
      </c>
      <c r="L177" s="204" t="s">
        <v>882</v>
      </c>
      <c r="M177" s="204" t="s">
        <v>980</v>
      </c>
      <c r="N177" s="204" t="s">
        <v>981</v>
      </c>
      <c r="O177" s="204" t="s">
        <v>982</v>
      </c>
      <c r="P177" s="204" t="s">
        <v>707</v>
      </c>
      <c r="Q177" s="204" t="s">
        <v>707</v>
      </c>
      <c r="R177" s="204" t="s">
        <v>707</v>
      </c>
      <c r="S177" s="204" t="s">
        <v>983</v>
      </c>
      <c r="T177" s="1"/>
      <c r="U177" s="2">
        <v>1</v>
      </c>
      <c r="V177" s="1"/>
      <c r="W177" s="1"/>
      <c r="X177" s="204" t="s">
        <v>984</v>
      </c>
      <c r="Y177" s="1"/>
      <c r="Z177" s="2">
        <v>8</v>
      </c>
      <c r="AA177" s="3"/>
      <c r="AB177" s="2">
        <f>+Z177+2+2+2+1</f>
        <v>15</v>
      </c>
      <c r="AC177" s="3"/>
      <c r="AD177" s="2">
        <f>+Z177*2</f>
        <v>16</v>
      </c>
      <c r="AE177" s="115"/>
      <c r="AF177" s="115"/>
      <c r="AG177" s="115"/>
      <c r="AH177" s="115"/>
      <c r="AI177" s="116">
        <f>66.45+13.07/2+57.73/2+(18.35+16.82/2+83.05+19.17/2)*3+18.35+8.1/2+91.95+19.17/2</f>
        <v>583.97000000000014</v>
      </c>
      <c r="AJ177" s="117"/>
      <c r="AK177" s="118">
        <v>242.44</v>
      </c>
      <c r="AL177" s="118">
        <f>+(57.73+66.45+13.07)/AK177</f>
        <v>0.56611945223560467</v>
      </c>
      <c r="AM177" s="118">
        <f>+(66.45+13.07/2+(16.82/2+83.05+19.17/2)*3+8.1/2+91.95+19.17/2)/AK177</f>
        <v>1.9869039762415444</v>
      </c>
      <c r="AN177" s="157">
        <f>+(1+10+18)/(1+5+6)</f>
        <v>2.4166666666666665</v>
      </c>
      <c r="AO177" s="168">
        <f>17665793.88+180000</f>
        <v>17845793.879999999</v>
      </c>
      <c r="AP177" s="169">
        <v>3288.6</v>
      </c>
      <c r="AQ177" s="193" t="s">
        <v>73</v>
      </c>
      <c r="AR177" s="5" t="s">
        <v>985</v>
      </c>
      <c r="AS177" s="211">
        <v>44502</v>
      </c>
      <c r="AT177" s="211"/>
      <c r="AU177" s="5" t="s">
        <v>986</v>
      </c>
      <c r="AV177" s="8"/>
      <c r="AW177" s="8"/>
      <c r="AX177" s="8"/>
      <c r="AY177" s="8"/>
      <c r="AZ177" s="8"/>
      <c r="BA177" s="8"/>
      <c r="BB177" s="8"/>
      <c r="BC177" s="8"/>
      <c r="BD177" s="8"/>
      <c r="BE177" s="8"/>
      <c r="BF177" s="8"/>
      <c r="BG177" s="9"/>
      <c r="BH177" s="9"/>
      <c r="BI177" s="9"/>
      <c r="BJ177" s="9"/>
      <c r="BK177" s="9"/>
      <c r="BL177" s="9"/>
      <c r="BM177" s="9"/>
      <c r="BN177" s="9"/>
      <c r="BO177" s="9"/>
      <c r="BP177" s="9"/>
      <c r="BQ177" s="9"/>
      <c r="BR177" s="9"/>
      <c r="BS177" s="9"/>
      <c r="BT177" s="9"/>
      <c r="BU177" s="9"/>
      <c r="BV177" s="9"/>
      <c r="IP177" s="9"/>
      <c r="IQ177" s="9"/>
      <c r="IR177" s="9"/>
      <c r="IS177" s="9"/>
      <c r="IT177" s="9"/>
      <c r="IU177" s="9"/>
      <c r="IV177" s="9"/>
    </row>
    <row r="178" spans="1:256" s="10" customFormat="1" ht="38.25">
      <c r="A178" s="274"/>
      <c r="B178" s="90">
        <v>169</v>
      </c>
      <c r="C178" s="193">
        <v>533216</v>
      </c>
      <c r="D178" s="227">
        <v>44421</v>
      </c>
      <c r="E178" s="1">
        <v>58295</v>
      </c>
      <c r="F178" s="1">
        <v>50337</v>
      </c>
      <c r="G178" s="1">
        <v>3060</v>
      </c>
      <c r="H178" s="1"/>
      <c r="I178" s="1"/>
      <c r="J178" s="1">
        <v>427</v>
      </c>
      <c r="K178" s="1">
        <v>2</v>
      </c>
      <c r="L178" s="204" t="s">
        <v>215</v>
      </c>
      <c r="M178" s="204" t="s">
        <v>987</v>
      </c>
      <c r="N178" s="204" t="s">
        <v>581</v>
      </c>
      <c r="O178" s="204"/>
      <c r="P178" s="204" t="s">
        <v>581</v>
      </c>
      <c r="Q178" s="204" t="s">
        <v>581</v>
      </c>
      <c r="R178" s="204" t="s">
        <v>581</v>
      </c>
      <c r="S178" s="204" t="s">
        <v>988</v>
      </c>
      <c r="T178" s="1"/>
      <c r="U178" s="2">
        <v>1</v>
      </c>
      <c r="V178" s="1"/>
      <c r="W178" s="1"/>
      <c r="X178" s="204" t="s">
        <v>114</v>
      </c>
      <c r="Y178" s="1"/>
      <c r="Z178" s="2"/>
      <c r="AA178" s="3"/>
      <c r="AB178" s="2"/>
      <c r="AC178" s="3"/>
      <c r="AD178" s="2"/>
      <c r="AE178" s="115"/>
      <c r="AF178" s="115"/>
      <c r="AG178" s="115"/>
      <c r="AH178" s="115"/>
      <c r="AI178" s="116"/>
      <c r="AJ178" s="117">
        <f>180+42.25</f>
        <v>222.25</v>
      </c>
      <c r="AK178" s="118">
        <v>300.07</v>
      </c>
      <c r="AL178" s="118">
        <f>+(160/AK178)</f>
        <v>0.53320891791915226</v>
      </c>
      <c r="AM178" s="118">
        <f>+AJ178/AK178</f>
        <v>0.74066051254707232</v>
      </c>
      <c r="AN178" s="157"/>
      <c r="AO178" s="168"/>
      <c r="AP178" s="169">
        <v>15661.88</v>
      </c>
      <c r="AQ178" s="193" t="s">
        <v>36</v>
      </c>
      <c r="AR178" s="5" t="s">
        <v>989</v>
      </c>
      <c r="AS178" s="211">
        <v>44495</v>
      </c>
      <c r="AT178" s="211"/>
      <c r="AU178" s="5" t="s">
        <v>990</v>
      </c>
      <c r="AV178" s="8"/>
      <c r="AW178" s="8"/>
      <c r="AX178" s="8"/>
      <c r="AY178" s="8"/>
      <c r="AZ178" s="8"/>
      <c r="BA178" s="8"/>
      <c r="BB178" s="8"/>
      <c r="BC178" s="8"/>
      <c r="BD178" s="8"/>
      <c r="BE178" s="8"/>
      <c r="BF178" s="8"/>
      <c r="BG178" s="9"/>
      <c r="BH178" s="9"/>
      <c r="BI178" s="9"/>
      <c r="BJ178" s="9"/>
      <c r="BK178" s="9"/>
      <c r="BL178" s="9"/>
      <c r="BM178" s="9"/>
      <c r="BN178" s="9"/>
      <c r="BO178" s="9"/>
      <c r="BP178" s="9"/>
      <c r="BQ178" s="9"/>
      <c r="BR178" s="9"/>
      <c r="BS178" s="9"/>
      <c r="BT178" s="9"/>
      <c r="BU178" s="9"/>
      <c r="BV178" s="9"/>
      <c r="IP178" s="9"/>
      <c r="IQ178" s="9"/>
      <c r="IR178" s="9"/>
      <c r="IS178" s="9"/>
      <c r="IT178" s="9"/>
      <c r="IU178" s="9"/>
      <c r="IV178" s="9"/>
    </row>
    <row r="179" spans="1:256" s="10" customFormat="1" ht="63.75">
      <c r="A179" s="274"/>
      <c r="B179" s="90">
        <v>171</v>
      </c>
      <c r="C179" s="193">
        <v>523899</v>
      </c>
      <c r="D179" s="227">
        <v>44090</v>
      </c>
      <c r="E179" s="1">
        <v>56769</v>
      </c>
      <c r="F179" s="1">
        <v>165463</v>
      </c>
      <c r="G179" s="1">
        <v>10263</v>
      </c>
      <c r="H179" s="1"/>
      <c r="I179" s="1"/>
      <c r="J179" s="1">
        <v>81</v>
      </c>
      <c r="K179" s="1">
        <v>17</v>
      </c>
      <c r="L179" s="204" t="s">
        <v>48</v>
      </c>
      <c r="M179" s="204" t="s">
        <v>991</v>
      </c>
      <c r="N179" s="204" t="s">
        <v>187</v>
      </c>
      <c r="O179" s="204" t="s">
        <v>173</v>
      </c>
      <c r="P179" s="204" t="s">
        <v>187</v>
      </c>
      <c r="Q179" s="204"/>
      <c r="R179" s="204"/>
      <c r="S179" s="204"/>
      <c r="T179" s="1"/>
      <c r="U179" s="2">
        <v>1</v>
      </c>
      <c r="V179" s="1"/>
      <c r="W179" s="1"/>
      <c r="X179" s="204" t="s">
        <v>67</v>
      </c>
      <c r="Y179" s="1"/>
      <c r="Z179" s="2">
        <v>2</v>
      </c>
      <c r="AA179" s="3"/>
      <c r="AB179" s="2">
        <f>2+1</f>
        <v>3</v>
      </c>
      <c r="AC179" s="3"/>
      <c r="AD179" s="2">
        <f>+Z179*2</f>
        <v>4</v>
      </c>
      <c r="AE179" s="115"/>
      <c r="AF179" s="115"/>
      <c r="AG179" s="115">
        <f>50.41+21.55/2+6.04+52.44</f>
        <v>119.66499999999999</v>
      </c>
      <c r="AH179" s="115"/>
      <c r="AI179" s="116"/>
      <c r="AJ179" s="117"/>
      <c r="AK179" s="118">
        <v>117</v>
      </c>
      <c r="AL179" s="118">
        <f>+(50.41+21.55+6.04)/AK179</f>
        <v>0.66666666666666663</v>
      </c>
      <c r="AM179" s="118">
        <f>+AG179/AK179</f>
        <v>1.0227777777777778</v>
      </c>
      <c r="AN179" s="157">
        <f>+(4+18+4+12)/(2+6+1+2)</f>
        <v>3.4545454545454546</v>
      </c>
      <c r="AO179" s="168">
        <f>+(8*21968+7*14546+13161*6+8775)/22*AG179</f>
        <v>1987021.0070454543</v>
      </c>
      <c r="AP179" s="169">
        <v>26754.83</v>
      </c>
      <c r="AQ179" s="193" t="s">
        <v>992</v>
      </c>
      <c r="AR179" s="5" t="s">
        <v>993</v>
      </c>
      <c r="AS179" s="211">
        <v>44497</v>
      </c>
      <c r="AT179" s="211"/>
      <c r="AU179" s="5" t="s">
        <v>994</v>
      </c>
      <c r="AV179" s="8"/>
      <c r="AW179" s="8"/>
      <c r="AX179" s="8"/>
      <c r="AY179" s="8"/>
      <c r="AZ179" s="8"/>
      <c r="BA179" s="8"/>
      <c r="BB179" s="8"/>
      <c r="BC179" s="8"/>
      <c r="BD179" s="8"/>
      <c r="BE179" s="8"/>
      <c r="BF179" s="8"/>
      <c r="BG179" s="9"/>
      <c r="BH179" s="9"/>
      <c r="BI179" s="9"/>
      <c r="BJ179" s="9"/>
      <c r="BK179" s="9"/>
      <c r="BL179" s="9"/>
      <c r="BM179" s="9"/>
      <c r="BN179" s="9"/>
      <c r="BO179" s="9"/>
      <c r="BP179" s="9"/>
      <c r="BQ179" s="9"/>
      <c r="BR179" s="9"/>
      <c r="BS179" s="9"/>
      <c r="BT179" s="9"/>
      <c r="BU179" s="9"/>
      <c r="BV179" s="9"/>
      <c r="IP179" s="9"/>
      <c r="IQ179" s="9"/>
      <c r="IR179" s="9"/>
      <c r="IS179" s="9"/>
      <c r="IT179" s="9"/>
      <c r="IU179" s="9"/>
      <c r="IV179" s="9"/>
    </row>
    <row r="180" spans="1:256" s="10" customFormat="1" ht="89.25">
      <c r="A180" s="274"/>
      <c r="B180" s="90">
        <v>170</v>
      </c>
      <c r="C180" s="193">
        <v>534316</v>
      </c>
      <c r="D180" s="227">
        <v>44456</v>
      </c>
      <c r="E180" s="1">
        <v>37811</v>
      </c>
      <c r="F180" s="1">
        <v>136959</v>
      </c>
      <c r="G180" s="1">
        <v>7888</v>
      </c>
      <c r="H180" s="1"/>
      <c r="I180" s="1"/>
      <c r="J180" s="1">
        <v>349</v>
      </c>
      <c r="K180" s="1">
        <v>8</v>
      </c>
      <c r="L180" s="204" t="s">
        <v>39</v>
      </c>
      <c r="M180" s="204" t="s">
        <v>995</v>
      </c>
      <c r="N180" s="204" t="s">
        <v>996</v>
      </c>
      <c r="O180" s="204"/>
      <c r="P180" s="204" t="s">
        <v>570</v>
      </c>
      <c r="Q180" s="204"/>
      <c r="R180" s="204"/>
      <c r="S180" s="204"/>
      <c r="T180" s="1">
        <f>1+1</f>
        <v>2</v>
      </c>
      <c r="U180" s="2"/>
      <c r="V180" s="1"/>
      <c r="W180" s="1"/>
      <c r="X180" s="204" t="s">
        <v>997</v>
      </c>
      <c r="Y180" s="1">
        <f>2+1</f>
        <v>3</v>
      </c>
      <c r="Z180" s="2"/>
      <c r="AA180" s="3">
        <f>+Y180+1</f>
        <v>4</v>
      </c>
      <c r="AB180" s="2"/>
      <c r="AC180" s="3">
        <f>+Y180*2</f>
        <v>6</v>
      </c>
      <c r="AD180" s="2"/>
      <c r="AE180" s="115"/>
      <c r="AF180" s="115"/>
      <c r="AG180" s="115">
        <f>81.24+57.42/2+18.25</f>
        <v>128.19999999999999</v>
      </c>
      <c r="AH180" s="115"/>
      <c r="AI180" s="116"/>
      <c r="AJ180" s="117"/>
      <c r="AK180" s="118">
        <v>294</v>
      </c>
      <c r="AL180" s="118">
        <f>+(81.24+57.42)/AK180</f>
        <v>0.47163265306122448</v>
      </c>
      <c r="AM180" s="118">
        <f>+AG180/AK180</f>
        <v>0.43605442176870746</v>
      </c>
      <c r="AN180" s="157"/>
      <c r="AO180" s="168">
        <f>+(17546*10+13161*6+8775*4)/20*AG180</f>
        <v>1855861.6599999997</v>
      </c>
      <c r="AP180" s="169">
        <v>5147.05</v>
      </c>
      <c r="AQ180" s="193" t="s">
        <v>36</v>
      </c>
      <c r="AR180" s="5" t="s">
        <v>998</v>
      </c>
      <c r="AS180" s="211">
        <v>44496</v>
      </c>
      <c r="AT180" s="211"/>
      <c r="AU180" s="5" t="s">
        <v>999</v>
      </c>
      <c r="AV180" s="8"/>
      <c r="AW180" s="8"/>
      <c r="AX180" s="8"/>
      <c r="AY180" s="8"/>
      <c r="AZ180" s="8"/>
      <c r="BA180" s="8"/>
      <c r="BB180" s="8"/>
      <c r="BC180" s="8"/>
      <c r="BD180" s="8"/>
      <c r="BE180" s="8"/>
      <c r="BF180" s="8"/>
      <c r="BG180" s="9"/>
      <c r="BH180" s="9"/>
      <c r="BI180" s="9"/>
      <c r="BJ180" s="9"/>
      <c r="BK180" s="9"/>
      <c r="BL180" s="9"/>
      <c r="BM180" s="9"/>
      <c r="BN180" s="9"/>
      <c r="BO180" s="9"/>
      <c r="BP180" s="9"/>
      <c r="BQ180" s="9"/>
      <c r="BR180" s="9"/>
      <c r="BS180" s="9"/>
      <c r="BT180" s="9"/>
      <c r="BU180" s="9"/>
      <c r="BV180" s="9"/>
      <c r="IP180" s="9"/>
      <c r="IQ180" s="9"/>
      <c r="IR180" s="9"/>
      <c r="IS180" s="9"/>
      <c r="IT180" s="9"/>
      <c r="IU180" s="9"/>
      <c r="IV180" s="9"/>
    </row>
    <row r="181" spans="1:256" s="18" customFormat="1" ht="89.25">
      <c r="A181" s="275"/>
      <c r="B181" s="98">
        <v>178</v>
      </c>
      <c r="C181" s="200" t="s">
        <v>1000</v>
      </c>
      <c r="D181" s="228">
        <v>44425</v>
      </c>
      <c r="E181" s="53">
        <v>31642</v>
      </c>
      <c r="F181" s="53">
        <v>130603</v>
      </c>
      <c r="G181" s="53">
        <v>6768</v>
      </c>
      <c r="H181" s="53"/>
      <c r="I181" s="53">
        <v>121</v>
      </c>
      <c r="J181" s="53">
        <v>682</v>
      </c>
      <c r="K181" s="53">
        <v>9</v>
      </c>
      <c r="L181" s="205" t="s">
        <v>48</v>
      </c>
      <c r="M181" s="205" t="s">
        <v>1001</v>
      </c>
      <c r="N181" s="205" t="s">
        <v>1002</v>
      </c>
      <c r="O181" s="205"/>
      <c r="P181" s="205" t="s">
        <v>1003</v>
      </c>
      <c r="Q181" s="205"/>
      <c r="R181" s="205"/>
      <c r="S181" s="205"/>
      <c r="T181" s="53">
        <v>1</v>
      </c>
      <c r="U181" s="54"/>
      <c r="V181" s="53"/>
      <c r="W181" s="53"/>
      <c r="X181" s="205" t="s">
        <v>67</v>
      </c>
      <c r="Y181" s="53">
        <v>2</v>
      </c>
      <c r="Z181" s="54"/>
      <c r="AA181" s="55">
        <f>+Y181+1</f>
        <v>3</v>
      </c>
      <c r="AB181" s="54"/>
      <c r="AC181" s="55">
        <f>+Y181*2</f>
        <v>4</v>
      </c>
      <c r="AD181" s="54"/>
      <c r="AE181" s="119">
        <v>54.4</v>
      </c>
      <c r="AF181" s="119"/>
      <c r="AG181" s="119">
        <v>42.01</v>
      </c>
      <c r="AH181" s="119"/>
      <c r="AI181" s="147"/>
      <c r="AJ181" s="148"/>
      <c r="AK181" s="149">
        <v>329.6</v>
      </c>
      <c r="AL181" s="149">
        <f>+(54.4+42.01)/AK181</f>
        <v>0.29250606796116502</v>
      </c>
      <c r="AM181" s="149">
        <f>+(AL181)</f>
        <v>0.29250606796116502</v>
      </c>
      <c r="AN181" s="165"/>
      <c r="AO181" s="186">
        <f>+((5*21938+7*17546+6*13161+3*8775)/21*AG181)+1020000</f>
        <v>1695766.8585714286</v>
      </c>
      <c r="AP181" s="187">
        <v>68129.47</v>
      </c>
      <c r="AQ181" s="200" t="s">
        <v>36</v>
      </c>
      <c r="AR181" s="14" t="s">
        <v>1004</v>
      </c>
      <c r="AS181" s="222" t="s">
        <v>1005</v>
      </c>
      <c r="AT181" s="222"/>
      <c r="AU181" s="56">
        <v>44489</v>
      </c>
      <c r="AV181" s="57"/>
      <c r="AW181" s="57"/>
      <c r="AX181" s="57"/>
      <c r="AY181" s="57"/>
      <c r="AZ181" s="57"/>
      <c r="BA181" s="57"/>
      <c r="BB181" s="57"/>
      <c r="BC181" s="57"/>
      <c r="BD181" s="57"/>
      <c r="BE181" s="57"/>
      <c r="BF181" s="57"/>
      <c r="BG181" s="17"/>
      <c r="BH181" s="17"/>
      <c r="BI181" s="17"/>
      <c r="BJ181" s="17"/>
      <c r="BK181" s="17"/>
      <c r="BL181" s="17"/>
      <c r="BM181" s="17"/>
      <c r="BN181" s="17"/>
      <c r="BO181" s="17"/>
      <c r="BP181" s="17"/>
      <c r="BQ181" s="17"/>
      <c r="BR181" s="17"/>
      <c r="BS181" s="17"/>
      <c r="BT181" s="17"/>
      <c r="BU181" s="17"/>
      <c r="BV181" s="17"/>
      <c r="IP181" s="17"/>
      <c r="IQ181" s="17"/>
      <c r="IR181" s="17"/>
      <c r="IS181" s="17"/>
      <c r="IT181" s="17"/>
      <c r="IU181" s="17"/>
      <c r="IV181" s="17"/>
    </row>
    <row r="182" spans="1:256" s="10" customFormat="1" ht="63.75">
      <c r="A182" s="274"/>
      <c r="B182" s="90">
        <v>211</v>
      </c>
      <c r="C182" s="193">
        <v>530460</v>
      </c>
      <c r="D182" s="227">
        <v>44301</v>
      </c>
      <c r="E182" s="1">
        <v>3941</v>
      </c>
      <c r="F182" s="1">
        <v>50694</v>
      </c>
      <c r="G182" s="1">
        <v>2728</v>
      </c>
      <c r="H182" s="1"/>
      <c r="I182" s="1">
        <v>70</v>
      </c>
      <c r="J182" s="1">
        <v>503</v>
      </c>
      <c r="K182" s="1">
        <v>12</v>
      </c>
      <c r="L182" s="204" t="s">
        <v>31</v>
      </c>
      <c r="M182" s="204" t="s">
        <v>1006</v>
      </c>
      <c r="N182" s="204" t="s">
        <v>1007</v>
      </c>
      <c r="O182" s="204"/>
      <c r="P182" s="204" t="s">
        <v>1008</v>
      </c>
      <c r="Q182" s="204" t="s">
        <v>1008</v>
      </c>
      <c r="R182" s="204" t="s">
        <v>1008</v>
      </c>
      <c r="S182" s="204" t="s">
        <v>655</v>
      </c>
      <c r="T182" s="1"/>
      <c r="U182" s="2">
        <v>5</v>
      </c>
      <c r="V182" s="1"/>
      <c r="W182" s="1"/>
      <c r="X182" s="204" t="s">
        <v>44</v>
      </c>
      <c r="Y182" s="1"/>
      <c r="Z182" s="2">
        <f>2+2+2+1+1</f>
        <v>8</v>
      </c>
      <c r="AA182" s="3"/>
      <c r="AB182" s="2">
        <f>+Z182+1+1+1+1+1</f>
        <v>13</v>
      </c>
      <c r="AC182" s="3"/>
      <c r="AD182" s="2">
        <f>+Z182*2</f>
        <v>16</v>
      </c>
      <c r="AE182" s="115"/>
      <c r="AF182" s="115"/>
      <c r="AG182" s="115"/>
      <c r="AH182" s="115"/>
      <c r="AI182" s="116">
        <f>114.38+83.72+126.08+102.24/2</f>
        <v>375.3</v>
      </c>
      <c r="AJ182" s="117"/>
      <c r="AK182" s="118">
        <v>392</v>
      </c>
      <c r="AL182" s="118">
        <f>+(126.08+102.24)/AK182</f>
        <v>0.58244897959183672</v>
      </c>
      <c r="AM182" s="118">
        <f>+AI182/AK182</f>
        <v>0.95739795918367354</v>
      </c>
      <c r="AN182" s="157"/>
      <c r="AO182" s="168">
        <f>+((9*21938+17546*9+4*13161)/22*240.46)+((4*21938+17546*14+13161*4)/22*147.7)</f>
        <v>7051172.1818181816</v>
      </c>
      <c r="AP182" s="169">
        <v>24339.39</v>
      </c>
      <c r="AQ182" s="193" t="s">
        <v>36</v>
      </c>
      <c r="AR182" s="5" t="s">
        <v>1009</v>
      </c>
      <c r="AS182" s="211">
        <v>44557</v>
      </c>
      <c r="AT182" s="211"/>
      <c r="AU182" s="5" t="s">
        <v>1010</v>
      </c>
      <c r="AV182" s="8"/>
      <c r="AW182" s="8"/>
      <c r="AX182" s="8"/>
      <c r="AY182" s="8"/>
      <c r="AZ182" s="8"/>
      <c r="BA182" s="8"/>
      <c r="BB182" s="8"/>
      <c r="BC182" s="8"/>
      <c r="BD182" s="8"/>
      <c r="BE182" s="8"/>
      <c r="BF182" s="8"/>
      <c r="BG182" s="9"/>
      <c r="BH182" s="9"/>
      <c r="BI182" s="9"/>
      <c r="BJ182" s="9"/>
      <c r="BK182" s="9"/>
      <c r="BL182" s="9"/>
      <c r="BM182" s="9"/>
      <c r="BN182" s="9"/>
      <c r="BO182" s="9"/>
      <c r="BP182" s="9"/>
      <c r="BQ182" s="9"/>
      <c r="BR182" s="9"/>
      <c r="BS182" s="9"/>
      <c r="BT182" s="9"/>
      <c r="BU182" s="9"/>
      <c r="BV182" s="9"/>
      <c r="IP182" s="9"/>
      <c r="IQ182" s="9"/>
      <c r="IR182" s="9"/>
      <c r="IS182" s="9"/>
      <c r="IT182" s="9"/>
      <c r="IU182" s="9"/>
      <c r="IV182" s="9"/>
    </row>
    <row r="183" spans="1:256" s="10" customFormat="1" ht="102">
      <c r="A183" s="274"/>
      <c r="B183" s="90">
        <v>212</v>
      </c>
      <c r="C183" s="193">
        <v>531648</v>
      </c>
      <c r="D183" s="227">
        <v>44349</v>
      </c>
      <c r="E183" s="1">
        <v>53018</v>
      </c>
      <c r="F183" s="1">
        <v>162454</v>
      </c>
      <c r="G183" s="1">
        <v>33152</v>
      </c>
      <c r="H183" s="1">
        <v>310</v>
      </c>
      <c r="I183" s="1"/>
      <c r="J183" s="1">
        <v>2</v>
      </c>
      <c r="K183" s="1">
        <v>21</v>
      </c>
      <c r="L183" s="204" t="s">
        <v>440</v>
      </c>
      <c r="M183" s="204" t="s">
        <v>721</v>
      </c>
      <c r="N183" s="204" t="s">
        <v>1011</v>
      </c>
      <c r="O183" s="204"/>
      <c r="P183" s="204" t="s">
        <v>466</v>
      </c>
      <c r="Q183" s="204"/>
      <c r="R183" s="204"/>
      <c r="S183" s="204"/>
      <c r="T183" s="1">
        <f>2+2</f>
        <v>4</v>
      </c>
      <c r="U183" s="2"/>
      <c r="V183" s="1"/>
      <c r="W183" s="1"/>
      <c r="X183" s="204" t="s">
        <v>44</v>
      </c>
      <c r="Y183" s="1">
        <f>2+2+2+2</f>
        <v>8</v>
      </c>
      <c r="Z183" s="2"/>
      <c r="AA183" s="3">
        <f>+Y183+1+1+1+1</f>
        <v>12</v>
      </c>
      <c r="AB183" s="2"/>
      <c r="AC183" s="3">
        <f>+Y183*2</f>
        <v>16</v>
      </c>
      <c r="AD183" s="2"/>
      <c r="AE183" s="115"/>
      <c r="AF183" s="115"/>
      <c r="AG183" s="115">
        <f>275.01+89.29/2</f>
        <v>319.65499999999997</v>
      </c>
      <c r="AH183" s="115"/>
      <c r="AI183" s="116"/>
      <c r="AJ183" s="117"/>
      <c r="AK183" s="118">
        <v>900</v>
      </c>
      <c r="AL183" s="118">
        <f>+(78.84+22.45+7.02+78.84+9.75+9.2+3.74+98.37)/AK183</f>
        <v>0.34245555555555557</v>
      </c>
      <c r="AM183" s="118">
        <f>+AG183/AK183</f>
        <v>0.35517222222222217</v>
      </c>
      <c r="AN183" s="157"/>
      <c r="AO183" s="168">
        <f>+(2*21938+10*17546+13161*6+2*8775)/20*AG183</f>
        <v>5048183.5529999994</v>
      </c>
      <c r="AP183" s="169">
        <v>121070.84</v>
      </c>
      <c r="AQ183" s="193" t="s">
        <v>45</v>
      </c>
      <c r="AR183" s="5" t="s">
        <v>1012</v>
      </c>
      <c r="AS183" s="211">
        <v>44557</v>
      </c>
      <c r="AT183" s="211"/>
      <c r="AU183" s="5" t="s">
        <v>1013</v>
      </c>
      <c r="AV183" s="8"/>
      <c r="AW183" s="8"/>
      <c r="AX183" s="8"/>
      <c r="AY183" s="8"/>
      <c r="AZ183" s="8"/>
      <c r="BA183" s="8"/>
      <c r="BB183" s="8"/>
      <c r="BC183" s="8"/>
      <c r="BD183" s="8"/>
      <c r="BE183" s="8"/>
      <c r="BF183" s="8"/>
      <c r="BG183" s="9"/>
      <c r="BH183" s="9"/>
      <c r="BI183" s="9"/>
      <c r="BJ183" s="9"/>
      <c r="BK183" s="9"/>
      <c r="BL183" s="9"/>
      <c r="BM183" s="9"/>
      <c r="BN183" s="9"/>
      <c r="BO183" s="9"/>
      <c r="BP183" s="9"/>
      <c r="BQ183" s="9"/>
      <c r="BR183" s="9"/>
      <c r="BS183" s="9"/>
      <c r="BT183" s="9"/>
      <c r="BU183" s="9"/>
      <c r="BV183" s="9"/>
      <c r="IP183" s="9"/>
      <c r="IQ183" s="9"/>
      <c r="IR183" s="9"/>
      <c r="IS183" s="9"/>
      <c r="IT183" s="9"/>
      <c r="IU183" s="9"/>
      <c r="IV183" s="9"/>
    </row>
    <row r="184" spans="1:256" s="10" customFormat="1" ht="51">
      <c r="A184" s="274"/>
      <c r="B184" s="90">
        <v>213</v>
      </c>
      <c r="C184" s="193">
        <v>532217</v>
      </c>
      <c r="D184" s="227">
        <v>44375</v>
      </c>
      <c r="E184" s="1">
        <v>59649</v>
      </c>
      <c r="F184" s="1">
        <v>167904</v>
      </c>
      <c r="G184" s="1">
        <v>33845</v>
      </c>
      <c r="H184" s="1">
        <v>225</v>
      </c>
      <c r="I184" s="1"/>
      <c r="J184" s="1">
        <v>3</v>
      </c>
      <c r="K184" s="1">
        <v>12</v>
      </c>
      <c r="L184" s="204" t="s">
        <v>440</v>
      </c>
      <c r="M184" s="204" t="s">
        <v>1014</v>
      </c>
      <c r="N184" s="204" t="s">
        <v>1015</v>
      </c>
      <c r="O184" s="204"/>
      <c r="P184" s="204" t="s">
        <v>466</v>
      </c>
      <c r="Q184" s="204"/>
      <c r="R184" s="204"/>
      <c r="S184" s="204"/>
      <c r="T184" s="1">
        <v>2</v>
      </c>
      <c r="U184" s="2"/>
      <c r="V184" s="1"/>
      <c r="W184" s="1"/>
      <c r="X184" s="204" t="s">
        <v>44</v>
      </c>
      <c r="Y184" s="1">
        <f>2+2</f>
        <v>4</v>
      </c>
      <c r="Z184" s="2"/>
      <c r="AA184" s="3">
        <f>+Y184+1+1</f>
        <v>6</v>
      </c>
      <c r="AB184" s="2"/>
      <c r="AC184" s="3">
        <f>+Y184*2</f>
        <v>8</v>
      </c>
      <c r="AD184" s="2"/>
      <c r="AE184" s="115"/>
      <c r="AF184" s="115"/>
      <c r="AG184" s="115">
        <f>115.68+74.26/2</f>
        <v>152.81</v>
      </c>
      <c r="AH184" s="115"/>
      <c r="AI184" s="116"/>
      <c r="AJ184" s="117"/>
      <c r="AK184" s="118">
        <v>800.85</v>
      </c>
      <c r="AL184" s="118">
        <f>+(115.68+74.26)/(AK184)</f>
        <v>0.23717300368358618</v>
      </c>
      <c r="AM184" s="118">
        <f>+AG184/AK184</f>
        <v>0.19080976462508584</v>
      </c>
      <c r="AN184" s="157"/>
      <c r="AO184" s="168">
        <f>+(12*17546+5*13161+8775*3)/20*AG184</f>
        <v>2312641.821</v>
      </c>
      <c r="AP184" s="169">
        <v>34882.78</v>
      </c>
      <c r="AQ184" s="193" t="s">
        <v>45</v>
      </c>
      <c r="AR184" s="5" t="s">
        <v>1016</v>
      </c>
      <c r="AS184" s="211">
        <v>44557</v>
      </c>
      <c r="AT184" s="211"/>
      <c r="AU184" s="5" t="s">
        <v>1017</v>
      </c>
      <c r="AV184" s="8"/>
      <c r="AW184" s="8"/>
      <c r="AX184" s="8"/>
      <c r="AY184" s="8"/>
      <c r="AZ184" s="8"/>
      <c r="BA184" s="8"/>
      <c r="BB184" s="8"/>
      <c r="BC184" s="8"/>
      <c r="BD184" s="8"/>
      <c r="BE184" s="8"/>
      <c r="BF184" s="8"/>
      <c r="BG184" s="9"/>
      <c r="BH184" s="9"/>
      <c r="BI184" s="9"/>
      <c r="BJ184" s="9"/>
      <c r="BK184" s="9"/>
      <c r="BL184" s="9"/>
      <c r="BM184" s="9"/>
      <c r="BN184" s="9"/>
      <c r="BO184" s="9"/>
      <c r="BP184" s="9"/>
      <c r="BQ184" s="9"/>
      <c r="BR184" s="9"/>
      <c r="BS184" s="9"/>
      <c r="BT184" s="9"/>
      <c r="BU184" s="9"/>
      <c r="BV184" s="9"/>
      <c r="IP184" s="9"/>
      <c r="IQ184" s="9"/>
      <c r="IR184" s="9"/>
      <c r="IS184" s="9"/>
      <c r="IT184" s="9"/>
      <c r="IU184" s="9"/>
      <c r="IV184" s="9"/>
    </row>
    <row r="185" spans="1:256" s="10" customFormat="1" ht="102">
      <c r="A185" s="274"/>
      <c r="B185" s="90">
        <v>173</v>
      </c>
      <c r="C185" s="193">
        <v>533432</v>
      </c>
      <c r="D185" s="227">
        <v>44427</v>
      </c>
      <c r="E185" s="1">
        <v>32556</v>
      </c>
      <c r="F185" s="1">
        <v>131334</v>
      </c>
      <c r="G185" s="1">
        <v>6951</v>
      </c>
      <c r="H185" s="1"/>
      <c r="I185" s="1"/>
      <c r="J185" s="1">
        <v>430</v>
      </c>
      <c r="K185" s="1">
        <v>36</v>
      </c>
      <c r="L185" s="204" t="s">
        <v>215</v>
      </c>
      <c r="M185" s="204" t="s">
        <v>1018</v>
      </c>
      <c r="N185" s="204" t="s">
        <v>1019</v>
      </c>
      <c r="O185" s="204"/>
      <c r="P185" s="204" t="s">
        <v>1020</v>
      </c>
      <c r="Q185" s="204"/>
      <c r="R185" s="204"/>
      <c r="S185" s="204"/>
      <c r="T185" s="1">
        <v>2</v>
      </c>
      <c r="U185" s="2"/>
      <c r="V185" s="1"/>
      <c r="W185" s="1"/>
      <c r="X185" s="204" t="s">
        <v>44</v>
      </c>
      <c r="Y185" s="1">
        <f>2+1+3</f>
        <v>6</v>
      </c>
      <c r="Z185" s="2"/>
      <c r="AA185" s="3">
        <f>+Y185+1+2</f>
        <v>9</v>
      </c>
      <c r="AB185" s="2"/>
      <c r="AC185" s="3">
        <f>+Y185*2</f>
        <v>12</v>
      </c>
      <c r="AD185" s="2"/>
      <c r="AE185" s="115"/>
      <c r="AF185" s="115"/>
      <c r="AG185" s="115">
        <f>136.17+56.12</f>
        <v>192.29</v>
      </c>
      <c r="AH185" s="115"/>
      <c r="AI185" s="116"/>
      <c r="AJ185" s="117"/>
      <c r="AK185" s="118">
        <v>206.3</v>
      </c>
      <c r="AL185" s="118">
        <f>136.17/AK185</f>
        <v>0.66005816771691705</v>
      </c>
      <c r="AM185" s="118">
        <f>+AG185/AK185</f>
        <v>0.93208919049927286</v>
      </c>
      <c r="AN185" s="157"/>
      <c r="AO185" s="168">
        <f>+(4*14484+11*10864+7243*5)/20*AG185</f>
        <v>2054185.9974999998</v>
      </c>
      <c r="AP185" s="169">
        <v>36561.85</v>
      </c>
      <c r="AQ185" s="193" t="s">
        <v>36</v>
      </c>
      <c r="AR185" s="5" t="s">
        <v>1021</v>
      </c>
      <c r="AS185" s="211">
        <v>44502</v>
      </c>
      <c r="AT185" s="211"/>
      <c r="AU185" s="5" t="s">
        <v>1022</v>
      </c>
      <c r="AV185" s="8"/>
      <c r="AW185" s="8"/>
      <c r="AX185" s="8"/>
      <c r="AY185" s="8"/>
      <c r="AZ185" s="8"/>
      <c r="BA185" s="8"/>
      <c r="BB185" s="8"/>
      <c r="BC185" s="8"/>
      <c r="BD185" s="8"/>
      <c r="BE185" s="8"/>
      <c r="BF185" s="8"/>
      <c r="BG185" s="9"/>
      <c r="BH185" s="9"/>
      <c r="BI185" s="9"/>
      <c r="BJ185" s="9"/>
      <c r="BK185" s="9"/>
      <c r="BL185" s="9"/>
      <c r="BM185" s="9"/>
      <c r="BN185" s="9"/>
      <c r="BO185" s="9"/>
      <c r="BP185" s="9"/>
      <c r="BQ185" s="9"/>
      <c r="BR185" s="9"/>
      <c r="BS185" s="9"/>
      <c r="BT185" s="9"/>
      <c r="BU185" s="9"/>
      <c r="BV185" s="9"/>
      <c r="IP185" s="9"/>
      <c r="IQ185" s="9"/>
      <c r="IR185" s="9"/>
      <c r="IS185" s="9"/>
      <c r="IT185" s="9"/>
      <c r="IU185" s="9"/>
      <c r="IV185" s="9"/>
    </row>
    <row r="186" spans="1:256" s="10" customFormat="1" ht="76.5">
      <c r="A186" s="274"/>
      <c r="B186" s="90">
        <v>179</v>
      </c>
      <c r="C186" s="193" t="s">
        <v>1023</v>
      </c>
      <c r="D186" s="227">
        <v>44452</v>
      </c>
      <c r="E186" s="1">
        <v>51787</v>
      </c>
      <c r="F186" s="1">
        <v>160435</v>
      </c>
      <c r="G186" s="1">
        <v>32959</v>
      </c>
      <c r="H186" s="1">
        <v>203</v>
      </c>
      <c r="I186" s="1"/>
      <c r="J186" s="1"/>
      <c r="K186" s="1">
        <v>13</v>
      </c>
      <c r="L186" s="204" t="s">
        <v>102</v>
      </c>
      <c r="M186" s="204" t="s">
        <v>1024</v>
      </c>
      <c r="N186" s="204" t="s">
        <v>1025</v>
      </c>
      <c r="O186" s="204"/>
      <c r="P186" s="204" t="s">
        <v>959</v>
      </c>
      <c r="Q186" s="204"/>
      <c r="R186" s="204"/>
      <c r="S186" s="204"/>
      <c r="T186" s="1">
        <v>2</v>
      </c>
      <c r="U186" s="2"/>
      <c r="V186" s="1"/>
      <c r="W186" s="1"/>
      <c r="X186" s="204" t="s">
        <v>1026</v>
      </c>
      <c r="Y186" s="1"/>
      <c r="Z186" s="2"/>
      <c r="AA186" s="3"/>
      <c r="AB186" s="2"/>
      <c r="AC186" s="3"/>
      <c r="AD186" s="2"/>
      <c r="AE186" s="115"/>
      <c r="AF186" s="115"/>
      <c r="AG186" s="115"/>
      <c r="AH186" s="115">
        <f>134.52+26.36+18.75/2</f>
        <v>170.255</v>
      </c>
      <c r="AI186" s="116"/>
      <c r="AJ186" s="117"/>
      <c r="AK186" s="118">
        <v>5000</v>
      </c>
      <c r="AL186" s="115">
        <f>(134.52+26.36+18.75)/AK186</f>
        <v>3.5926E-2</v>
      </c>
      <c r="AM186" s="118">
        <f>+AH186/AK186</f>
        <v>3.4050999999999998E-2</v>
      </c>
      <c r="AN186" s="157"/>
      <c r="AO186" s="168">
        <f>+AH186*17546</f>
        <v>2987294.23</v>
      </c>
      <c r="AP186" s="169">
        <v>42291.94</v>
      </c>
      <c r="AQ186" s="193" t="s">
        <v>36</v>
      </c>
      <c r="AR186" s="5" t="s">
        <v>1027</v>
      </c>
      <c r="AS186" s="211">
        <v>44510</v>
      </c>
      <c r="AT186" s="211"/>
      <c r="AU186" s="5"/>
      <c r="AV186" s="8"/>
      <c r="AW186" s="8"/>
      <c r="AX186" s="8"/>
      <c r="AY186" s="8"/>
      <c r="AZ186" s="8"/>
      <c r="BA186" s="8"/>
      <c r="BB186" s="8"/>
      <c r="BC186" s="8"/>
      <c r="BD186" s="8"/>
      <c r="BE186" s="8"/>
      <c r="BF186" s="8"/>
      <c r="BG186" s="9"/>
      <c r="BH186" s="9"/>
      <c r="BI186" s="9"/>
      <c r="BJ186" s="9"/>
      <c r="BK186" s="9"/>
      <c r="BL186" s="9"/>
      <c r="BM186" s="9"/>
      <c r="BN186" s="9"/>
      <c r="BO186" s="9"/>
      <c r="BP186" s="9"/>
      <c r="BQ186" s="9"/>
      <c r="BR186" s="9"/>
      <c r="BS186" s="9"/>
      <c r="BT186" s="9"/>
      <c r="BU186" s="9"/>
      <c r="BV186" s="9"/>
      <c r="IP186" s="9"/>
      <c r="IQ186" s="9"/>
      <c r="IR186" s="9"/>
      <c r="IS186" s="9"/>
      <c r="IT186" s="9"/>
      <c r="IU186" s="9"/>
      <c r="IV186" s="9"/>
    </row>
    <row r="187" spans="1:256" s="10" customFormat="1" ht="38.25">
      <c r="A187" s="274"/>
      <c r="B187" s="90">
        <v>183</v>
      </c>
      <c r="C187" s="193">
        <v>533705</v>
      </c>
      <c r="D187" s="227">
        <v>44434</v>
      </c>
      <c r="E187" s="1">
        <v>-52586</v>
      </c>
      <c r="F187" s="1">
        <v>162135</v>
      </c>
      <c r="G187" s="1">
        <v>33133</v>
      </c>
      <c r="H187" s="1">
        <v>310</v>
      </c>
      <c r="I187" s="1"/>
      <c r="J187" s="1">
        <v>2</v>
      </c>
      <c r="K187" s="1">
        <v>19</v>
      </c>
      <c r="L187" s="204" t="s">
        <v>440</v>
      </c>
      <c r="M187" s="204" t="s">
        <v>1028</v>
      </c>
      <c r="N187" s="204" t="s">
        <v>1029</v>
      </c>
      <c r="O187" s="204" t="s">
        <v>1030</v>
      </c>
      <c r="P187" s="204" t="s">
        <v>1031</v>
      </c>
      <c r="Q187" s="204" t="s">
        <v>1031</v>
      </c>
      <c r="R187" s="204" t="s">
        <v>1031</v>
      </c>
      <c r="S187" s="204" t="s">
        <v>1029</v>
      </c>
      <c r="T187" s="1"/>
      <c r="U187" s="2">
        <f>1+1+1</f>
        <v>3</v>
      </c>
      <c r="V187" s="1"/>
      <c r="W187" s="1"/>
      <c r="X187" s="204" t="s">
        <v>44</v>
      </c>
      <c r="Y187" s="1"/>
      <c r="Z187" s="2">
        <f>2*U187</f>
        <v>6</v>
      </c>
      <c r="AA187" s="3"/>
      <c r="AB187" s="2">
        <f>+Z187+U187</f>
        <v>9</v>
      </c>
      <c r="AC187" s="3"/>
      <c r="AD187" s="2">
        <f>+Z187*2</f>
        <v>12</v>
      </c>
      <c r="AE187" s="115"/>
      <c r="AF187" s="115"/>
      <c r="AG187" s="115"/>
      <c r="AH187" s="115"/>
      <c r="AI187" s="116">
        <f>17.45/2+125.06+34.41/2+63.85</f>
        <v>214.84</v>
      </c>
      <c r="AJ187" s="117"/>
      <c r="AK187" s="118">
        <v>492.6</v>
      </c>
      <c r="AL187" s="118">
        <f>+(17.45+125.06+34.41+63.85)/AK187</f>
        <v>0.4887738530247665</v>
      </c>
      <c r="AM187" s="118">
        <f>+AI187/AK187</f>
        <v>0.43613479496548924</v>
      </c>
      <c r="AN187" s="157">
        <f>+(2+24+12)/(1+8+2)</f>
        <v>3.4545454545454546</v>
      </c>
      <c r="AO187" s="168">
        <f>+(3*21938+17546*4+13161*7+5*8775)/19*AI187</f>
        <v>3075604.2105263155</v>
      </c>
      <c r="AP187" s="169">
        <v>14184.44</v>
      </c>
      <c r="AQ187" s="193" t="s">
        <v>73</v>
      </c>
      <c r="AR187" s="5" t="s">
        <v>1032</v>
      </c>
      <c r="AS187" s="211">
        <v>44512</v>
      </c>
      <c r="AT187" s="211"/>
      <c r="AU187" s="48" t="s">
        <v>1033</v>
      </c>
      <c r="AV187" s="8"/>
      <c r="AW187" s="8"/>
      <c r="AX187" s="8"/>
      <c r="AY187" s="8"/>
      <c r="AZ187" s="8"/>
      <c r="BA187" s="8"/>
      <c r="BB187" s="8"/>
      <c r="BC187" s="8"/>
      <c r="BD187" s="8"/>
      <c r="BE187" s="8"/>
      <c r="BF187" s="8"/>
      <c r="BG187" s="9"/>
      <c r="BH187" s="9"/>
      <c r="BI187" s="9"/>
      <c r="BJ187" s="9"/>
      <c r="BK187" s="9"/>
      <c r="BL187" s="9"/>
      <c r="BM187" s="9"/>
      <c r="BN187" s="9"/>
      <c r="BO187" s="9"/>
      <c r="BP187" s="9"/>
      <c r="BQ187" s="9"/>
      <c r="BR187" s="9"/>
      <c r="BS187" s="9"/>
      <c r="BT187" s="9"/>
      <c r="BU187" s="9"/>
      <c r="BV187" s="9"/>
      <c r="IP187" s="9"/>
      <c r="IQ187" s="9"/>
      <c r="IR187" s="9"/>
      <c r="IS187" s="9"/>
      <c r="IT187" s="9"/>
      <c r="IU187" s="9"/>
      <c r="IV187" s="9"/>
    </row>
    <row r="188" spans="1:256" s="10" customFormat="1" ht="63.75">
      <c r="A188" s="274"/>
      <c r="B188" s="90">
        <v>177</v>
      </c>
      <c r="C188" s="193" t="s">
        <v>1034</v>
      </c>
      <c r="D188" s="235">
        <v>44398</v>
      </c>
      <c r="E188" s="1">
        <v>18506</v>
      </c>
      <c r="F188" s="1">
        <v>108506</v>
      </c>
      <c r="G188" s="1">
        <v>1869</v>
      </c>
      <c r="H188" s="1"/>
      <c r="I188" s="1"/>
      <c r="J188" s="1">
        <v>645</v>
      </c>
      <c r="K188" s="1">
        <v>11</v>
      </c>
      <c r="L188" s="204" t="s">
        <v>199</v>
      </c>
      <c r="M188" s="204" t="s">
        <v>1035</v>
      </c>
      <c r="N188" s="204" t="s">
        <v>1036</v>
      </c>
      <c r="O188" s="204"/>
      <c r="P188" s="204" t="s">
        <v>1037</v>
      </c>
      <c r="Q188" s="204" t="s">
        <v>1037</v>
      </c>
      <c r="R188" s="204" t="s">
        <v>1037</v>
      </c>
      <c r="S188" s="204" t="s">
        <v>1038</v>
      </c>
      <c r="T188" s="1"/>
      <c r="U188" s="2">
        <v>2</v>
      </c>
      <c r="V188" s="1"/>
      <c r="W188" s="1"/>
      <c r="X188" s="204" t="s">
        <v>898</v>
      </c>
      <c r="Y188" s="1"/>
      <c r="Z188" s="2">
        <f>1+1</f>
        <v>2</v>
      </c>
      <c r="AA188" s="3"/>
      <c r="AB188" s="2">
        <f>+Z188</f>
        <v>2</v>
      </c>
      <c r="AC188" s="3"/>
      <c r="AD188" s="2">
        <f>+Z188*2</f>
        <v>4</v>
      </c>
      <c r="AE188" s="115"/>
      <c r="AF188" s="115"/>
      <c r="AG188" s="115"/>
      <c r="AH188" s="115"/>
      <c r="AI188" s="116">
        <f>71.14+8.22/2</f>
        <v>75.25</v>
      </c>
      <c r="AJ188" s="117"/>
      <c r="AK188" s="118">
        <v>248</v>
      </c>
      <c r="AL188" s="118">
        <f>+(71.14+8.22)/AK188</f>
        <v>0.32</v>
      </c>
      <c r="AM188" s="118">
        <f>+AI188/AK188</f>
        <v>0.30342741935483869</v>
      </c>
      <c r="AN188" s="157">
        <f>+(6+28)/(2+7)</f>
        <v>3.7777777777777777</v>
      </c>
      <c r="AO188" s="168">
        <f>+(8*17546+13161*5+8775*6)/20*AI188</f>
        <v>973821.53749999998</v>
      </c>
      <c r="AP188" s="169">
        <v>6349.11</v>
      </c>
      <c r="AQ188" s="193" t="s">
        <v>36</v>
      </c>
      <c r="AR188" s="5" t="s">
        <v>1039</v>
      </c>
      <c r="AS188" s="211">
        <v>44509</v>
      </c>
      <c r="AT188" s="211"/>
      <c r="AU188" s="48">
        <v>44435</v>
      </c>
      <c r="AV188" s="8"/>
      <c r="AW188" s="8"/>
      <c r="AX188" s="8"/>
      <c r="AY188" s="8"/>
      <c r="AZ188" s="8"/>
      <c r="BA188" s="8"/>
      <c r="BB188" s="8"/>
      <c r="BC188" s="8"/>
      <c r="BD188" s="8"/>
      <c r="BE188" s="8"/>
      <c r="BF188" s="8"/>
      <c r="BG188" s="9"/>
      <c r="BH188" s="9"/>
      <c r="BI188" s="9"/>
      <c r="BJ188" s="9"/>
      <c r="BK188" s="9"/>
      <c r="BL188" s="9"/>
      <c r="BM188" s="9"/>
      <c r="BN188" s="9"/>
      <c r="BO188" s="9"/>
      <c r="BP188" s="9"/>
      <c r="BQ188" s="9"/>
      <c r="BR188" s="9"/>
      <c r="BS188" s="9"/>
      <c r="BT188" s="9"/>
      <c r="BU188" s="9"/>
      <c r="BV188" s="9"/>
      <c r="IP188" s="9"/>
      <c r="IQ188" s="9"/>
      <c r="IR188" s="9"/>
      <c r="IS188" s="9"/>
      <c r="IT188" s="9"/>
      <c r="IU188" s="9"/>
      <c r="IV188" s="9"/>
    </row>
    <row r="189" spans="1:256" s="10" customFormat="1" ht="63.75">
      <c r="A189" s="274"/>
      <c r="B189" s="77">
        <v>187</v>
      </c>
      <c r="C189" s="291">
        <v>535495</v>
      </c>
      <c r="D189" s="227">
        <v>44494</v>
      </c>
      <c r="E189" s="1">
        <v>20998</v>
      </c>
      <c r="F189" s="1">
        <v>110340</v>
      </c>
      <c r="G189" s="1">
        <v>6067</v>
      </c>
      <c r="H189" s="1"/>
      <c r="I189" s="1"/>
      <c r="J189" s="1">
        <v>88</v>
      </c>
      <c r="K189" s="1">
        <v>6</v>
      </c>
      <c r="L189" s="204" t="s">
        <v>866</v>
      </c>
      <c r="M189" s="204" t="s">
        <v>1040</v>
      </c>
      <c r="N189" s="204" t="s">
        <v>1041</v>
      </c>
      <c r="O189" s="204"/>
      <c r="P189" s="204" t="s">
        <v>675</v>
      </c>
      <c r="Q189" s="204"/>
      <c r="R189" s="204"/>
      <c r="S189" s="204"/>
      <c r="T189" s="1">
        <f>1+1</f>
        <v>2</v>
      </c>
      <c r="U189" s="2"/>
      <c r="V189" s="1"/>
      <c r="W189" s="1"/>
      <c r="X189" s="204" t="s">
        <v>53</v>
      </c>
      <c r="Y189" s="1">
        <v>1</v>
      </c>
      <c r="Z189" s="2"/>
      <c r="AA189" s="3">
        <f>+Y189+1</f>
        <v>2</v>
      </c>
      <c r="AB189" s="2"/>
      <c r="AC189" s="3">
        <f>+Y189*2</f>
        <v>2</v>
      </c>
      <c r="AD189" s="2"/>
      <c r="AE189" s="115"/>
      <c r="AF189" s="115"/>
      <c r="AG189" s="115">
        <f>4.34/2+29.88+7.08</f>
        <v>39.129999999999995</v>
      </c>
      <c r="AH189" s="115">
        <f>5.06/2+17.24+18.16+1.225/2</f>
        <v>38.542499999999997</v>
      </c>
      <c r="AI189" s="116"/>
      <c r="AJ189" s="117"/>
      <c r="AK189" s="118">
        <v>48.02</v>
      </c>
      <c r="AL189" s="118">
        <f>+(5.06+17.24+18.16+1.225)/AK189</f>
        <v>0.86807580174927101</v>
      </c>
      <c r="AM189" s="118">
        <f>+(AG189+AH189)/AK189</f>
        <v>1.6175031236984585</v>
      </c>
      <c r="AN189" s="157"/>
      <c r="AO189" s="168">
        <f>+((21938+5*17546+8*13161+8*8775)/22*AG189)+(AH189*17546)</f>
        <v>1183455.5359090909</v>
      </c>
      <c r="AP189" s="169">
        <v>14642.24</v>
      </c>
      <c r="AQ189" s="193" t="s">
        <v>1042</v>
      </c>
      <c r="AR189" s="5" t="s">
        <v>1043</v>
      </c>
      <c r="AS189" s="211">
        <v>44518</v>
      </c>
      <c r="AT189" s="211"/>
      <c r="AU189" s="48">
        <v>44496</v>
      </c>
      <c r="AV189" s="8"/>
      <c r="AW189" s="8"/>
      <c r="AX189" s="8"/>
      <c r="AY189" s="8"/>
      <c r="AZ189" s="8"/>
      <c r="BA189" s="8"/>
      <c r="BB189" s="8"/>
      <c r="BC189" s="8"/>
      <c r="BD189" s="8"/>
      <c r="BE189" s="8"/>
      <c r="BF189" s="8"/>
      <c r="BG189" s="9"/>
      <c r="BH189" s="9"/>
      <c r="BI189" s="9"/>
      <c r="BJ189" s="9"/>
      <c r="BK189" s="9"/>
      <c r="BL189" s="9"/>
      <c r="BM189" s="9"/>
      <c r="BN189" s="9"/>
      <c r="BO189" s="9"/>
      <c r="BP189" s="9"/>
      <c r="BQ189" s="9"/>
      <c r="BR189" s="9"/>
      <c r="BS189" s="9"/>
      <c r="BT189" s="9"/>
      <c r="BU189" s="9"/>
      <c r="BV189" s="9"/>
      <c r="IP189" s="9"/>
      <c r="IQ189" s="9"/>
      <c r="IR189" s="9"/>
      <c r="IS189" s="9"/>
      <c r="IT189" s="9"/>
      <c r="IU189" s="9"/>
      <c r="IV189" s="9"/>
    </row>
    <row r="190" spans="1:256" s="10" customFormat="1" ht="38.25">
      <c r="A190" s="274"/>
      <c r="B190" s="90">
        <v>176</v>
      </c>
      <c r="C190" s="193" t="s">
        <v>1044</v>
      </c>
      <c r="D190" s="227">
        <v>44454</v>
      </c>
      <c r="E190" s="1">
        <v>-18110</v>
      </c>
      <c r="F190" s="1">
        <v>50202</v>
      </c>
      <c r="G190" s="1">
        <v>5899</v>
      </c>
      <c r="H190" s="1"/>
      <c r="I190" s="1"/>
      <c r="J190" s="1">
        <v>672</v>
      </c>
      <c r="K190" s="1">
        <v>1</v>
      </c>
      <c r="L190" s="204" t="s">
        <v>130</v>
      </c>
      <c r="M190" s="204" t="s">
        <v>1045</v>
      </c>
      <c r="N190" s="204" t="s">
        <v>1046</v>
      </c>
      <c r="O190" s="204"/>
      <c r="P190" s="204" t="s">
        <v>236</v>
      </c>
      <c r="Q190" s="204"/>
      <c r="R190" s="204"/>
      <c r="S190" s="204"/>
      <c r="T190" s="1">
        <v>1</v>
      </c>
      <c r="U190" s="2"/>
      <c r="V190" s="1"/>
      <c r="W190" s="1"/>
      <c r="X190" s="204" t="s">
        <v>67</v>
      </c>
      <c r="Y190" s="1">
        <v>2</v>
      </c>
      <c r="Z190" s="2"/>
      <c r="AA190" s="3">
        <f>+Y190+1</f>
        <v>3</v>
      </c>
      <c r="AB190" s="2"/>
      <c r="AC190" s="3">
        <f>+Y190*2</f>
        <v>4</v>
      </c>
      <c r="AD190" s="2"/>
      <c r="AE190" s="115"/>
      <c r="AF190" s="115"/>
      <c r="AG190" s="115">
        <f>87.05+12.51/2</f>
        <v>93.304999999999993</v>
      </c>
      <c r="AH190" s="115"/>
      <c r="AI190" s="116"/>
      <c r="AJ190" s="117"/>
      <c r="AK190" s="118">
        <v>3023.75</v>
      </c>
      <c r="AL190" s="118">
        <f>+(87.05+12.51)/AK190</f>
        <v>3.2926002480363786E-2</v>
      </c>
      <c r="AM190" s="118">
        <f>+AG190/AK190</f>
        <v>3.0857379082265397E-2</v>
      </c>
      <c r="AN190" s="157"/>
      <c r="AO190" s="168">
        <f>+(5*21938+6*17546+13161*3+8775*6)/20*AG190</f>
        <v>1432693.6097500001</v>
      </c>
      <c r="AP190" s="169">
        <f>450000+((5*21938+17546*6+3*13161+6*8775)/20*AG190)</f>
        <v>1882693.6097500001</v>
      </c>
      <c r="AQ190" s="193" t="s">
        <v>45</v>
      </c>
      <c r="AR190" s="5" t="s">
        <v>1047</v>
      </c>
      <c r="AS190" s="211">
        <v>44505</v>
      </c>
      <c r="AT190" s="211"/>
      <c r="AU190" s="5" t="s">
        <v>1048</v>
      </c>
      <c r="AV190" s="8"/>
      <c r="AW190" s="8"/>
      <c r="AX190" s="8"/>
      <c r="AY190" s="8"/>
      <c r="AZ190" s="8"/>
      <c r="BA190" s="8"/>
      <c r="BB190" s="8"/>
      <c r="BC190" s="8"/>
      <c r="BD190" s="8"/>
      <c r="BE190" s="8"/>
      <c r="BF190" s="8"/>
      <c r="BG190" s="9"/>
      <c r="BH190" s="9"/>
      <c r="BI190" s="9"/>
      <c r="BJ190" s="9"/>
      <c r="BK190" s="9"/>
      <c r="BL190" s="9"/>
      <c r="BM190" s="9"/>
      <c r="BN190" s="9"/>
      <c r="BO190" s="9"/>
      <c r="BP190" s="9"/>
      <c r="BQ190" s="9"/>
      <c r="BR190" s="9"/>
      <c r="BS190" s="9"/>
      <c r="BT190" s="9"/>
      <c r="BU190" s="9"/>
      <c r="BV190" s="9"/>
      <c r="IP190" s="9"/>
      <c r="IQ190" s="9"/>
      <c r="IR190" s="9"/>
      <c r="IS190" s="9"/>
      <c r="IT190" s="9"/>
      <c r="IU190" s="9"/>
      <c r="IV190" s="9"/>
    </row>
    <row r="191" spans="1:256" s="10" customFormat="1" ht="38.25">
      <c r="A191" s="274"/>
      <c r="B191" s="77">
        <v>181</v>
      </c>
      <c r="C191" s="291">
        <v>535136</v>
      </c>
      <c r="D191" s="227">
        <v>44484</v>
      </c>
      <c r="E191" s="1">
        <v>59513</v>
      </c>
      <c r="F191" s="1">
        <v>167799</v>
      </c>
      <c r="G191" s="1">
        <v>33832</v>
      </c>
      <c r="H191" s="1">
        <v>2</v>
      </c>
      <c r="I191" s="1"/>
      <c r="J191" s="1"/>
      <c r="K191" s="1">
        <v>153</v>
      </c>
      <c r="L191" s="204" t="s">
        <v>293</v>
      </c>
      <c r="M191" s="204" t="s">
        <v>151</v>
      </c>
      <c r="N191" s="204" t="s">
        <v>1049</v>
      </c>
      <c r="O191" s="204"/>
      <c r="P191" s="204" t="s">
        <v>581</v>
      </c>
      <c r="Q191" s="204" t="s">
        <v>581</v>
      </c>
      <c r="R191" s="204" t="s">
        <v>581</v>
      </c>
      <c r="S191" s="204" t="s">
        <v>1050</v>
      </c>
      <c r="T191" s="1"/>
      <c r="U191" s="2">
        <v>1</v>
      </c>
      <c r="V191" s="1"/>
      <c r="W191" s="1"/>
      <c r="X191" s="204" t="s">
        <v>67</v>
      </c>
      <c r="Y191" s="1"/>
      <c r="Z191" s="2">
        <v>2</v>
      </c>
      <c r="AA191" s="3"/>
      <c r="AB191" s="2">
        <f>+Z191+1</f>
        <v>3</v>
      </c>
      <c r="AC191" s="3"/>
      <c r="AD191" s="2">
        <f>+Z191*2</f>
        <v>4</v>
      </c>
      <c r="AE191" s="115"/>
      <c r="AF191" s="115"/>
      <c r="AG191" s="115"/>
      <c r="AH191" s="115"/>
      <c r="AI191" s="116">
        <v>59.68</v>
      </c>
      <c r="AJ191" s="117"/>
      <c r="AK191" s="118">
        <v>993.77</v>
      </c>
      <c r="AL191" s="118">
        <f>+AI191/AK191</f>
        <v>6.0054137275224649E-2</v>
      </c>
      <c r="AM191" s="118">
        <f>+AI191/AK191</f>
        <v>6.0054137275224649E-2</v>
      </c>
      <c r="AN191" s="157">
        <f>+(6+15+12+12)/(3+5+3+2)</f>
        <v>3.4615384615384617</v>
      </c>
      <c r="AO191" s="168">
        <f>+(2*21938+7*17546+9*13161+8775*2)/20*AI191</f>
        <v>903247.848</v>
      </c>
      <c r="AP191" s="169">
        <v>4344.71</v>
      </c>
      <c r="AQ191" s="193" t="s">
        <v>36</v>
      </c>
      <c r="AR191" s="5" t="s">
        <v>1051</v>
      </c>
      <c r="AS191" s="211">
        <v>44511</v>
      </c>
      <c r="AT191" s="211"/>
      <c r="AU191" s="5" t="s">
        <v>1052</v>
      </c>
      <c r="AV191" s="8"/>
      <c r="AW191" s="8"/>
      <c r="AX191" s="8"/>
      <c r="AY191" s="8"/>
      <c r="AZ191" s="8"/>
      <c r="BA191" s="8"/>
      <c r="BB191" s="8"/>
      <c r="BC191" s="8"/>
      <c r="BD191" s="8"/>
      <c r="BE191" s="8"/>
      <c r="BF191" s="8"/>
      <c r="BG191" s="9"/>
      <c r="BH191" s="9"/>
      <c r="BI191" s="9"/>
      <c r="BJ191" s="9"/>
      <c r="BK191" s="9"/>
      <c r="BL191" s="9"/>
      <c r="BM191" s="9"/>
      <c r="BN191" s="9"/>
      <c r="BO191" s="9"/>
      <c r="BP191" s="9"/>
      <c r="BQ191" s="9"/>
      <c r="BR191" s="9"/>
      <c r="BS191" s="9"/>
      <c r="BT191" s="9"/>
      <c r="BU191" s="9"/>
      <c r="BV191" s="9"/>
      <c r="IP191" s="9"/>
      <c r="IQ191" s="9"/>
      <c r="IR191" s="9"/>
      <c r="IS191" s="9"/>
      <c r="IT191" s="9"/>
      <c r="IU191" s="9"/>
      <c r="IV191" s="9"/>
    </row>
    <row r="192" spans="1:256" s="10" customFormat="1" ht="51">
      <c r="A192" s="274"/>
      <c r="B192" s="90">
        <v>185</v>
      </c>
      <c r="C192" s="193">
        <v>535255</v>
      </c>
      <c r="D192" s="227">
        <v>44470</v>
      </c>
      <c r="E192" s="1">
        <v>50929</v>
      </c>
      <c r="F192" s="1">
        <v>160777</v>
      </c>
      <c r="G192" s="1">
        <v>32843</v>
      </c>
      <c r="H192" s="1">
        <v>3</v>
      </c>
      <c r="I192" s="1"/>
      <c r="J192" s="1">
        <v>2</v>
      </c>
      <c r="K192" s="1">
        <v>12</v>
      </c>
      <c r="L192" s="204" t="s">
        <v>293</v>
      </c>
      <c r="M192" s="204" t="s">
        <v>475</v>
      </c>
      <c r="N192" s="204" t="s">
        <v>1053</v>
      </c>
      <c r="O192" s="204"/>
      <c r="P192" s="204" t="s">
        <v>1054</v>
      </c>
      <c r="Q192" s="204" t="s">
        <v>1054</v>
      </c>
      <c r="R192" s="204" t="s">
        <v>1054</v>
      </c>
      <c r="S192" s="204" t="s">
        <v>1055</v>
      </c>
      <c r="T192" s="1"/>
      <c r="U192" s="2"/>
      <c r="V192" s="1">
        <v>1</v>
      </c>
      <c r="W192" s="1"/>
      <c r="X192" s="204" t="s">
        <v>1056</v>
      </c>
      <c r="Y192" s="1">
        <v>2</v>
      </c>
      <c r="Z192" s="2"/>
      <c r="AA192" s="3">
        <f>+Y192+1+1</f>
        <v>4</v>
      </c>
      <c r="AB192" s="2"/>
      <c r="AC192" s="3">
        <f>+Y192*2</f>
        <v>4</v>
      </c>
      <c r="AD192" s="2"/>
      <c r="AE192" s="115">
        <f>+  158+67/2</f>
        <v>191.5</v>
      </c>
      <c r="AF192" s="115"/>
      <c r="AG192" s="115"/>
      <c r="AH192" s="115"/>
      <c r="AI192" s="116"/>
      <c r="AJ192" s="117"/>
      <c r="AK192" s="118">
        <v>800</v>
      </c>
      <c r="AL192" s="115">
        <f>+(158+67)/AK192</f>
        <v>0.28125</v>
      </c>
      <c r="AM192" s="118">
        <f>+AE192/AK192</f>
        <v>0.239375</v>
      </c>
      <c r="AN192" s="157"/>
      <c r="AO192" s="168">
        <f>19203*(6.95*2.9)</f>
        <v>387036.46500000003</v>
      </c>
      <c r="AP192" s="169">
        <v>45704.45</v>
      </c>
      <c r="AQ192" s="193" t="s">
        <v>36</v>
      </c>
      <c r="AR192" s="5" t="s">
        <v>1057</v>
      </c>
      <c r="AS192" s="211">
        <v>44515</v>
      </c>
      <c r="AT192" s="211"/>
      <c r="AU192" s="5" t="s">
        <v>1058</v>
      </c>
      <c r="AV192" s="8"/>
      <c r="AW192" s="8"/>
      <c r="AX192" s="8"/>
      <c r="AY192" s="8"/>
      <c r="AZ192" s="8"/>
      <c r="BA192" s="8"/>
      <c r="BB192" s="8"/>
      <c r="BC192" s="8"/>
      <c r="BD192" s="8"/>
      <c r="BE192" s="8"/>
      <c r="BF192" s="8"/>
      <c r="BG192" s="9"/>
      <c r="BH192" s="9"/>
      <c r="BI192" s="9"/>
      <c r="BJ192" s="9"/>
      <c r="BK192" s="9"/>
      <c r="BL192" s="9"/>
      <c r="BM192" s="9"/>
      <c r="BN192" s="9"/>
      <c r="BO192" s="9"/>
      <c r="BP192" s="9"/>
      <c r="BQ192" s="9"/>
      <c r="BR192" s="9"/>
      <c r="BS192" s="9"/>
      <c r="BT192" s="9"/>
      <c r="BU192" s="9"/>
      <c r="BV192" s="9"/>
      <c r="IP192" s="9"/>
      <c r="IQ192" s="9"/>
      <c r="IR192" s="9"/>
      <c r="IS192" s="9"/>
      <c r="IT192" s="9"/>
      <c r="IU192" s="9"/>
      <c r="IV192" s="9"/>
    </row>
    <row r="193" spans="1:256" s="10" customFormat="1" ht="63.75">
      <c r="A193" s="274"/>
      <c r="B193" s="96">
        <v>189</v>
      </c>
      <c r="C193" s="298">
        <v>534555</v>
      </c>
      <c r="D193" s="240">
        <v>44463</v>
      </c>
      <c r="E193" s="1">
        <v>59553</v>
      </c>
      <c r="F193" s="1">
        <v>167833</v>
      </c>
      <c r="G193" s="1">
        <v>21416</v>
      </c>
      <c r="H193" s="1">
        <v>27</v>
      </c>
      <c r="I193" s="1"/>
      <c r="J193" s="1">
        <v>338</v>
      </c>
      <c r="K193" s="1">
        <v>18</v>
      </c>
      <c r="L193" s="204" t="s">
        <v>39</v>
      </c>
      <c r="M193" s="204" t="s">
        <v>1059</v>
      </c>
      <c r="N193" s="204" t="s">
        <v>1060</v>
      </c>
      <c r="O193" s="204"/>
      <c r="P193" s="204" t="s">
        <v>332</v>
      </c>
      <c r="Q193" s="204" t="s">
        <v>332</v>
      </c>
      <c r="R193" s="204" t="s">
        <v>332</v>
      </c>
      <c r="S193" s="204" t="s">
        <v>333</v>
      </c>
      <c r="T193" s="1"/>
      <c r="U193" s="2">
        <v>1</v>
      </c>
      <c r="V193" s="1"/>
      <c r="W193" s="1"/>
      <c r="X193" s="204" t="s">
        <v>67</v>
      </c>
      <c r="Y193" s="1"/>
      <c r="Z193" s="2">
        <v>2</v>
      </c>
      <c r="AA193" s="3"/>
      <c r="AB193" s="2">
        <f>+Z193+1</f>
        <v>3</v>
      </c>
      <c r="AC193" s="3"/>
      <c r="AD193" s="2">
        <f>+Z193*2</f>
        <v>4</v>
      </c>
      <c r="AE193" s="115"/>
      <c r="AF193" s="115"/>
      <c r="AG193" s="115"/>
      <c r="AH193" s="127"/>
      <c r="AI193" s="128">
        <f>89.85+31.8/2</f>
        <v>105.75</v>
      </c>
      <c r="AJ193" s="128"/>
      <c r="AK193" s="127">
        <v>309</v>
      </c>
      <c r="AL193" s="127">
        <f>+(89.85+31.8)/AK193</f>
        <v>0.39368932038834947</v>
      </c>
      <c r="AM193" s="127">
        <f>+AI193/AK193</f>
        <v>0.34223300970873788</v>
      </c>
      <c r="AN193" s="161"/>
      <c r="AO193" s="175">
        <f>19203*((0.8*2+2.9)*(0.8+1.6+6.95))</f>
        <v>807966.22500000009</v>
      </c>
      <c r="AP193" s="176">
        <v>29441.58</v>
      </c>
      <c r="AQ193" s="196" t="s">
        <v>36</v>
      </c>
      <c r="AR193" s="5" t="s">
        <v>1061</v>
      </c>
      <c r="AS193" s="216">
        <v>44515</v>
      </c>
      <c r="AT193" s="217"/>
      <c r="AU193" s="58" t="s">
        <v>1062</v>
      </c>
      <c r="AV193" s="30"/>
      <c r="AW193" s="30"/>
      <c r="AX193" s="30"/>
      <c r="AY193" s="30"/>
      <c r="AZ193" s="30"/>
      <c r="BA193" s="30"/>
      <c r="BB193" s="30"/>
      <c r="BC193" s="30"/>
      <c r="BD193" s="30"/>
      <c r="BE193" s="9"/>
      <c r="BF193" s="9"/>
      <c r="BG193" s="9"/>
      <c r="BH193" s="9"/>
      <c r="BI193" s="9"/>
      <c r="BJ193" s="9"/>
      <c r="BK193" s="9"/>
      <c r="BL193" s="9"/>
      <c r="BM193" s="9"/>
      <c r="BN193" s="9"/>
      <c r="BO193" s="9"/>
      <c r="BP193" s="9"/>
      <c r="BQ193" s="9"/>
      <c r="BR193" s="9"/>
      <c r="BS193" s="9"/>
      <c r="BT193" s="9"/>
      <c r="IN193" s="9"/>
      <c r="IO193" s="9"/>
      <c r="IP193" s="9"/>
      <c r="IQ193" s="9"/>
      <c r="IR193" s="9"/>
      <c r="IS193" s="9"/>
      <c r="IT193" s="9"/>
      <c r="IU193" s="9"/>
      <c r="IV193" s="9"/>
    </row>
    <row r="194" spans="1:256" s="10" customFormat="1" ht="76.5">
      <c r="A194" s="274"/>
      <c r="B194" s="90">
        <v>191</v>
      </c>
      <c r="C194" s="193">
        <v>533740</v>
      </c>
      <c r="D194" s="227">
        <v>44435</v>
      </c>
      <c r="E194" s="1">
        <v>46676</v>
      </c>
      <c r="F194" s="1">
        <v>149698</v>
      </c>
      <c r="G194" s="1">
        <v>32300</v>
      </c>
      <c r="H194" s="1">
        <v>330</v>
      </c>
      <c r="I194" s="1"/>
      <c r="J194" s="1"/>
      <c r="K194" s="1">
        <v>21</v>
      </c>
      <c r="L194" s="204" t="s">
        <v>1063</v>
      </c>
      <c r="M194" s="204" t="s">
        <v>1064</v>
      </c>
      <c r="N194" s="204" t="s">
        <v>1065</v>
      </c>
      <c r="O194" s="204"/>
      <c r="P194" s="204" t="s">
        <v>1066</v>
      </c>
      <c r="Q194" s="204"/>
      <c r="R194" s="204"/>
      <c r="S194" s="204"/>
      <c r="T194" s="1">
        <f>2+2</f>
        <v>4</v>
      </c>
      <c r="U194" s="2"/>
      <c r="V194" s="1"/>
      <c r="W194" s="1"/>
      <c r="X194" s="204" t="s">
        <v>44</v>
      </c>
      <c r="Y194" s="1">
        <f>1+1+1+1</f>
        <v>4</v>
      </c>
      <c r="Z194" s="2"/>
      <c r="AA194" s="3">
        <f>+Y194+1+1+1+1+1</f>
        <v>9</v>
      </c>
      <c r="AB194" s="2"/>
      <c r="AC194" s="3">
        <f>+Y194*2</f>
        <v>8</v>
      </c>
      <c r="AD194" s="2"/>
      <c r="AE194" s="115"/>
      <c r="AF194" s="115"/>
      <c r="AG194" s="115">
        <f>221.8+44.69/2</f>
        <v>244.14500000000001</v>
      </c>
      <c r="AH194" s="115"/>
      <c r="AI194" s="116"/>
      <c r="AJ194" s="117"/>
      <c r="AK194" s="118">
        <v>4634.8</v>
      </c>
      <c r="AL194" s="118">
        <f>+(221.33+44.69)/AK194</f>
        <v>5.7396219901613872E-2</v>
      </c>
      <c r="AM194" s="118">
        <f>+AG194/AK194</f>
        <v>5.2676490894968502E-2</v>
      </c>
      <c r="AN194" s="157"/>
      <c r="AO194" s="168">
        <f>+(8*17546+7*13161+5*8775)/20*AG194</f>
        <v>3373717.6825000001</v>
      </c>
      <c r="AP194" s="169">
        <v>128086.12</v>
      </c>
      <c r="AQ194" s="193" t="s">
        <v>45</v>
      </c>
      <c r="AR194" s="5" t="s">
        <v>1067</v>
      </c>
      <c r="AS194" s="211">
        <v>44524</v>
      </c>
      <c r="AT194" s="211"/>
      <c r="AU194" s="48" t="s">
        <v>1068</v>
      </c>
      <c r="AV194" s="8"/>
      <c r="AW194" s="8"/>
      <c r="AX194" s="8"/>
      <c r="AY194" s="8"/>
      <c r="AZ194" s="8"/>
      <c r="BA194" s="8"/>
      <c r="BB194" s="8"/>
      <c r="BC194" s="8"/>
      <c r="BD194" s="8"/>
      <c r="BE194" s="8"/>
      <c r="BF194" s="8"/>
      <c r="BG194" s="9"/>
      <c r="BH194" s="9"/>
      <c r="BI194" s="9"/>
      <c r="BJ194" s="9"/>
      <c r="BK194" s="9"/>
      <c r="BL194" s="9"/>
      <c r="BM194" s="9"/>
      <c r="BN194" s="9"/>
      <c r="BO194" s="9"/>
      <c r="BP194" s="9"/>
      <c r="BQ194" s="9"/>
      <c r="BR194" s="9"/>
      <c r="BS194" s="9"/>
      <c r="BT194" s="9"/>
      <c r="BU194" s="9"/>
      <c r="BV194" s="9"/>
      <c r="IP194" s="9"/>
      <c r="IQ194" s="9"/>
      <c r="IR194" s="9"/>
      <c r="IS194" s="9"/>
      <c r="IT194" s="9"/>
      <c r="IU194" s="9"/>
      <c r="IV194" s="9"/>
    </row>
    <row r="195" spans="1:256" s="10" customFormat="1" ht="63.75">
      <c r="A195" s="274"/>
      <c r="B195" s="90">
        <v>184</v>
      </c>
      <c r="C195" s="193">
        <v>533748</v>
      </c>
      <c r="D195" s="227">
        <v>44435</v>
      </c>
      <c r="E195" s="1">
        <v>-39704</v>
      </c>
      <c r="F195" s="1">
        <v>138407</v>
      </c>
      <c r="G195" s="1">
        <v>31612</v>
      </c>
      <c r="H195" s="1">
        <v>3</v>
      </c>
      <c r="I195" s="1"/>
      <c r="J195" s="1">
        <v>3</v>
      </c>
      <c r="K195" s="1">
        <v>8</v>
      </c>
      <c r="L195" s="204" t="s">
        <v>1069</v>
      </c>
      <c r="M195" s="204" t="s">
        <v>1070</v>
      </c>
      <c r="N195" s="204" t="s">
        <v>1071</v>
      </c>
      <c r="O195" s="204"/>
      <c r="P195" s="204" t="s">
        <v>388</v>
      </c>
      <c r="Q195" s="204" t="s">
        <v>388</v>
      </c>
      <c r="R195" s="204" t="s">
        <v>388</v>
      </c>
      <c r="S195" s="204" t="s">
        <v>1072</v>
      </c>
      <c r="T195" s="1"/>
      <c r="U195" s="2">
        <v>1</v>
      </c>
      <c r="V195" s="1"/>
      <c r="W195" s="1"/>
      <c r="X195" s="204" t="s">
        <v>67</v>
      </c>
      <c r="Y195" s="1"/>
      <c r="Z195" s="2">
        <v>2</v>
      </c>
      <c r="AA195" s="3"/>
      <c r="AB195" s="2">
        <f>+Z195+1+1</f>
        <v>4</v>
      </c>
      <c r="AC195" s="3"/>
      <c r="AD195" s="2">
        <f>+Z195*2</f>
        <v>4</v>
      </c>
      <c r="AE195" s="115"/>
      <c r="AF195" s="115"/>
      <c r="AG195" s="115"/>
      <c r="AH195" s="115"/>
      <c r="AI195" s="116">
        <f>112.5+42.98/2</f>
        <v>133.99</v>
      </c>
      <c r="AJ195" s="117"/>
      <c r="AK195" s="118">
        <v>801.7</v>
      </c>
      <c r="AL195" s="118">
        <f>+(112.5+42.98)/AK195</f>
        <v>0.19393788200074838</v>
      </c>
      <c r="AM195" s="118">
        <f>+AI195/AK195</f>
        <v>0.16713234376948985</v>
      </c>
      <c r="AN195" s="157"/>
      <c r="AO195" s="168">
        <f>+(12*21938+5*17546+13161*3+8775)/21*AI195</f>
        <v>2547366.8361904761</v>
      </c>
      <c r="AP195" s="169">
        <v>10552.31</v>
      </c>
      <c r="AQ195" s="193" t="s">
        <v>36</v>
      </c>
      <c r="AR195" s="5" t="s">
        <v>1073</v>
      </c>
      <c r="AS195" s="211"/>
      <c r="AT195" s="211"/>
      <c r="AU195" s="48" t="s">
        <v>1074</v>
      </c>
      <c r="AV195" s="8"/>
      <c r="AW195" s="8"/>
      <c r="AX195" s="8"/>
      <c r="AY195" s="8"/>
      <c r="AZ195" s="8"/>
      <c r="BA195" s="8"/>
      <c r="BB195" s="8"/>
      <c r="BC195" s="8"/>
      <c r="BD195" s="8"/>
      <c r="BE195" s="8"/>
      <c r="BF195" s="8"/>
      <c r="BG195" s="9"/>
      <c r="BH195" s="9"/>
      <c r="BI195" s="9"/>
      <c r="BJ195" s="9"/>
      <c r="BK195" s="9"/>
      <c r="BL195" s="9"/>
      <c r="BM195" s="9"/>
      <c r="BN195" s="9"/>
      <c r="BO195" s="9"/>
      <c r="BP195" s="9"/>
      <c r="BQ195" s="9"/>
      <c r="BR195" s="9"/>
      <c r="BS195" s="9"/>
      <c r="BT195" s="9"/>
      <c r="BU195" s="9"/>
      <c r="BV195" s="9"/>
      <c r="IP195" s="9"/>
      <c r="IQ195" s="9"/>
      <c r="IR195" s="9"/>
      <c r="IS195" s="9"/>
      <c r="IT195" s="9"/>
      <c r="IU195" s="9"/>
      <c r="IV195" s="9"/>
    </row>
    <row r="196" spans="1:256" s="10" customFormat="1" ht="76.5">
      <c r="A196" s="272"/>
      <c r="B196" s="97">
        <v>199</v>
      </c>
      <c r="C196" s="294">
        <v>536712</v>
      </c>
      <c r="D196" s="227">
        <v>44501</v>
      </c>
      <c r="E196" s="1">
        <v>17446</v>
      </c>
      <c r="F196" s="1">
        <v>107752</v>
      </c>
      <c r="G196" s="1">
        <v>1174</v>
      </c>
      <c r="H196" s="1"/>
      <c r="I196" s="1"/>
      <c r="J196" s="1">
        <v>183</v>
      </c>
      <c r="K196" s="1">
        <v>5</v>
      </c>
      <c r="L196" s="204" t="s">
        <v>81</v>
      </c>
      <c r="M196" s="204" t="s">
        <v>1075</v>
      </c>
      <c r="N196" s="204" t="s">
        <v>1076</v>
      </c>
      <c r="O196" s="204"/>
      <c r="P196" s="204" t="s">
        <v>460</v>
      </c>
      <c r="Q196" s="204"/>
      <c r="R196" s="204"/>
      <c r="S196" s="204"/>
      <c r="T196" s="1">
        <v>2</v>
      </c>
      <c r="U196" s="2"/>
      <c r="V196" s="1"/>
      <c r="W196" s="1"/>
      <c r="X196" s="204" t="s">
        <v>44</v>
      </c>
      <c r="Y196" s="1">
        <f>2+2</f>
        <v>4</v>
      </c>
      <c r="Z196" s="2"/>
      <c r="AA196" s="3">
        <f>+Y196</f>
        <v>4</v>
      </c>
      <c r="AB196" s="2"/>
      <c r="AC196" s="3">
        <f>+Y196*2</f>
        <v>8</v>
      </c>
      <c r="AD196" s="2"/>
      <c r="AE196" s="115"/>
      <c r="AF196" s="115"/>
      <c r="AG196" s="115">
        <f>39.03+39.03</f>
        <v>78.06</v>
      </c>
      <c r="AH196" s="115"/>
      <c r="AI196" s="116"/>
      <c r="AJ196" s="117"/>
      <c r="AK196" s="118">
        <v>279</v>
      </c>
      <c r="AL196" s="118">
        <f>+(39.03/AK196)</f>
        <v>0.13989247311827957</v>
      </c>
      <c r="AM196" s="118">
        <f>+AG196/AK196</f>
        <v>0.27978494623655914</v>
      </c>
      <c r="AN196" s="157"/>
      <c r="AO196" s="168">
        <f>+(9*17546+13161*7+3*8775)/19*AG196</f>
        <v>1135427.892631579</v>
      </c>
      <c r="AP196" s="169">
        <v>16160.55</v>
      </c>
      <c r="AQ196" s="193" t="s">
        <v>36</v>
      </c>
      <c r="AR196" s="5" t="s">
        <v>1077</v>
      </c>
      <c r="AS196" s="211">
        <v>44533</v>
      </c>
      <c r="AT196" s="211"/>
      <c r="AU196" s="28" t="s">
        <v>1078</v>
      </c>
      <c r="AV196" s="8"/>
      <c r="AW196" s="8"/>
      <c r="AX196" s="8"/>
      <c r="AY196" s="8"/>
      <c r="AZ196" s="8"/>
      <c r="BA196" s="8"/>
      <c r="BB196" s="8"/>
      <c r="BC196" s="8"/>
      <c r="BD196" s="8"/>
      <c r="BE196" s="8"/>
      <c r="BF196" s="8"/>
      <c r="BG196" s="9"/>
      <c r="BH196" s="9"/>
      <c r="BI196" s="9"/>
      <c r="BJ196" s="9"/>
      <c r="BK196" s="9"/>
      <c r="BL196" s="9"/>
      <c r="BM196" s="9"/>
      <c r="BN196" s="9"/>
      <c r="BO196" s="9"/>
      <c r="BP196" s="9"/>
      <c r="BQ196" s="9"/>
      <c r="BR196" s="9"/>
      <c r="BS196" s="9"/>
      <c r="BT196" s="9"/>
      <c r="BU196" s="9"/>
      <c r="BV196" s="9"/>
      <c r="IP196" s="9"/>
      <c r="IQ196" s="9"/>
      <c r="IR196" s="9"/>
      <c r="IS196" s="9"/>
      <c r="IT196" s="9"/>
      <c r="IU196" s="9"/>
      <c r="IV196" s="9"/>
    </row>
    <row r="197" spans="1:256" s="10" customFormat="1" ht="63.75">
      <c r="A197" s="272"/>
      <c r="B197" s="96">
        <v>182</v>
      </c>
      <c r="C197" s="298" t="s">
        <v>1079</v>
      </c>
      <c r="D197" s="234">
        <v>44469</v>
      </c>
      <c r="E197" s="1">
        <v>-1</v>
      </c>
      <c r="F197" s="1">
        <v>167899</v>
      </c>
      <c r="G197" s="1">
        <v>33840</v>
      </c>
      <c r="H197" s="1">
        <v>327</v>
      </c>
      <c r="I197" s="1"/>
      <c r="J197" s="1">
        <v>6</v>
      </c>
      <c r="K197" s="1">
        <v>5</v>
      </c>
      <c r="L197" s="204" t="s">
        <v>39</v>
      </c>
      <c r="M197" s="204" t="s">
        <v>1080</v>
      </c>
      <c r="N197" s="204" t="s">
        <v>1081</v>
      </c>
      <c r="O197" s="204"/>
      <c r="P197" s="204" t="s">
        <v>1082</v>
      </c>
      <c r="Q197" s="204" t="s">
        <v>1082</v>
      </c>
      <c r="R197" s="204" t="s">
        <v>1082</v>
      </c>
      <c r="S197" s="204" t="s">
        <v>977</v>
      </c>
      <c r="T197" s="1"/>
      <c r="U197" s="2">
        <v>1</v>
      </c>
      <c r="V197" s="1"/>
      <c r="W197" s="1"/>
      <c r="X197" s="204" t="s">
        <v>67</v>
      </c>
      <c r="Y197" s="1"/>
      <c r="Z197" s="2">
        <v>2</v>
      </c>
      <c r="AA197" s="3"/>
      <c r="AB197" s="2">
        <f>+Z197+1</f>
        <v>3</v>
      </c>
      <c r="AC197" s="3"/>
      <c r="AD197" s="2">
        <f>+Z197*2</f>
        <v>4</v>
      </c>
      <c r="AE197" s="115"/>
      <c r="AF197" s="115"/>
      <c r="AG197" s="115"/>
      <c r="AH197" s="127"/>
      <c r="AI197" s="128">
        <f>53+3.08/2</f>
        <v>54.54</v>
      </c>
      <c r="AJ197" s="128"/>
      <c r="AK197" s="127">
        <v>324.10000000000002</v>
      </c>
      <c r="AL197" s="127">
        <f>+(53+3.08)/AK197</f>
        <v>0.173033014501697</v>
      </c>
      <c r="AM197" s="127">
        <f>+AI197/AK197</f>
        <v>0.16828139463128663</v>
      </c>
      <c r="AN197" s="161">
        <f>+(6+24+24)/(2+6+12)</f>
        <v>2.7</v>
      </c>
      <c r="AO197" s="175">
        <f>+(21938*2+3*17546+13161*6+8775*9)/20*AI197</f>
        <v>693898.78500000003</v>
      </c>
      <c r="AP197" s="176">
        <v>11540.75</v>
      </c>
      <c r="AQ197" s="196" t="s">
        <v>36</v>
      </c>
      <c r="AR197" s="6" t="s">
        <v>1083</v>
      </c>
      <c r="AS197" s="216">
        <v>44511</v>
      </c>
      <c r="AT197" s="217">
        <v>44685</v>
      </c>
      <c r="AU197" s="59" t="s">
        <v>1084</v>
      </c>
      <c r="AV197" s="30"/>
      <c r="AW197" s="30"/>
      <c r="AX197" s="30"/>
      <c r="AY197" s="30"/>
      <c r="AZ197" s="30"/>
      <c r="BA197" s="30"/>
      <c r="BB197" s="30"/>
      <c r="BC197" s="30"/>
      <c r="BD197" s="30"/>
      <c r="BE197" s="9"/>
      <c r="BF197" s="9"/>
      <c r="BG197" s="9"/>
      <c r="BH197" s="9"/>
      <c r="BI197" s="9"/>
      <c r="BJ197" s="9"/>
      <c r="BK197" s="9"/>
      <c r="BL197" s="9"/>
      <c r="BM197" s="9"/>
      <c r="BN197" s="9"/>
      <c r="BO197" s="9"/>
      <c r="BP197" s="9"/>
      <c r="BQ197" s="9"/>
      <c r="BR197" s="9"/>
      <c r="BS197" s="9"/>
      <c r="BT197" s="9"/>
      <c r="IN197" s="9"/>
      <c r="IO197" s="9"/>
      <c r="IP197" s="9"/>
      <c r="IQ197" s="9"/>
      <c r="IR197" s="9"/>
      <c r="IS197" s="9"/>
      <c r="IT197" s="9"/>
      <c r="IU197" s="9"/>
      <c r="IV197" s="9"/>
    </row>
    <row r="198" spans="1:256" s="10" customFormat="1" ht="76.5">
      <c r="A198" s="274"/>
      <c r="B198" s="77">
        <v>198</v>
      </c>
      <c r="C198" s="291">
        <v>535590</v>
      </c>
      <c r="D198" s="227">
        <v>44495</v>
      </c>
      <c r="E198" s="1">
        <v>52835</v>
      </c>
      <c r="F198" s="1">
        <v>162482</v>
      </c>
      <c r="G198" s="1">
        <v>9819</v>
      </c>
      <c r="H198" s="1"/>
      <c r="I198" s="1"/>
      <c r="J198" s="1">
        <v>37</v>
      </c>
      <c r="K198" s="1">
        <v>19</v>
      </c>
      <c r="L198" s="204" t="s">
        <v>1085</v>
      </c>
      <c r="M198" s="204" t="s">
        <v>1086</v>
      </c>
      <c r="N198" s="204" t="s">
        <v>1087</v>
      </c>
      <c r="O198" s="204"/>
      <c r="P198" s="204" t="s">
        <v>617</v>
      </c>
      <c r="Q198" s="204"/>
      <c r="R198" s="204"/>
      <c r="S198" s="204"/>
      <c r="T198" s="1">
        <v>1</v>
      </c>
      <c r="U198" s="2"/>
      <c r="V198" s="1"/>
      <c r="W198" s="1"/>
      <c r="X198" s="204" t="s">
        <v>67</v>
      </c>
      <c r="Y198" s="1">
        <v>5</v>
      </c>
      <c r="Z198" s="2"/>
      <c r="AA198" s="3">
        <f>+Y198+1+1</f>
        <v>7</v>
      </c>
      <c r="AB198" s="2"/>
      <c r="AC198" s="3">
        <f>+Y198*2</f>
        <v>10</v>
      </c>
      <c r="AD198" s="2"/>
      <c r="AE198" s="115">
        <v>134.9</v>
      </c>
      <c r="AF198" s="115"/>
      <c r="AG198" s="115">
        <f>46.6+8.2/2</f>
        <v>50.7</v>
      </c>
      <c r="AH198" s="115"/>
      <c r="AI198" s="116"/>
      <c r="AJ198" s="117"/>
      <c r="AK198" s="118">
        <v>350.38</v>
      </c>
      <c r="AL198" s="118">
        <f>+(46.6+8.2+134.9)/AK198</f>
        <v>0.54141218106056277</v>
      </c>
      <c r="AM198" s="118">
        <f>+(AE198+AG198)/AK198</f>
        <v>0.52971059992008684</v>
      </c>
      <c r="AN198" s="157"/>
      <c r="AO198" s="168">
        <v>259076</v>
      </c>
      <c r="AP198" s="169">
        <v>10007.86</v>
      </c>
      <c r="AQ198" s="193" t="s">
        <v>36</v>
      </c>
      <c r="AR198" s="5" t="s">
        <v>1088</v>
      </c>
      <c r="AS198" s="211">
        <v>44532</v>
      </c>
      <c r="AT198" s="211"/>
      <c r="AU198" s="5" t="s">
        <v>1089</v>
      </c>
      <c r="AV198" s="8"/>
      <c r="AW198" s="8"/>
      <c r="AX198" s="8"/>
      <c r="AY198" s="8"/>
      <c r="AZ198" s="8"/>
      <c r="BA198" s="8"/>
      <c r="BB198" s="8"/>
      <c r="BC198" s="8"/>
      <c r="BD198" s="8"/>
      <c r="BE198" s="8"/>
      <c r="BF198" s="8"/>
      <c r="BG198" s="9"/>
      <c r="BH198" s="9"/>
      <c r="BI198" s="9"/>
      <c r="BJ198" s="9"/>
      <c r="BK198" s="9"/>
      <c r="BL198" s="9"/>
      <c r="BM198" s="9"/>
      <c r="BN198" s="9"/>
      <c r="BO198" s="9"/>
      <c r="BP198" s="9"/>
      <c r="BQ198" s="9"/>
      <c r="BR198" s="9"/>
      <c r="BS198" s="9"/>
      <c r="BT198" s="9"/>
      <c r="BU198" s="9"/>
      <c r="BV198" s="9"/>
      <c r="IP198" s="9"/>
      <c r="IQ198" s="9"/>
      <c r="IR198" s="9"/>
      <c r="IS198" s="9"/>
      <c r="IT198" s="9"/>
      <c r="IU198" s="9"/>
      <c r="IV198" s="9"/>
    </row>
    <row r="199" spans="1:256" s="10" customFormat="1" ht="51">
      <c r="A199" s="274"/>
      <c r="B199" s="77">
        <v>201</v>
      </c>
      <c r="C199" s="291">
        <v>535151</v>
      </c>
      <c r="D199" s="227">
        <v>44484</v>
      </c>
      <c r="E199" s="1">
        <v>52733</v>
      </c>
      <c r="F199" s="1">
        <v>162246</v>
      </c>
      <c r="G199" s="1">
        <v>33113</v>
      </c>
      <c r="H199" s="1">
        <v>204</v>
      </c>
      <c r="I199" s="1"/>
      <c r="J199" s="1"/>
      <c r="K199" s="1">
        <v>10</v>
      </c>
      <c r="L199" s="204" t="s">
        <v>1090</v>
      </c>
      <c r="M199" s="204" t="s">
        <v>1091</v>
      </c>
      <c r="N199" s="204" t="s">
        <v>1092</v>
      </c>
      <c r="O199" s="204"/>
      <c r="P199" s="204" t="s">
        <v>1093</v>
      </c>
      <c r="Q199" s="204"/>
      <c r="R199" s="204"/>
      <c r="S199" s="204"/>
      <c r="T199" s="1">
        <v>1</v>
      </c>
      <c r="U199" s="2"/>
      <c r="V199" s="1"/>
      <c r="W199" s="1"/>
      <c r="X199" s="204" t="s">
        <v>162</v>
      </c>
      <c r="Y199" s="1"/>
      <c r="Z199" s="2"/>
      <c r="AA199" s="3"/>
      <c r="AB199" s="2"/>
      <c r="AC199" s="3"/>
      <c r="AD199" s="2"/>
      <c r="AE199" s="115"/>
      <c r="AF199" s="115"/>
      <c r="AG199" s="115">
        <v>300</v>
      </c>
      <c r="AH199" s="115"/>
      <c r="AI199" s="116"/>
      <c r="AJ199" s="117"/>
      <c r="AK199" s="118">
        <v>15483</v>
      </c>
      <c r="AL199" s="118">
        <f>+AG199/AK199</f>
        <v>1.937608990505716E-2</v>
      </c>
      <c r="AM199" s="118">
        <f>+AG199/AK199</f>
        <v>1.937608990505716E-2</v>
      </c>
      <c r="AN199" s="157"/>
      <c r="AO199" s="168">
        <v>4320000</v>
      </c>
      <c r="AP199" s="169">
        <v>63148</v>
      </c>
      <c r="AQ199" s="193" t="s">
        <v>36</v>
      </c>
      <c r="AR199" s="5" t="s">
        <v>1094</v>
      </c>
      <c r="AS199" s="211">
        <v>44536</v>
      </c>
      <c r="AT199" s="211"/>
      <c r="AU199" s="5" t="s">
        <v>1052</v>
      </c>
      <c r="AV199" s="8"/>
      <c r="AW199" s="8"/>
      <c r="AX199" s="8"/>
      <c r="AY199" s="8"/>
      <c r="AZ199" s="8"/>
      <c r="BA199" s="8"/>
      <c r="BB199" s="8"/>
      <c r="BC199" s="8"/>
      <c r="BD199" s="8"/>
      <c r="BE199" s="8"/>
      <c r="BF199" s="8"/>
      <c r="BG199" s="9"/>
      <c r="BH199" s="9"/>
      <c r="BI199" s="9"/>
      <c r="BJ199" s="9"/>
      <c r="BK199" s="9"/>
      <c r="BL199" s="9"/>
      <c r="BM199" s="9"/>
      <c r="BN199" s="9"/>
      <c r="BO199" s="9"/>
      <c r="BP199" s="9"/>
      <c r="BQ199" s="9"/>
      <c r="BR199" s="9"/>
      <c r="BS199" s="9"/>
      <c r="BT199" s="9"/>
      <c r="BU199" s="9"/>
      <c r="BV199" s="9"/>
      <c r="IP199" s="9"/>
      <c r="IQ199" s="9"/>
      <c r="IR199" s="9"/>
      <c r="IS199" s="9"/>
      <c r="IT199" s="9"/>
      <c r="IU199" s="9"/>
      <c r="IV199" s="9"/>
    </row>
    <row r="200" spans="1:256" s="10" customFormat="1" ht="102">
      <c r="A200" s="274"/>
      <c r="B200" s="77">
        <v>200</v>
      </c>
      <c r="C200" s="291">
        <v>534987</v>
      </c>
      <c r="D200" s="227">
        <v>44481</v>
      </c>
      <c r="E200" s="1">
        <v>40654</v>
      </c>
      <c r="F200" s="1">
        <v>139134</v>
      </c>
      <c r="G200" s="1">
        <v>8414</v>
      </c>
      <c r="H200" s="1"/>
      <c r="I200" s="1"/>
      <c r="J200" s="1">
        <v>709</v>
      </c>
      <c r="K200" s="1">
        <v>19</v>
      </c>
      <c r="L200" s="204"/>
      <c r="M200" s="204" t="s">
        <v>1095</v>
      </c>
      <c r="N200" s="204" t="s">
        <v>1096</v>
      </c>
      <c r="O200" s="204"/>
      <c r="P200" s="204" t="s">
        <v>1097</v>
      </c>
      <c r="Q200" s="204"/>
      <c r="R200" s="204"/>
      <c r="S200" s="204"/>
      <c r="T200" s="1">
        <v>2</v>
      </c>
      <c r="U200" s="2"/>
      <c r="V200" s="1"/>
      <c r="W200" s="1"/>
      <c r="X200" s="204" t="s">
        <v>44</v>
      </c>
      <c r="Y200" s="1">
        <f>1+2</f>
        <v>3</v>
      </c>
      <c r="Z200" s="2"/>
      <c r="AA200" s="3">
        <f>1+1+Y200</f>
        <v>5</v>
      </c>
      <c r="AB200" s="2"/>
      <c r="AC200" s="3">
        <f>+Y200*2</f>
        <v>6</v>
      </c>
      <c r="AD200" s="2"/>
      <c r="AE200" s="115"/>
      <c r="AF200" s="115"/>
      <c r="AG200" s="115">
        <f>+(145.65+15.05/2)</f>
        <v>153.17500000000001</v>
      </c>
      <c r="AH200" s="115"/>
      <c r="AI200" s="116"/>
      <c r="AJ200" s="117"/>
      <c r="AK200" s="118">
        <v>201.36</v>
      </c>
      <c r="AL200" s="118">
        <f>+(145.65+15.05)/AK200</f>
        <v>0.79807310290027811</v>
      </c>
      <c r="AM200" s="118">
        <f>+AG200/AK200</f>
        <v>0.76070222487087802</v>
      </c>
      <c r="AN200" s="157"/>
      <c r="AO200" s="168">
        <f>+(7*21938+17546*4+13161*9+3*8775)/23*AG200</f>
        <v>2454289.7260869564</v>
      </c>
      <c r="AP200" s="169">
        <v>36293.49</v>
      </c>
      <c r="AQ200" s="193" t="s">
        <v>107</v>
      </c>
      <c r="AR200" s="5" t="s">
        <v>1098</v>
      </c>
      <c r="AS200" s="211">
        <v>44533</v>
      </c>
      <c r="AT200" s="211"/>
      <c r="AU200" s="5" t="s">
        <v>1099</v>
      </c>
      <c r="AV200" s="8"/>
      <c r="AW200" s="8"/>
      <c r="AX200" s="8"/>
      <c r="AY200" s="8"/>
      <c r="AZ200" s="8"/>
      <c r="BA200" s="8"/>
      <c r="BB200" s="8"/>
      <c r="BC200" s="8"/>
      <c r="BD200" s="8"/>
      <c r="BE200" s="8"/>
      <c r="BF200" s="8"/>
      <c r="BG200" s="9"/>
      <c r="BH200" s="9"/>
      <c r="BI200" s="9"/>
      <c r="BJ200" s="9"/>
      <c r="BK200" s="9"/>
      <c r="BL200" s="9"/>
      <c r="BM200" s="9"/>
      <c r="BN200" s="9"/>
      <c r="BO200" s="9"/>
      <c r="BP200" s="9"/>
      <c r="BQ200" s="9"/>
      <c r="BR200" s="9"/>
      <c r="BS200" s="9"/>
      <c r="BT200" s="9"/>
      <c r="BU200" s="9"/>
      <c r="BV200" s="9"/>
      <c r="IP200" s="9"/>
      <c r="IQ200" s="9"/>
      <c r="IR200" s="9"/>
      <c r="IS200" s="9"/>
      <c r="IT200" s="9"/>
      <c r="IU200" s="9"/>
      <c r="IV200" s="9"/>
    </row>
    <row r="201" spans="1:256" s="10" customFormat="1" ht="38.25">
      <c r="A201" s="274"/>
      <c r="B201" s="86">
        <v>186</v>
      </c>
      <c r="C201" s="196" t="s">
        <v>1100</v>
      </c>
      <c r="D201" s="244">
        <v>44505</v>
      </c>
      <c r="E201" s="1">
        <v>41495</v>
      </c>
      <c r="F201" s="1">
        <v>139986</v>
      </c>
      <c r="G201" s="1">
        <v>8577</v>
      </c>
      <c r="H201" s="1"/>
      <c r="I201" s="1"/>
      <c r="J201" s="1">
        <v>578</v>
      </c>
      <c r="K201" s="1">
        <v>3</v>
      </c>
      <c r="L201" s="204" t="s">
        <v>39</v>
      </c>
      <c r="M201" s="204" t="s">
        <v>404</v>
      </c>
      <c r="N201" s="204" t="s">
        <v>405</v>
      </c>
      <c r="O201" s="204"/>
      <c r="P201" s="204" t="s">
        <v>1101</v>
      </c>
      <c r="Q201" s="204" t="s">
        <v>1101</v>
      </c>
      <c r="R201" s="204" t="s">
        <v>1101</v>
      </c>
      <c r="S201" s="204" t="s">
        <v>1102</v>
      </c>
      <c r="T201" s="1"/>
      <c r="U201" s="2">
        <v>1</v>
      </c>
      <c r="V201" s="1"/>
      <c r="W201" s="1"/>
      <c r="X201" s="204" t="s">
        <v>67</v>
      </c>
      <c r="Y201" s="1"/>
      <c r="Z201" s="2">
        <v>2</v>
      </c>
      <c r="AA201" s="3"/>
      <c r="AB201" s="2">
        <f>+Z201+1</f>
        <v>3</v>
      </c>
      <c r="AC201" s="3"/>
      <c r="AD201" s="2">
        <f>+Z201*2</f>
        <v>4</v>
      </c>
      <c r="AE201" s="115"/>
      <c r="AF201" s="115"/>
      <c r="AG201" s="115"/>
      <c r="AH201" s="115"/>
      <c r="AI201" s="116">
        <f>60+4.43/2</f>
        <v>62.215000000000003</v>
      </c>
      <c r="AJ201" s="117"/>
      <c r="AK201" s="118">
        <v>360</v>
      </c>
      <c r="AL201" s="118">
        <f>+(60+4.43)/AK201</f>
        <v>0.17897222222222225</v>
      </c>
      <c r="AM201" s="118">
        <f>+AI201/AK201</f>
        <v>0.17281944444444444</v>
      </c>
      <c r="AN201" s="157"/>
      <c r="AO201" s="168">
        <f>+(5*18109+12*14484+4*10864)/21*AI201</f>
        <v>911920.80642857158</v>
      </c>
      <c r="AP201" s="169">
        <v>4938.5200000000004</v>
      </c>
      <c r="AQ201" s="193" t="s">
        <v>36</v>
      </c>
      <c r="AR201" s="5" t="s">
        <v>408</v>
      </c>
      <c r="AS201" s="211">
        <v>44517</v>
      </c>
      <c r="AT201" s="211"/>
      <c r="AU201" s="5" t="s">
        <v>409</v>
      </c>
      <c r="AV201" s="8"/>
      <c r="AW201" s="8"/>
      <c r="AX201" s="8"/>
      <c r="AY201" s="8"/>
      <c r="AZ201" s="8"/>
      <c r="BA201" s="8"/>
      <c r="BB201" s="8"/>
      <c r="BC201" s="8"/>
      <c r="BD201" s="8"/>
      <c r="BE201" s="8"/>
      <c r="BF201" s="8"/>
      <c r="BG201" s="9"/>
      <c r="BH201" s="9"/>
      <c r="BI201" s="9"/>
      <c r="BJ201" s="9"/>
      <c r="BK201" s="9"/>
      <c r="BL201" s="9"/>
      <c r="BM201" s="9"/>
      <c r="BN201" s="9"/>
      <c r="BO201" s="9"/>
      <c r="BP201" s="9"/>
      <c r="BQ201" s="9"/>
      <c r="BR201" s="9"/>
      <c r="BS201" s="9"/>
      <c r="BT201" s="9"/>
      <c r="BU201" s="9"/>
      <c r="BV201" s="9"/>
      <c r="IP201" s="9"/>
      <c r="IQ201" s="9"/>
      <c r="IR201" s="9"/>
      <c r="IS201" s="9"/>
      <c r="IT201" s="9"/>
      <c r="IU201" s="9"/>
      <c r="IV201" s="9"/>
    </row>
    <row r="202" spans="1:256" s="10" customFormat="1" ht="63.75">
      <c r="A202" s="274"/>
      <c r="B202" s="77">
        <v>188</v>
      </c>
      <c r="C202" s="291">
        <v>535243</v>
      </c>
      <c r="D202" s="227">
        <v>44488</v>
      </c>
      <c r="E202" s="1">
        <v>43803</v>
      </c>
      <c r="F202" s="1">
        <v>137920</v>
      </c>
      <c r="G202" s="1">
        <v>31517</v>
      </c>
      <c r="H202" s="1">
        <v>3</v>
      </c>
      <c r="I202" s="1"/>
      <c r="J202" s="1">
        <v>3</v>
      </c>
      <c r="K202" s="1">
        <v>10</v>
      </c>
      <c r="L202" s="204" t="s">
        <v>286</v>
      </c>
      <c r="M202" s="204" t="s">
        <v>475</v>
      </c>
      <c r="N202" s="204" t="s">
        <v>1103</v>
      </c>
      <c r="O202" s="204"/>
      <c r="P202" s="204" t="s">
        <v>581</v>
      </c>
      <c r="Q202" s="204" t="s">
        <v>581</v>
      </c>
      <c r="R202" s="204" t="s">
        <v>581</v>
      </c>
      <c r="S202" s="204" t="s">
        <v>98</v>
      </c>
      <c r="T202" s="1"/>
      <c r="U202" s="2"/>
      <c r="V202" s="1">
        <v>1</v>
      </c>
      <c r="W202" s="1"/>
      <c r="X202" s="204" t="s">
        <v>67</v>
      </c>
      <c r="Y202" s="1">
        <v>3</v>
      </c>
      <c r="Z202" s="2"/>
      <c r="AA202" s="3">
        <f>+Y202+1</f>
        <v>4</v>
      </c>
      <c r="AB202" s="2"/>
      <c r="AC202" s="3">
        <f>+Y202*2</f>
        <v>6</v>
      </c>
      <c r="AD202" s="2"/>
      <c r="AE202" s="115">
        <f>120.87+24.98/2</f>
        <v>133.36000000000001</v>
      </c>
      <c r="AF202" s="115"/>
      <c r="AG202" s="115">
        <f>29.4/2</f>
        <v>14.7</v>
      </c>
      <c r="AH202" s="115"/>
      <c r="AI202" s="116"/>
      <c r="AJ202" s="117"/>
      <c r="AK202" s="118">
        <v>869.73</v>
      </c>
      <c r="AL202" s="118">
        <f>+(29.4+120.87+24.98)/AK202</f>
        <v>0.20149931587964082</v>
      </c>
      <c r="AM202" s="118">
        <f>+(AE202+AG202)/AK202</f>
        <v>0.1702367401377439</v>
      </c>
      <c r="AN202" s="157"/>
      <c r="AO202" s="168">
        <f>+((8*21938+8*17546+5*13161)/21*AG202)</f>
        <v>267173.89999999997</v>
      </c>
      <c r="AP202" s="169">
        <v>32161.62</v>
      </c>
      <c r="AQ202" s="193" t="s">
        <v>36</v>
      </c>
      <c r="AR202" s="5" t="s">
        <v>1104</v>
      </c>
      <c r="AS202" s="211">
        <v>44518</v>
      </c>
      <c r="AT202" s="211"/>
      <c r="AU202" s="5" t="s">
        <v>1105</v>
      </c>
      <c r="AV202" s="8"/>
      <c r="AW202" s="8"/>
      <c r="AX202" s="8"/>
      <c r="AY202" s="8"/>
      <c r="AZ202" s="8"/>
      <c r="BA202" s="8"/>
      <c r="BB202" s="8"/>
      <c r="BC202" s="8"/>
      <c r="BD202" s="8"/>
      <c r="BE202" s="8"/>
      <c r="BF202" s="8"/>
      <c r="BG202" s="9"/>
      <c r="BH202" s="9"/>
      <c r="BI202" s="9"/>
      <c r="BJ202" s="9"/>
      <c r="BK202" s="9"/>
      <c r="BL202" s="9"/>
      <c r="BM202" s="9"/>
      <c r="BN202" s="9"/>
      <c r="BO202" s="9"/>
      <c r="BP202" s="9"/>
      <c r="BQ202" s="9"/>
      <c r="BR202" s="9"/>
      <c r="BS202" s="9"/>
      <c r="BT202" s="9"/>
      <c r="BU202" s="9"/>
      <c r="BV202" s="9"/>
      <c r="IP202" s="9"/>
      <c r="IQ202" s="9"/>
      <c r="IR202" s="9"/>
      <c r="IS202" s="9"/>
      <c r="IT202" s="9"/>
      <c r="IU202" s="9"/>
      <c r="IV202" s="9"/>
    </row>
    <row r="203" spans="1:256" s="18" customFormat="1" ht="63.75">
      <c r="A203" s="272"/>
      <c r="B203" s="99">
        <v>190</v>
      </c>
      <c r="C203" s="299">
        <v>534691</v>
      </c>
      <c r="D203" s="247">
        <v>44469</v>
      </c>
      <c r="E203" s="53">
        <v>-34698</v>
      </c>
      <c r="F203" s="53">
        <v>134767</v>
      </c>
      <c r="G203" s="53">
        <v>31375</v>
      </c>
      <c r="H203" s="53">
        <v>310</v>
      </c>
      <c r="I203" s="53"/>
      <c r="J203" s="53">
        <v>3</v>
      </c>
      <c r="K203" s="53">
        <v>6</v>
      </c>
      <c r="L203" s="205" t="s">
        <v>837</v>
      </c>
      <c r="M203" s="205" t="s">
        <v>1106</v>
      </c>
      <c r="N203" s="205" t="s">
        <v>1107</v>
      </c>
      <c r="O203" s="205"/>
      <c r="P203" s="205" t="s">
        <v>1108</v>
      </c>
      <c r="Q203" s="205" t="s">
        <v>1108</v>
      </c>
      <c r="R203" s="205" t="s">
        <v>1108</v>
      </c>
      <c r="S203" s="205" t="s">
        <v>1109</v>
      </c>
      <c r="T203" s="53"/>
      <c r="U203" s="54">
        <v>1</v>
      </c>
      <c r="V203" s="53"/>
      <c r="W203" s="53"/>
      <c r="X203" s="204" t="s">
        <v>67</v>
      </c>
      <c r="Y203" s="53"/>
      <c r="Z203" s="54">
        <v>2</v>
      </c>
      <c r="AA203" s="55"/>
      <c r="AB203" s="54">
        <f>+Z203+1</f>
        <v>3</v>
      </c>
      <c r="AC203" s="55"/>
      <c r="AD203" s="54">
        <f>+Z203*2</f>
        <v>4</v>
      </c>
      <c r="AE203" s="119"/>
      <c r="AF203" s="119"/>
      <c r="AG203" s="119"/>
      <c r="AH203" s="120"/>
      <c r="AI203" s="121">
        <f>78.88+90.75/2</f>
        <v>124.255</v>
      </c>
      <c r="AJ203" s="121"/>
      <c r="AK203" s="120">
        <v>577.29999999999995</v>
      </c>
      <c r="AL203" s="120">
        <f>+(78.88+90.75)/AK203</f>
        <v>0.29383336220336048</v>
      </c>
      <c r="AM203" s="120">
        <f>+AI203/AK203</f>
        <v>0.21523471332063054</v>
      </c>
      <c r="AN203" s="158">
        <f>+(2+24+12)/(1+8+2)</f>
        <v>3.4545454545454546</v>
      </c>
      <c r="AO203" s="170">
        <f>+(9*21938+17546*4+7*13161+8775)/21*AI203</f>
        <v>2180545.0780952382</v>
      </c>
      <c r="AP203" s="171">
        <v>8258.9500000000007</v>
      </c>
      <c r="AQ203" s="194" t="s">
        <v>107</v>
      </c>
      <c r="AR203" s="13" t="s">
        <v>1110</v>
      </c>
      <c r="AS203" s="212">
        <v>44519</v>
      </c>
      <c r="AT203" s="213"/>
      <c r="AU203" s="60" t="s">
        <v>1111</v>
      </c>
      <c r="AV203" s="16"/>
      <c r="AW203" s="16"/>
      <c r="AX203" s="16"/>
      <c r="AY203" s="16"/>
      <c r="AZ203" s="16"/>
      <c r="BA203" s="16"/>
      <c r="BB203" s="16"/>
      <c r="BC203" s="16"/>
      <c r="BD203" s="16"/>
      <c r="BE203" s="17"/>
      <c r="BF203" s="17"/>
      <c r="BG203" s="17"/>
      <c r="BH203" s="17"/>
      <c r="BI203" s="17"/>
      <c r="BJ203" s="17"/>
      <c r="BK203" s="17"/>
      <c r="BL203" s="17"/>
      <c r="BM203" s="17"/>
      <c r="BN203" s="17"/>
      <c r="BO203" s="17"/>
      <c r="BP203" s="17"/>
      <c r="BQ203" s="17"/>
      <c r="BR203" s="17"/>
      <c r="BS203" s="17"/>
      <c r="BT203" s="17"/>
      <c r="IN203" s="17"/>
      <c r="IO203" s="17"/>
      <c r="IP203" s="17"/>
      <c r="IQ203" s="17"/>
      <c r="IR203" s="17"/>
      <c r="IS203" s="17"/>
      <c r="IT203" s="17"/>
      <c r="IU203" s="17"/>
      <c r="IV203" s="17"/>
    </row>
    <row r="204" spans="1:256" s="10" customFormat="1" ht="51">
      <c r="A204" s="274"/>
      <c r="B204" s="77">
        <v>193</v>
      </c>
      <c r="C204" s="300">
        <v>537406</v>
      </c>
      <c r="D204" s="227">
        <v>44518</v>
      </c>
      <c r="E204" s="1">
        <v>48548</v>
      </c>
      <c r="F204" s="1">
        <v>158991</v>
      </c>
      <c r="G204" s="1">
        <v>32512</v>
      </c>
      <c r="H204" s="1">
        <v>2</v>
      </c>
      <c r="I204" s="1"/>
      <c r="J204" s="1"/>
      <c r="K204" s="1">
        <v>95</v>
      </c>
      <c r="L204" s="204" t="s">
        <v>1112</v>
      </c>
      <c r="M204" s="204" t="s">
        <v>193</v>
      </c>
      <c r="N204" s="204" t="s">
        <v>1113</v>
      </c>
      <c r="O204" s="204"/>
      <c r="P204" s="204" t="s">
        <v>1114</v>
      </c>
      <c r="Q204" s="204" t="s">
        <v>1114</v>
      </c>
      <c r="R204" s="204" t="s">
        <v>1114</v>
      </c>
      <c r="S204" s="204" t="s">
        <v>52</v>
      </c>
      <c r="T204" s="1"/>
      <c r="U204" s="2">
        <v>1</v>
      </c>
      <c r="V204" s="1"/>
      <c r="W204" s="1"/>
      <c r="X204" s="204" t="s">
        <v>67</v>
      </c>
      <c r="Y204" s="1"/>
      <c r="Z204" s="2">
        <v>1</v>
      </c>
      <c r="AA204" s="3"/>
      <c r="AB204" s="2">
        <f>+Z204*2</f>
        <v>2</v>
      </c>
      <c r="AC204" s="3"/>
      <c r="AD204" s="2">
        <f>+Z204+1</f>
        <v>2</v>
      </c>
      <c r="AE204" s="115"/>
      <c r="AF204" s="115"/>
      <c r="AG204" s="115"/>
      <c r="AH204" s="115"/>
      <c r="AI204" s="116">
        <v>59.42</v>
      </c>
      <c r="AJ204" s="117"/>
      <c r="AK204" s="118">
        <v>601.42999999999995</v>
      </c>
      <c r="AL204" s="118">
        <f>+AI204/AK204</f>
        <v>9.8797865088206455E-2</v>
      </c>
      <c r="AM204" s="118">
        <f>+AI204/AK204</f>
        <v>9.8797865088206455E-2</v>
      </c>
      <c r="AN204" s="157">
        <f>+(9+28)/(3+7)</f>
        <v>3.7</v>
      </c>
      <c r="AO204" s="168">
        <f>+(21938+17546*8+13161*5+8775*5)/19*AI204</f>
        <v>850600.42736842099</v>
      </c>
      <c r="AP204" s="169">
        <v>4281.67</v>
      </c>
      <c r="AQ204" s="193" t="s">
        <v>36</v>
      </c>
      <c r="AR204" s="5" t="s">
        <v>1115</v>
      </c>
      <c r="AS204" s="211">
        <v>44525</v>
      </c>
      <c r="AT204" s="211"/>
      <c r="AU204" s="5" t="s">
        <v>1116</v>
      </c>
      <c r="AV204" s="8"/>
      <c r="AW204" s="8"/>
      <c r="AX204" s="8"/>
      <c r="AY204" s="8"/>
      <c r="AZ204" s="8"/>
      <c r="BA204" s="8"/>
      <c r="BB204" s="8"/>
      <c r="BC204" s="8"/>
      <c r="BD204" s="8"/>
      <c r="BE204" s="8"/>
      <c r="BF204" s="8"/>
      <c r="BG204" s="9"/>
      <c r="BH204" s="9"/>
      <c r="BI204" s="9"/>
      <c r="BJ204" s="9"/>
      <c r="BK204" s="9"/>
      <c r="BL204" s="9"/>
      <c r="BM204" s="9"/>
      <c r="BN204" s="9"/>
      <c r="BO204" s="9"/>
      <c r="BP204" s="9"/>
      <c r="BQ204" s="9"/>
      <c r="BR204" s="9"/>
      <c r="BS204" s="9"/>
      <c r="BT204" s="9"/>
      <c r="BU204" s="9"/>
      <c r="BV204" s="9"/>
      <c r="IP204" s="9"/>
      <c r="IQ204" s="9"/>
      <c r="IR204" s="9"/>
      <c r="IS204" s="9"/>
      <c r="IT204" s="9"/>
      <c r="IU204" s="9"/>
      <c r="IV204" s="9"/>
    </row>
    <row r="205" spans="1:256" s="10" customFormat="1" ht="63.75">
      <c r="A205" s="274"/>
      <c r="B205" s="77">
        <v>192</v>
      </c>
      <c r="C205" s="300">
        <v>537278</v>
      </c>
      <c r="D205" s="227">
        <v>44516</v>
      </c>
      <c r="E205" s="1">
        <v>40268</v>
      </c>
      <c r="F205" s="1">
        <v>138818</v>
      </c>
      <c r="G205" s="1">
        <v>8371</v>
      </c>
      <c r="H205" s="1"/>
      <c r="I205" s="1"/>
      <c r="J205" s="1">
        <v>616</v>
      </c>
      <c r="K205" s="1">
        <v>14</v>
      </c>
      <c r="L205" s="204" t="s">
        <v>48</v>
      </c>
      <c r="M205" s="204" t="s">
        <v>1117</v>
      </c>
      <c r="N205" s="204" t="s">
        <v>1118</v>
      </c>
      <c r="O205" s="204"/>
      <c r="P205" s="204" t="s">
        <v>373</v>
      </c>
      <c r="Q205" s="204" t="s">
        <v>373</v>
      </c>
      <c r="R205" s="204" t="s">
        <v>373</v>
      </c>
      <c r="S205" s="204" t="s">
        <v>52</v>
      </c>
      <c r="T205" s="1"/>
      <c r="U205" s="2">
        <v>1</v>
      </c>
      <c r="V205" s="1"/>
      <c r="W205" s="1"/>
      <c r="X205" s="204" t="s">
        <v>67</v>
      </c>
      <c r="Y205" s="1"/>
      <c r="Z205" s="2">
        <v>1</v>
      </c>
      <c r="AA205" s="3"/>
      <c r="AB205" s="2">
        <f>+Z205+1</f>
        <v>2</v>
      </c>
      <c r="AC205" s="3"/>
      <c r="AD205" s="2">
        <f>+Z205*2</f>
        <v>2</v>
      </c>
      <c r="AE205" s="115"/>
      <c r="AF205" s="115"/>
      <c r="AG205" s="115"/>
      <c r="AH205" s="115"/>
      <c r="AI205" s="116">
        <v>60</v>
      </c>
      <c r="AJ205" s="117"/>
      <c r="AK205" s="118">
        <v>281.64999999999998</v>
      </c>
      <c r="AL205" s="118">
        <f>+AI205/AK205</f>
        <v>0.2130303568258477</v>
      </c>
      <c r="AM205" s="118">
        <f>+AL205</f>
        <v>0.2130303568258477</v>
      </c>
      <c r="AN205" s="157">
        <f>+(6+32)/(2+8)</f>
        <v>3.8</v>
      </c>
      <c r="AO205" s="168">
        <f>+(21938+3*17546+10*13161+6*8775)/20*AI205</f>
        <v>776508</v>
      </c>
      <c r="AP205" s="169">
        <v>3984.5</v>
      </c>
      <c r="AQ205" s="193" t="s">
        <v>36</v>
      </c>
      <c r="AR205" s="5" t="s">
        <v>1119</v>
      </c>
      <c r="AS205" s="211">
        <v>44525</v>
      </c>
      <c r="AT205" s="211"/>
      <c r="AU205" s="5" t="s">
        <v>1116</v>
      </c>
      <c r="AV205" s="8"/>
      <c r="AW205" s="8"/>
      <c r="AX205" s="8"/>
      <c r="AY205" s="8"/>
      <c r="AZ205" s="8"/>
      <c r="BA205" s="8"/>
      <c r="BB205" s="8"/>
      <c r="BC205" s="8"/>
      <c r="BD205" s="8"/>
      <c r="BE205" s="8"/>
      <c r="BF205" s="8"/>
      <c r="BG205" s="9"/>
      <c r="BH205" s="9"/>
      <c r="BI205" s="9"/>
      <c r="BJ205" s="9"/>
      <c r="BK205" s="9"/>
      <c r="BL205" s="9"/>
      <c r="BM205" s="9"/>
      <c r="BN205" s="9"/>
      <c r="BO205" s="9"/>
      <c r="BP205" s="9"/>
      <c r="BQ205" s="9"/>
      <c r="BR205" s="9"/>
      <c r="BS205" s="9"/>
      <c r="BT205" s="9"/>
      <c r="BU205" s="9"/>
      <c r="BV205" s="9"/>
      <c r="IP205" s="9"/>
      <c r="IQ205" s="9"/>
      <c r="IR205" s="9"/>
      <c r="IS205" s="9"/>
      <c r="IT205" s="9"/>
      <c r="IU205" s="9"/>
      <c r="IV205" s="9"/>
    </row>
    <row r="206" spans="1:256" s="10" customFormat="1" ht="102">
      <c r="A206" s="274"/>
      <c r="B206" s="90">
        <v>195</v>
      </c>
      <c r="C206" s="193">
        <v>534278</v>
      </c>
      <c r="D206" s="227">
        <v>44455</v>
      </c>
      <c r="E206" s="1">
        <v>39728</v>
      </c>
      <c r="F206" s="1">
        <v>138436</v>
      </c>
      <c r="G206" s="1">
        <v>31625</v>
      </c>
      <c r="H206" s="1">
        <v>310</v>
      </c>
      <c r="I206" s="1"/>
      <c r="J206" s="1">
        <v>3</v>
      </c>
      <c r="K206" s="1">
        <v>27</v>
      </c>
      <c r="L206" s="204" t="s">
        <v>440</v>
      </c>
      <c r="M206" s="204" t="s">
        <v>151</v>
      </c>
      <c r="N206" s="204" t="s">
        <v>1120</v>
      </c>
      <c r="O206" s="204"/>
      <c r="P206" s="204" t="s">
        <v>466</v>
      </c>
      <c r="Q206" s="204"/>
      <c r="R206" s="204"/>
      <c r="S206" s="204"/>
      <c r="T206" s="1">
        <v>2</v>
      </c>
      <c r="U206" s="2"/>
      <c r="V206" s="1"/>
      <c r="W206" s="1"/>
      <c r="X206" s="204" t="s">
        <v>44</v>
      </c>
      <c r="Y206" s="1">
        <f>2+1</f>
        <v>3</v>
      </c>
      <c r="Z206" s="2"/>
      <c r="AA206" s="3">
        <f>+Y206+1+1</f>
        <v>5</v>
      </c>
      <c r="AB206" s="2"/>
      <c r="AC206" s="3">
        <f>+Y206*2</f>
        <v>6</v>
      </c>
      <c r="AD206" s="2"/>
      <c r="AE206" s="115"/>
      <c r="AF206" s="115"/>
      <c r="AG206" s="115">
        <f>290.67+181.37/2</f>
        <v>381.35500000000002</v>
      </c>
      <c r="AH206" s="115"/>
      <c r="AI206" s="116"/>
      <c r="AJ206" s="117"/>
      <c r="AK206" s="118">
        <v>1799.51</v>
      </c>
      <c r="AL206" s="118">
        <f>+(290.67+181.37)/AK206</f>
        <v>0.2623158526487766</v>
      </c>
      <c r="AM206" s="118">
        <f>+AG206/AK206</f>
        <v>0.21192157865196637</v>
      </c>
      <c r="AN206" s="157"/>
      <c r="AO206" s="168">
        <f>+(7*21938+17546*9+13161*2+3*8775)/21*AG206</f>
        <v>6612459.6230952395</v>
      </c>
      <c r="AP206" s="169">
        <v>145519.41</v>
      </c>
      <c r="AQ206" s="193" t="s">
        <v>45</v>
      </c>
      <c r="AR206" s="5" t="s">
        <v>1121</v>
      </c>
      <c r="AS206" s="211">
        <v>44531</v>
      </c>
      <c r="AT206" s="211"/>
      <c r="AU206" s="48">
        <v>44458</v>
      </c>
      <c r="AV206" s="8"/>
      <c r="AW206" s="8"/>
      <c r="AX206" s="8"/>
      <c r="AY206" s="8"/>
      <c r="AZ206" s="8"/>
      <c r="BA206" s="8"/>
      <c r="BB206" s="8"/>
      <c r="BC206" s="8"/>
      <c r="BD206" s="8"/>
      <c r="BE206" s="8"/>
      <c r="BF206" s="8"/>
      <c r="BG206" s="9"/>
      <c r="BH206" s="9"/>
      <c r="BI206" s="9"/>
      <c r="BJ206" s="9"/>
      <c r="BK206" s="9"/>
      <c r="BL206" s="9"/>
      <c r="BM206" s="9"/>
      <c r="BN206" s="9"/>
      <c r="BO206" s="9"/>
      <c r="BP206" s="9"/>
      <c r="BQ206" s="9"/>
      <c r="BR206" s="9"/>
      <c r="BS206" s="9"/>
      <c r="BT206" s="9"/>
      <c r="BU206" s="9"/>
      <c r="BV206" s="9"/>
      <c r="IP206" s="9"/>
      <c r="IQ206" s="9"/>
      <c r="IR206" s="9"/>
      <c r="IS206" s="9"/>
      <c r="IT206" s="9"/>
      <c r="IU206" s="9"/>
      <c r="IV206" s="9"/>
    </row>
    <row r="207" spans="1:256" s="10" customFormat="1" ht="102">
      <c r="A207" s="272"/>
      <c r="B207" s="97">
        <v>194</v>
      </c>
      <c r="C207" s="301">
        <v>534690</v>
      </c>
      <c r="D207" s="235">
        <v>44469</v>
      </c>
      <c r="E207" s="1">
        <v>-1</v>
      </c>
      <c r="F207" s="1">
        <v>163233</v>
      </c>
      <c r="G207" s="1">
        <v>33364</v>
      </c>
      <c r="H207" s="1">
        <v>247</v>
      </c>
      <c r="I207" s="1"/>
      <c r="J207" s="1">
        <v>8</v>
      </c>
      <c r="K207" s="1">
        <v>1</v>
      </c>
      <c r="L207" s="204" t="s">
        <v>440</v>
      </c>
      <c r="M207" s="204" t="s">
        <v>1122</v>
      </c>
      <c r="N207" s="204" t="s">
        <v>1123</v>
      </c>
      <c r="O207" s="204"/>
      <c r="P207" s="204" t="s">
        <v>173</v>
      </c>
      <c r="Q207" s="204"/>
      <c r="R207" s="204"/>
      <c r="S207" s="204"/>
      <c r="T207" s="1"/>
      <c r="U207" s="2">
        <v>1</v>
      </c>
      <c r="V207" s="1"/>
      <c r="W207" s="1"/>
      <c r="X207" s="204" t="s">
        <v>67</v>
      </c>
      <c r="Y207" s="1"/>
      <c r="Z207" s="2">
        <v>3</v>
      </c>
      <c r="AA207" s="3"/>
      <c r="AB207" s="2">
        <f>+Z207+1+1+1</f>
        <v>6</v>
      </c>
      <c r="AC207" s="3"/>
      <c r="AD207" s="2">
        <f>+Z207*2</f>
        <v>6</v>
      </c>
      <c r="AE207" s="115"/>
      <c r="AF207" s="115"/>
      <c r="AG207" s="115"/>
      <c r="AH207" s="115"/>
      <c r="AI207" s="116">
        <f>178.2+34.76/2+131.2+0.51/2</f>
        <v>327.03499999999997</v>
      </c>
      <c r="AJ207" s="117"/>
      <c r="AK207" s="118">
        <v>631.77</v>
      </c>
      <c r="AL207" s="118">
        <f>+(178.2+34.76)/AK207</f>
        <v>0.33708469854535666</v>
      </c>
      <c r="AM207" s="118">
        <f>+AI207/AK207</f>
        <v>0.51764882789622801</v>
      </c>
      <c r="AN207" s="157">
        <f>+(1+8+15+12)/(1+4+5+2)</f>
        <v>3</v>
      </c>
      <c r="AO207" s="168">
        <f>+(12*21938+17546*6+5*13161)/22*AI207</f>
        <v>6456518.2179545444</v>
      </c>
      <c r="AP207" s="169">
        <v>24028.45</v>
      </c>
      <c r="AQ207" s="193" t="s">
        <v>107</v>
      </c>
      <c r="AR207" s="5" t="s">
        <v>1124</v>
      </c>
      <c r="AS207" s="211">
        <v>44531</v>
      </c>
      <c r="AT207" s="211"/>
      <c r="AU207" s="28" t="s">
        <v>1125</v>
      </c>
      <c r="AV207" s="8"/>
      <c r="AW207" s="8"/>
      <c r="AX207" s="8"/>
      <c r="AY207" s="8"/>
      <c r="AZ207" s="8"/>
      <c r="BA207" s="8"/>
      <c r="BB207" s="8"/>
      <c r="BC207" s="8"/>
      <c r="BD207" s="8"/>
      <c r="BE207" s="8"/>
      <c r="BF207" s="8"/>
      <c r="BG207" s="9"/>
      <c r="BH207" s="9"/>
      <c r="BI207" s="9"/>
      <c r="BJ207" s="9"/>
      <c r="BK207" s="9"/>
      <c r="BL207" s="9"/>
      <c r="BM207" s="9"/>
      <c r="BN207" s="9"/>
      <c r="BO207" s="9"/>
      <c r="BP207" s="9"/>
      <c r="BQ207" s="9"/>
      <c r="BR207" s="9"/>
      <c r="BS207" s="9"/>
      <c r="BT207" s="9"/>
      <c r="BU207" s="9"/>
      <c r="BV207" s="9"/>
      <c r="IP207" s="9"/>
      <c r="IQ207" s="9"/>
      <c r="IR207" s="9"/>
      <c r="IS207" s="9"/>
      <c r="IT207" s="9"/>
      <c r="IU207" s="9"/>
      <c r="IV207" s="9"/>
    </row>
    <row r="208" spans="1:256" s="10" customFormat="1" ht="51">
      <c r="A208" s="274"/>
      <c r="B208" s="90">
        <v>196</v>
      </c>
      <c r="C208" s="193">
        <v>525544</v>
      </c>
      <c r="D208" s="227">
        <v>44155</v>
      </c>
      <c r="E208" s="1">
        <v>56343</v>
      </c>
      <c r="F208" s="1">
        <v>165087</v>
      </c>
      <c r="G208" s="1">
        <v>33551</v>
      </c>
      <c r="H208" s="1">
        <v>201</v>
      </c>
      <c r="I208" s="1"/>
      <c r="J208" s="1"/>
      <c r="K208" s="1">
        <v>5</v>
      </c>
      <c r="L208" s="204" t="s">
        <v>102</v>
      </c>
      <c r="M208" s="204" t="s">
        <v>151</v>
      </c>
      <c r="N208" s="204" t="s">
        <v>1126</v>
      </c>
      <c r="O208" s="204"/>
      <c r="P208" s="204" t="s">
        <v>1127</v>
      </c>
      <c r="Q208" s="204"/>
      <c r="R208" s="204"/>
      <c r="S208" s="204"/>
      <c r="T208" s="1">
        <v>1</v>
      </c>
      <c r="U208" s="2"/>
      <c r="V208" s="1"/>
      <c r="W208" s="1"/>
      <c r="X208" s="204" t="s">
        <v>67</v>
      </c>
      <c r="Y208" s="1"/>
      <c r="Z208" s="2"/>
      <c r="AA208" s="3"/>
      <c r="AB208" s="2"/>
      <c r="AC208" s="3"/>
      <c r="AD208" s="2"/>
      <c r="AE208" s="115"/>
      <c r="AF208" s="115"/>
      <c r="AG208" s="115">
        <f>111.2+70.5/2</f>
        <v>146.44999999999999</v>
      </c>
      <c r="AH208" s="115"/>
      <c r="AI208" s="116"/>
      <c r="AJ208" s="117"/>
      <c r="AK208" s="118">
        <v>10005</v>
      </c>
      <c r="AL208" s="118">
        <f>+(111.2+70.5)/AK208</f>
        <v>1.8160919540229883E-2</v>
      </c>
      <c r="AM208" s="118">
        <f>+AG208/AK208</f>
        <v>1.4637681159420289E-2</v>
      </c>
      <c r="AN208" s="157">
        <f>+(18+12)/(6+3)</f>
        <v>3.3333333333333335</v>
      </c>
      <c r="AO208" s="168">
        <f>+(21938+17546*5+13161*4+8775*10)/20*AG208</f>
        <v>1831078.9949999999</v>
      </c>
      <c r="AP208" s="169">
        <v>28506.43</v>
      </c>
      <c r="AQ208" s="193" t="s">
        <v>36</v>
      </c>
      <c r="AR208" s="5" t="s">
        <v>1128</v>
      </c>
      <c r="AS208" s="211">
        <v>44531</v>
      </c>
      <c r="AT208" s="211"/>
      <c r="AU208" s="48">
        <v>44159</v>
      </c>
      <c r="AV208" s="8"/>
      <c r="AW208" s="8"/>
      <c r="AX208" s="8"/>
      <c r="AY208" s="8"/>
      <c r="AZ208" s="8"/>
      <c r="BA208" s="8"/>
      <c r="BB208" s="8"/>
      <c r="BC208" s="8"/>
      <c r="BD208" s="8"/>
      <c r="BE208" s="8"/>
      <c r="BF208" s="8"/>
      <c r="BG208" s="9"/>
      <c r="BH208" s="9"/>
      <c r="BI208" s="9"/>
      <c r="BJ208" s="9"/>
      <c r="BK208" s="9"/>
      <c r="BL208" s="9"/>
      <c r="BM208" s="9"/>
      <c r="BN208" s="9"/>
      <c r="BO208" s="9"/>
      <c r="BP208" s="9"/>
      <c r="BQ208" s="9"/>
      <c r="BR208" s="9"/>
      <c r="BS208" s="9"/>
      <c r="BT208" s="9"/>
      <c r="BU208" s="9"/>
      <c r="BV208" s="9"/>
      <c r="IP208" s="9"/>
      <c r="IQ208" s="9"/>
      <c r="IR208" s="9"/>
      <c r="IS208" s="9"/>
      <c r="IT208" s="9"/>
      <c r="IU208" s="9"/>
      <c r="IV208" s="9"/>
    </row>
    <row r="209" spans="1:256 16384:16384" s="10" customFormat="1" ht="89.25">
      <c r="A209" s="274"/>
      <c r="B209" s="90">
        <v>197</v>
      </c>
      <c r="C209" s="193">
        <v>534244</v>
      </c>
      <c r="D209" s="227">
        <v>44455</v>
      </c>
      <c r="E209" s="1">
        <v>39432</v>
      </c>
      <c r="F209" s="1">
        <v>138186</v>
      </c>
      <c r="G209" s="1">
        <v>31588</v>
      </c>
      <c r="H209" s="1">
        <v>310</v>
      </c>
      <c r="I209" s="1"/>
      <c r="J209" s="1">
        <v>3</v>
      </c>
      <c r="K209" s="1">
        <v>30</v>
      </c>
      <c r="L209" s="204" t="s">
        <v>440</v>
      </c>
      <c r="M209" s="204" t="s">
        <v>1129</v>
      </c>
      <c r="N209" s="204" t="s">
        <v>1130</v>
      </c>
      <c r="O209" s="204"/>
      <c r="P209" s="204" t="s">
        <v>400</v>
      </c>
      <c r="Q209" s="204"/>
      <c r="R209" s="204"/>
      <c r="S209" s="204"/>
      <c r="T209" s="1">
        <v>4</v>
      </c>
      <c r="U209" s="2"/>
      <c r="V209" s="1"/>
      <c r="W209" s="1"/>
      <c r="X209" s="204" t="s">
        <v>44</v>
      </c>
      <c r="Y209" s="1">
        <f>2+1+1+1</f>
        <v>5</v>
      </c>
      <c r="Z209" s="2"/>
      <c r="AA209" s="3">
        <f>+Y209+1+1</f>
        <v>7</v>
      </c>
      <c r="AB209" s="2"/>
      <c r="AC209" s="3">
        <f>+Y209*2</f>
        <v>10</v>
      </c>
      <c r="AD209" s="2"/>
      <c r="AE209" s="115"/>
      <c r="AF209" s="115"/>
      <c r="AG209" s="115">
        <f>254.09+73.99/2+46.1</f>
        <v>337.185</v>
      </c>
      <c r="AH209" s="115"/>
      <c r="AI209" s="116"/>
      <c r="AJ209" s="117"/>
      <c r="AK209" s="118">
        <v>2694.39</v>
      </c>
      <c r="AL209" s="115">
        <f>+(254.09+73.99)/AK209</f>
        <v>0.12176410987273557</v>
      </c>
      <c r="AM209" s="118">
        <f>+AG209/AK209</f>
        <v>0.12514335341208957</v>
      </c>
      <c r="AN209" s="157"/>
      <c r="AO209" s="168">
        <f>+(8*21938+10*17546+13161*1+3*8775)/22*AG209</f>
        <v>5984267.4204545449</v>
      </c>
      <c r="AP209" s="169">
        <v>86728.29</v>
      </c>
      <c r="AQ209" s="193" t="s">
        <v>36</v>
      </c>
      <c r="AR209" s="5" t="s">
        <v>1131</v>
      </c>
      <c r="AS209" s="211">
        <v>44532</v>
      </c>
      <c r="AT209" s="211"/>
      <c r="AU209" s="5" t="s">
        <v>1132</v>
      </c>
      <c r="AV209" s="8"/>
      <c r="AW209" s="8"/>
      <c r="AX209" s="8"/>
      <c r="AY209" s="8"/>
      <c r="AZ209" s="8"/>
      <c r="BA209" s="8"/>
      <c r="BB209" s="8"/>
      <c r="BC209" s="8"/>
      <c r="BD209" s="8"/>
      <c r="BE209" s="8"/>
      <c r="BF209" s="8"/>
      <c r="BG209" s="9"/>
      <c r="BH209" s="9"/>
      <c r="BI209" s="9"/>
      <c r="BJ209" s="9"/>
      <c r="BK209" s="9"/>
      <c r="BL209" s="9"/>
      <c r="BM209" s="9"/>
      <c r="BN209" s="9"/>
      <c r="BO209" s="9"/>
      <c r="BP209" s="9"/>
      <c r="BQ209" s="9"/>
      <c r="BR209" s="9"/>
      <c r="BS209" s="9"/>
      <c r="BT209" s="9"/>
      <c r="BU209" s="9"/>
      <c r="BV209" s="9"/>
      <c r="IP209" s="9"/>
      <c r="IQ209" s="9"/>
      <c r="IR209" s="9"/>
      <c r="IS209" s="9"/>
      <c r="IT209" s="9"/>
      <c r="IU209" s="9"/>
      <c r="IV209" s="9"/>
    </row>
    <row r="210" spans="1:256 16384:16384" s="10" customFormat="1" ht="38.25">
      <c r="A210" s="274"/>
      <c r="B210" s="90">
        <v>216</v>
      </c>
      <c r="C210" s="193" t="s">
        <v>1133</v>
      </c>
      <c r="D210" s="227">
        <v>44482</v>
      </c>
      <c r="E210" s="1">
        <v>-6955</v>
      </c>
      <c r="F210" s="1">
        <v>138552</v>
      </c>
      <c r="G210" s="1">
        <v>8502</v>
      </c>
      <c r="H210" s="1"/>
      <c r="I210" s="1"/>
      <c r="J210" s="1">
        <v>342</v>
      </c>
      <c r="K210" s="1">
        <v>2</v>
      </c>
      <c r="L210" s="204" t="s">
        <v>1134</v>
      </c>
      <c r="M210" s="204" t="s">
        <v>1135</v>
      </c>
      <c r="N210" s="204" t="s">
        <v>1136</v>
      </c>
      <c r="O210" s="204"/>
      <c r="P210" s="204" t="s">
        <v>231</v>
      </c>
      <c r="Q210" s="204" t="s">
        <v>231</v>
      </c>
      <c r="R210" s="204" t="s">
        <v>231</v>
      </c>
      <c r="S210" s="204" t="s">
        <v>52</v>
      </c>
      <c r="T210" s="1"/>
      <c r="U210" s="2">
        <v>2</v>
      </c>
      <c r="V210" s="1"/>
      <c r="W210" s="1"/>
      <c r="X210" s="204" t="s">
        <v>44</v>
      </c>
      <c r="Y210" s="1"/>
      <c r="Z210" s="2">
        <f>2+2</f>
        <v>4</v>
      </c>
      <c r="AA210" s="3"/>
      <c r="AB210" s="2">
        <f>+Z210+1+1</f>
        <v>6</v>
      </c>
      <c r="AC210" s="3"/>
      <c r="AD210" s="2">
        <f>+Z210*2</f>
        <v>8</v>
      </c>
      <c r="AE210" s="115"/>
      <c r="AF210" s="115"/>
      <c r="AG210" s="115"/>
      <c r="AH210" s="115"/>
      <c r="AI210" s="116">
        <v>116.05</v>
      </c>
      <c r="AJ210" s="117"/>
      <c r="AK210" s="118">
        <v>316.5</v>
      </c>
      <c r="AL210" s="115">
        <f>+AI210/AK210</f>
        <v>0.36666666666666664</v>
      </c>
      <c r="AM210" s="118">
        <f>+AI210/AK210</f>
        <v>0.36666666666666664</v>
      </c>
      <c r="AN210" s="157"/>
      <c r="AO210" s="168">
        <f>+(5*21938+6*17546+13161*7+2*8775)/20*AI210</f>
        <v>1883741.0074999998</v>
      </c>
      <c r="AP210" s="169">
        <v>7174.56</v>
      </c>
      <c r="AQ210" s="193" t="s">
        <v>1137</v>
      </c>
      <c r="AR210" s="5" t="s">
        <v>1138</v>
      </c>
      <c r="AS210" s="211">
        <v>44557</v>
      </c>
      <c r="AT210" s="211"/>
      <c r="AU210" s="48" t="s">
        <v>1139</v>
      </c>
      <c r="AV210" s="8"/>
      <c r="AW210" s="8"/>
      <c r="AX210" s="8"/>
      <c r="AY210" s="8"/>
      <c r="AZ210" s="8"/>
      <c r="BA210" s="8"/>
      <c r="BB210" s="8"/>
      <c r="BC210" s="8"/>
      <c r="BD210" s="8"/>
      <c r="BE210" s="8"/>
      <c r="BF210" s="8"/>
      <c r="BG210" s="9"/>
      <c r="BH210" s="9"/>
      <c r="BI210" s="9"/>
      <c r="BJ210" s="9"/>
      <c r="BK210" s="9"/>
      <c r="BL210" s="9"/>
      <c r="BM210" s="9"/>
      <c r="BN210" s="9"/>
      <c r="BO210" s="9"/>
      <c r="BP210" s="9"/>
      <c r="BQ210" s="9"/>
      <c r="BR210" s="9"/>
      <c r="BS210" s="9"/>
      <c r="BT210" s="9"/>
      <c r="BU210" s="9"/>
      <c r="BV210" s="9"/>
      <c r="IP210" s="9"/>
      <c r="IQ210" s="9"/>
      <c r="IR210" s="9"/>
      <c r="IS210" s="9"/>
      <c r="IT210" s="9"/>
      <c r="IU210" s="9"/>
      <c r="IV210" s="9"/>
    </row>
    <row r="211" spans="1:256 16384:16384" s="10" customFormat="1" ht="76.5">
      <c r="A211" s="274"/>
      <c r="B211" s="90">
        <v>203</v>
      </c>
      <c r="C211" s="193" t="s">
        <v>1140</v>
      </c>
      <c r="D211" s="227">
        <v>44244</v>
      </c>
      <c r="E211" s="1">
        <v>57964</v>
      </c>
      <c r="F211" s="1">
        <v>166431</v>
      </c>
      <c r="G211" s="1">
        <v>33777</v>
      </c>
      <c r="H211" s="1">
        <v>103</v>
      </c>
      <c r="I211" s="1"/>
      <c r="J211" s="1">
        <v>7</v>
      </c>
      <c r="K211" s="1">
        <v>7</v>
      </c>
      <c r="L211" s="204" t="s">
        <v>1141</v>
      </c>
      <c r="M211" s="204" t="s">
        <v>1142</v>
      </c>
      <c r="N211" s="204" t="s">
        <v>1143</v>
      </c>
      <c r="O211" s="204"/>
      <c r="P211" s="204" t="s">
        <v>530</v>
      </c>
      <c r="Q211" s="204"/>
      <c r="R211" s="204"/>
      <c r="S211" s="204"/>
      <c r="T211" s="1">
        <v>1</v>
      </c>
      <c r="U211" s="2"/>
      <c r="V211" s="1"/>
      <c r="W211" s="1"/>
      <c r="X211" s="204" t="s">
        <v>67</v>
      </c>
      <c r="Y211" s="1">
        <v>4</v>
      </c>
      <c r="Z211" s="2"/>
      <c r="AA211" s="3">
        <f>+Y211+1</f>
        <v>5</v>
      </c>
      <c r="AB211" s="2"/>
      <c r="AC211" s="3">
        <f>+Y211*2</f>
        <v>8</v>
      </c>
      <c r="AD211" s="2"/>
      <c r="AE211" s="115"/>
      <c r="AF211" s="115"/>
      <c r="AG211" s="115">
        <f>143.3+124.6/2</f>
        <v>205.60000000000002</v>
      </c>
      <c r="AH211" s="115"/>
      <c r="AI211" s="116"/>
      <c r="AJ211" s="117"/>
      <c r="AK211" s="118">
        <v>640</v>
      </c>
      <c r="AL211" s="118">
        <f>+(143.3+124.6)/AK211</f>
        <v>0.41859374999999999</v>
      </c>
      <c r="AM211" s="118">
        <f>+AG211/AK211</f>
        <v>0.32125000000000004</v>
      </c>
      <c r="AN211" s="157"/>
      <c r="AO211" s="168">
        <f>+(8*21938+17546*6+7*13161+1*8775)/22*AG211</f>
        <v>3566991.7818181827</v>
      </c>
      <c r="AP211" s="169">
        <v>53021.98</v>
      </c>
      <c r="AQ211" s="193" t="s">
        <v>45</v>
      </c>
      <c r="AR211" s="5" t="s">
        <v>1144</v>
      </c>
      <c r="AS211" s="211">
        <v>44545</v>
      </c>
      <c r="AT211" s="211"/>
      <c r="AU211" s="5" t="s">
        <v>1145</v>
      </c>
      <c r="AV211" s="8"/>
      <c r="AW211" s="8"/>
      <c r="AX211" s="8"/>
      <c r="AY211" s="8"/>
      <c r="AZ211" s="8"/>
      <c r="BA211" s="8"/>
      <c r="BB211" s="8"/>
      <c r="BC211" s="8"/>
      <c r="BD211" s="8"/>
      <c r="BE211" s="8"/>
      <c r="BF211" s="8"/>
      <c r="BG211" s="9"/>
      <c r="BH211" s="9"/>
      <c r="BI211" s="9"/>
      <c r="BJ211" s="9"/>
      <c r="BK211" s="9"/>
      <c r="BL211" s="9"/>
      <c r="BM211" s="9"/>
      <c r="BN211" s="9"/>
      <c r="BO211" s="9"/>
      <c r="BP211" s="9"/>
      <c r="BQ211" s="9"/>
      <c r="BR211" s="9"/>
      <c r="BS211" s="9"/>
      <c r="BT211" s="9"/>
      <c r="BU211" s="9"/>
      <c r="BV211" s="9"/>
      <c r="IP211" s="9"/>
      <c r="IQ211" s="9"/>
      <c r="IR211" s="9"/>
      <c r="IS211" s="9"/>
      <c r="IT211" s="9"/>
      <c r="IU211" s="9"/>
      <c r="IV211" s="9"/>
    </row>
    <row r="212" spans="1:256 16384:16384" s="10" customFormat="1" ht="76.5">
      <c r="A212" s="274"/>
      <c r="B212" s="77">
        <v>205</v>
      </c>
      <c r="C212" s="291" t="s">
        <v>1146</v>
      </c>
      <c r="D212" s="227">
        <v>44501</v>
      </c>
      <c r="E212" s="1">
        <v>50340</v>
      </c>
      <c r="F212" s="1">
        <v>160376</v>
      </c>
      <c r="G212" s="1">
        <v>32776</v>
      </c>
      <c r="H212" s="1">
        <v>181</v>
      </c>
      <c r="I212" s="1"/>
      <c r="J212" s="1">
        <v>3</v>
      </c>
      <c r="K212" s="1">
        <v>5</v>
      </c>
      <c r="L212" s="204" t="s">
        <v>440</v>
      </c>
      <c r="M212" s="204" t="s">
        <v>151</v>
      </c>
      <c r="N212" s="204" t="s">
        <v>1147</v>
      </c>
      <c r="O212" s="204"/>
      <c r="P212" s="204" t="s">
        <v>1148</v>
      </c>
      <c r="Q212" s="204"/>
      <c r="R212" s="204"/>
      <c r="S212" s="204"/>
      <c r="T212" s="1">
        <v>1</v>
      </c>
      <c r="U212" s="2"/>
      <c r="V212" s="1"/>
      <c r="W212" s="1"/>
      <c r="X212" s="204" t="s">
        <v>44</v>
      </c>
      <c r="Y212" s="1">
        <f>1+1</f>
        <v>2</v>
      </c>
      <c r="Z212" s="2"/>
      <c r="AA212" s="3">
        <f>+Y212+1+1</f>
        <v>4</v>
      </c>
      <c r="AB212" s="2"/>
      <c r="AC212" s="3">
        <f>+Y212*2</f>
        <v>4</v>
      </c>
      <c r="AD212" s="2"/>
      <c r="AE212" s="115">
        <f>+AG212</f>
        <v>61.71</v>
      </c>
      <c r="AF212" s="115"/>
      <c r="AG212" s="115">
        <f>27.33+13.9+17.45/2+23.51/2</f>
        <v>61.71</v>
      </c>
      <c r="AH212" s="115"/>
      <c r="AI212" s="116"/>
      <c r="AJ212" s="117"/>
      <c r="AK212" s="118">
        <v>2022.32</v>
      </c>
      <c r="AL212" s="118">
        <f>+(17.45*2+23.51*2+27.33*2)/AK212</f>
        <v>6.753629494837611E-2</v>
      </c>
      <c r="AM212" s="118">
        <f>+(AE212+AG212)/AK212</f>
        <v>6.1028917283120376E-2</v>
      </c>
      <c r="AN212" s="157"/>
      <c r="AO212" s="168">
        <f>+(1*17546+6*13161+8775*12)/19*AG212</f>
        <v>655464.13263157895</v>
      </c>
      <c r="AP212" s="169">
        <v>10129.5</v>
      </c>
      <c r="AQ212" s="193" t="s">
        <v>36</v>
      </c>
      <c r="AR212" s="5" t="s">
        <v>1149</v>
      </c>
      <c r="AS212" s="211">
        <v>44546</v>
      </c>
      <c r="AT212" s="211"/>
      <c r="AU212" s="5" t="s">
        <v>1150</v>
      </c>
      <c r="AV212" s="8"/>
      <c r="AW212" s="8"/>
      <c r="AX212" s="8"/>
      <c r="AY212" s="8"/>
      <c r="AZ212" s="8"/>
      <c r="BA212" s="8"/>
      <c r="BB212" s="8"/>
      <c r="BC212" s="8"/>
      <c r="BD212" s="8"/>
      <c r="BE212" s="8"/>
      <c r="BF212" s="8"/>
      <c r="BG212" s="9"/>
      <c r="BH212" s="9"/>
      <c r="BI212" s="9"/>
      <c r="BJ212" s="9"/>
      <c r="BK212" s="9"/>
      <c r="BL212" s="9"/>
      <c r="BM212" s="9"/>
      <c r="BN212" s="9"/>
      <c r="BO212" s="9"/>
      <c r="BP212" s="9"/>
      <c r="BQ212" s="9"/>
      <c r="BR212" s="9"/>
      <c r="BS212" s="9"/>
      <c r="BT212" s="9"/>
      <c r="BU212" s="9"/>
      <c r="BV212" s="9"/>
      <c r="IP212" s="9"/>
      <c r="IQ212" s="9"/>
      <c r="IR212" s="9"/>
      <c r="IS212" s="9"/>
      <c r="IT212" s="9"/>
      <c r="IU212" s="9"/>
      <c r="IV212" s="9"/>
    </row>
    <row r="213" spans="1:256 16384:16384" s="65" customFormat="1" ht="76.5">
      <c r="A213" s="278"/>
      <c r="B213" s="100">
        <v>220</v>
      </c>
      <c r="C213" s="251">
        <v>538105</v>
      </c>
      <c r="D213" s="248">
        <v>44537</v>
      </c>
      <c r="E213" s="107">
        <v>56891</v>
      </c>
      <c r="F213" s="107">
        <v>165517</v>
      </c>
      <c r="G213" s="107">
        <v>33652</v>
      </c>
      <c r="H213" s="107">
        <v>310</v>
      </c>
      <c r="I213" s="107"/>
      <c r="J213" s="107">
        <v>3</v>
      </c>
      <c r="K213" s="107">
        <v>45</v>
      </c>
      <c r="L213" s="255" t="s">
        <v>837</v>
      </c>
      <c r="M213" s="255" t="s">
        <v>754</v>
      </c>
      <c r="N213" s="254" t="s">
        <v>1151</v>
      </c>
      <c r="O213" s="255"/>
      <c r="P213" s="255" t="s">
        <v>1152</v>
      </c>
      <c r="Q213" s="255" t="s">
        <v>1152</v>
      </c>
      <c r="R213" s="255" t="s">
        <v>1152</v>
      </c>
      <c r="S213" s="255" t="s">
        <v>1153</v>
      </c>
      <c r="T213" s="107"/>
      <c r="U213" s="2">
        <v>1</v>
      </c>
      <c r="V213" s="104"/>
      <c r="W213" s="104"/>
      <c r="X213" s="201" t="s">
        <v>67</v>
      </c>
      <c r="Y213" s="104"/>
      <c r="Z213" s="63">
        <v>2</v>
      </c>
      <c r="AA213" s="64"/>
      <c r="AB213" s="63">
        <f>+Z213+1+1</f>
        <v>4</v>
      </c>
      <c r="AC213" s="64"/>
      <c r="AD213" s="63">
        <f>+Z213*2</f>
        <v>4</v>
      </c>
      <c r="AE213" s="150"/>
      <c r="AF213" s="150"/>
      <c r="AG213" s="150"/>
      <c r="AH213" s="150"/>
      <c r="AI213" s="151">
        <f>155.25+38.32/2</f>
        <v>174.41</v>
      </c>
      <c r="AJ213" s="151"/>
      <c r="AK213" s="152">
        <v>826.93</v>
      </c>
      <c r="AL213" s="152">
        <f>+(155.25+38.32)/AK213</f>
        <v>0.23408269140072316</v>
      </c>
      <c r="AM213" s="152">
        <f>+AI213/AK213</f>
        <v>0.21091265282430194</v>
      </c>
      <c r="AN213" s="104">
        <f>+(2+24+4)/(1+8+1)</f>
        <v>3</v>
      </c>
      <c r="AO213" s="188">
        <f>+(7*21938+17546*5+7*13161+8775*3)/22*AI213</f>
        <v>2851984.0309090908</v>
      </c>
      <c r="AP213" s="188">
        <v>10053.549999999999</v>
      </c>
      <c r="AQ213" s="201" t="s">
        <v>36</v>
      </c>
      <c r="AR213" s="62" t="s">
        <v>1154</v>
      </c>
      <c r="AS213" s="223">
        <v>44558</v>
      </c>
      <c r="AT213" s="223"/>
      <c r="AU213" s="28" t="s">
        <v>1155</v>
      </c>
      <c r="XFD213" s="61"/>
    </row>
    <row r="214" spans="1:256 16384:16384" s="10" customFormat="1" ht="76.5">
      <c r="A214" s="274"/>
      <c r="B214" s="77">
        <v>202</v>
      </c>
      <c r="C214" s="291" t="s">
        <v>1156</v>
      </c>
      <c r="D214" s="227">
        <v>44487</v>
      </c>
      <c r="E214" s="1">
        <v>46352</v>
      </c>
      <c r="F214" s="1">
        <v>60556</v>
      </c>
      <c r="G214" s="1">
        <v>30934</v>
      </c>
      <c r="H214" s="1">
        <v>343</v>
      </c>
      <c r="I214" s="1"/>
      <c r="J214" s="1"/>
      <c r="K214" s="1">
        <v>3</v>
      </c>
      <c r="L214" s="204" t="s">
        <v>137</v>
      </c>
      <c r="M214" s="204" t="s">
        <v>1157</v>
      </c>
      <c r="N214" s="204" t="s">
        <v>1158</v>
      </c>
      <c r="O214" s="204"/>
      <c r="P214" s="204" t="s">
        <v>1148</v>
      </c>
      <c r="Q214" s="204"/>
      <c r="R214" s="204"/>
      <c r="S214" s="204"/>
      <c r="T214" s="1">
        <v>1</v>
      </c>
      <c r="U214" s="2"/>
      <c r="V214" s="1"/>
      <c r="W214" s="1"/>
      <c r="X214" s="204" t="s">
        <v>67</v>
      </c>
      <c r="Y214" s="1">
        <v>2</v>
      </c>
      <c r="Z214" s="2"/>
      <c r="AA214" s="3">
        <f>+Y214+1</f>
        <v>3</v>
      </c>
      <c r="AB214" s="2"/>
      <c r="AC214" s="3">
        <f>+Y214*2</f>
        <v>4</v>
      </c>
      <c r="AD214" s="2"/>
      <c r="AE214" s="115"/>
      <c r="AF214" s="115">
        <v>0</v>
      </c>
      <c r="AG214" s="115">
        <f>120.26+140.8/2</f>
        <v>190.66000000000003</v>
      </c>
      <c r="AH214" s="115"/>
      <c r="AI214" s="116"/>
      <c r="AJ214" s="117"/>
      <c r="AK214" s="118">
        <v>1298.31</v>
      </c>
      <c r="AL214" s="118">
        <f>+(120.26+140.8)/AK214</f>
        <v>0.20107678443515031</v>
      </c>
      <c r="AM214" s="118">
        <f>+AG214/AK214</f>
        <v>0.14685244664217331</v>
      </c>
      <c r="AN214" s="157"/>
      <c r="AO214" s="168">
        <f>480000+((6*17546+9*13161+5*8775)/21*AG214)</f>
        <v>2909553.1428571432</v>
      </c>
      <c r="AP214" s="169">
        <v>63389.83</v>
      </c>
      <c r="AQ214" s="193" t="s">
        <v>36</v>
      </c>
      <c r="AR214" s="5" t="s">
        <v>1159</v>
      </c>
      <c r="AS214" s="211">
        <v>44544</v>
      </c>
      <c r="AT214" s="211"/>
      <c r="AU214" s="5"/>
      <c r="AV214" s="8"/>
      <c r="AW214" s="8"/>
      <c r="AX214" s="8"/>
      <c r="AY214" s="8"/>
      <c r="AZ214" s="8"/>
      <c r="BA214" s="8"/>
      <c r="BB214" s="8"/>
      <c r="BC214" s="8"/>
      <c r="BD214" s="8"/>
      <c r="BE214" s="8"/>
      <c r="BF214" s="8"/>
      <c r="BG214" s="9"/>
      <c r="BH214" s="9"/>
      <c r="BI214" s="9"/>
      <c r="BJ214" s="9"/>
      <c r="BK214" s="9"/>
      <c r="BL214" s="9"/>
      <c r="BM214" s="9"/>
      <c r="BN214" s="9"/>
      <c r="BO214" s="9"/>
      <c r="BP214" s="9"/>
      <c r="BQ214" s="9"/>
      <c r="BR214" s="9"/>
      <c r="BS214" s="9"/>
      <c r="BT214" s="9"/>
      <c r="BU214" s="9"/>
      <c r="BV214" s="9"/>
      <c r="IP214" s="9"/>
      <c r="IQ214" s="9"/>
      <c r="IR214" s="9"/>
      <c r="IS214" s="9"/>
      <c r="IT214" s="9"/>
      <c r="IU214" s="9"/>
      <c r="IV214" s="9"/>
    </row>
    <row r="215" spans="1:256 16384:16384" s="10" customFormat="1" ht="76.5">
      <c r="A215" s="274"/>
      <c r="B215" s="77">
        <v>209</v>
      </c>
      <c r="C215" s="291">
        <v>537329</v>
      </c>
      <c r="D215" s="227">
        <v>44516</v>
      </c>
      <c r="E215" s="1">
        <v>28072</v>
      </c>
      <c r="F215" s="1">
        <v>121978</v>
      </c>
      <c r="G215" s="1">
        <v>6224</v>
      </c>
      <c r="H215" s="1"/>
      <c r="I215" s="1"/>
      <c r="J215" s="1">
        <v>683</v>
      </c>
      <c r="K215" s="1">
        <v>19</v>
      </c>
      <c r="L215" s="204" t="s">
        <v>48</v>
      </c>
      <c r="M215" s="204" t="s">
        <v>1160</v>
      </c>
      <c r="N215" s="204" t="s">
        <v>1161</v>
      </c>
      <c r="O215" s="204"/>
      <c r="P215" s="204" t="s">
        <v>1162</v>
      </c>
      <c r="Q215" s="204"/>
      <c r="R215" s="204"/>
      <c r="S215" s="204"/>
      <c r="T215" s="1">
        <f>1+4</f>
        <v>5</v>
      </c>
      <c r="U215" s="2"/>
      <c r="V215" s="1"/>
      <c r="W215" s="1"/>
      <c r="X215" s="204" t="s">
        <v>44</v>
      </c>
      <c r="Y215" s="1">
        <f>1+4</f>
        <v>5</v>
      </c>
      <c r="Z215" s="2"/>
      <c r="AA215" s="3">
        <f>+Y215+4</f>
        <v>9</v>
      </c>
      <c r="AB215" s="2"/>
      <c r="AC215" s="3">
        <f>+Y215*2</f>
        <v>10</v>
      </c>
      <c r="AD215" s="2"/>
      <c r="AE215" s="115">
        <f>38.11+88.55/2+106.08+5.03/2+106.08+5.03/2-AG215</f>
        <v>261.46499999999992</v>
      </c>
      <c r="AF215" s="115"/>
      <c r="AG215" s="115">
        <v>38.11</v>
      </c>
      <c r="AH215" s="115"/>
      <c r="AI215" s="116"/>
      <c r="AJ215" s="117"/>
      <c r="AK215" s="118">
        <v>186.96</v>
      </c>
      <c r="AL215" s="118">
        <f>+(38.11+88.5)/AK215</f>
        <v>0.67720367993153607</v>
      </c>
      <c r="AM215" s="118">
        <f>+(AE215+AG215)/AK215</f>
        <v>1.6023480958493792</v>
      </c>
      <c r="AN215" s="157">
        <f>+(4+18)/(2+6)</f>
        <v>2.75</v>
      </c>
      <c r="AO215" s="168">
        <f>+(2*21938+17546*5+6*13161+8*8775)/21*AG215</f>
        <v>509534.32952380955</v>
      </c>
      <c r="AP215" s="169">
        <v>6606.13</v>
      </c>
      <c r="AQ215" s="193" t="s">
        <v>36</v>
      </c>
      <c r="AR215" s="5" t="s">
        <v>1163</v>
      </c>
      <c r="AS215" s="211">
        <v>44551</v>
      </c>
      <c r="AT215" s="211"/>
      <c r="AU215" s="5" t="s">
        <v>1164</v>
      </c>
      <c r="AV215" s="8"/>
      <c r="AW215" s="8"/>
      <c r="AX215" s="8"/>
      <c r="AY215" s="8"/>
      <c r="AZ215" s="8"/>
      <c r="BA215" s="8"/>
      <c r="BB215" s="8"/>
      <c r="BC215" s="8"/>
      <c r="BD215" s="8"/>
      <c r="BE215" s="8"/>
      <c r="BF215" s="8"/>
      <c r="BG215" s="9"/>
      <c r="BH215" s="9"/>
      <c r="BI215" s="9"/>
      <c r="BJ215" s="9"/>
      <c r="BK215" s="9"/>
      <c r="BL215" s="9"/>
      <c r="BM215" s="9"/>
      <c r="BN215" s="9"/>
      <c r="BO215" s="9"/>
      <c r="BP215" s="9"/>
      <c r="BQ215" s="9"/>
      <c r="BR215" s="9"/>
      <c r="BS215" s="9"/>
      <c r="BT215" s="9"/>
      <c r="BU215" s="9"/>
      <c r="BV215" s="9"/>
      <c r="IP215" s="9"/>
      <c r="IQ215" s="9"/>
      <c r="IR215" s="9"/>
      <c r="IS215" s="9"/>
      <c r="IT215" s="9"/>
      <c r="IU215" s="9"/>
      <c r="IV215" s="9"/>
    </row>
    <row r="216" spans="1:256 16384:16384" s="10" customFormat="1" ht="38.25">
      <c r="A216" s="274"/>
      <c r="B216" s="77">
        <v>207</v>
      </c>
      <c r="C216" s="291">
        <v>537963</v>
      </c>
      <c r="D216" s="227">
        <v>44533</v>
      </c>
      <c r="E216" s="1">
        <v>39106</v>
      </c>
      <c r="F216" s="1">
        <v>138026</v>
      </c>
      <c r="G216" s="1">
        <v>20399</v>
      </c>
      <c r="H216" s="1"/>
      <c r="I216" s="1"/>
      <c r="J216" s="1">
        <v>408</v>
      </c>
      <c r="K216" s="1">
        <v>6</v>
      </c>
      <c r="L216" s="204" t="s">
        <v>39</v>
      </c>
      <c r="M216" s="204" t="s">
        <v>1165</v>
      </c>
      <c r="N216" s="204" t="s">
        <v>1166</v>
      </c>
      <c r="O216" s="204"/>
      <c r="P216" s="204" t="s">
        <v>1167</v>
      </c>
      <c r="Q216" s="204"/>
      <c r="R216" s="204"/>
      <c r="S216" s="204"/>
      <c r="T216" s="1">
        <v>1</v>
      </c>
      <c r="U216" s="2"/>
      <c r="V216" s="1"/>
      <c r="W216" s="1"/>
      <c r="X216" s="204" t="s">
        <v>67</v>
      </c>
      <c r="Y216" s="1"/>
      <c r="Z216" s="2"/>
      <c r="AA216" s="3"/>
      <c r="AB216" s="2"/>
      <c r="AC216" s="3"/>
      <c r="AD216" s="2"/>
      <c r="AE216" s="115"/>
      <c r="AF216" s="115"/>
      <c r="AG216" s="115">
        <f>136.67+59.43/2</f>
        <v>166.38499999999999</v>
      </c>
      <c r="AH216" s="115"/>
      <c r="AI216" s="116"/>
      <c r="AJ216" s="117"/>
      <c r="AK216" s="118">
        <v>543.49</v>
      </c>
      <c r="AL216" s="118">
        <f>+(138.67+59.43)/AK216</f>
        <v>0.36449612688365929</v>
      </c>
      <c r="AM216" s="118">
        <f>+AG216/AK216</f>
        <v>0.3061417873373935</v>
      </c>
      <c r="AN216" s="157"/>
      <c r="AO216" s="168">
        <f>+(6*21938+2*17546+13161*6+7*8775)/21*AG216</f>
        <v>2433269.7016666667</v>
      </c>
      <c r="AP216" s="169">
        <v>10253.15</v>
      </c>
      <c r="AQ216" s="193" t="s">
        <v>1137</v>
      </c>
      <c r="AR216" s="5" t="s">
        <v>1168</v>
      </c>
      <c r="AS216" s="211">
        <v>44550</v>
      </c>
      <c r="AT216" s="211"/>
      <c r="AU216" s="48">
        <v>44533</v>
      </c>
      <c r="AV216" s="8"/>
      <c r="AW216" s="8"/>
      <c r="AX216" s="8"/>
      <c r="AY216" s="8"/>
      <c r="AZ216" s="8"/>
      <c r="BA216" s="8"/>
      <c r="BB216" s="8"/>
      <c r="BC216" s="8"/>
      <c r="BD216" s="8"/>
      <c r="BE216" s="8"/>
      <c r="BF216" s="8"/>
      <c r="BG216" s="9"/>
      <c r="BH216" s="9"/>
      <c r="BI216" s="9"/>
      <c r="BJ216" s="9"/>
      <c r="BK216" s="9"/>
      <c r="BL216" s="9"/>
      <c r="BM216" s="9"/>
      <c r="BN216" s="9"/>
      <c r="BO216" s="9"/>
      <c r="BP216" s="9"/>
      <c r="BQ216" s="9"/>
      <c r="BR216" s="9"/>
      <c r="BS216" s="9"/>
      <c r="BT216" s="9"/>
      <c r="BU216" s="9"/>
      <c r="BV216" s="9"/>
      <c r="IP216" s="9"/>
      <c r="IQ216" s="9"/>
      <c r="IR216" s="9"/>
      <c r="IS216" s="9"/>
      <c r="IT216" s="9"/>
      <c r="IU216" s="9"/>
      <c r="IV216" s="9"/>
    </row>
    <row r="217" spans="1:256 16384:16384" s="10" customFormat="1" ht="114.75">
      <c r="A217" s="274"/>
      <c r="B217" s="77">
        <v>206</v>
      </c>
      <c r="C217" s="291" t="s">
        <v>1169</v>
      </c>
      <c r="D217" s="235">
        <v>43881</v>
      </c>
      <c r="E217" s="1">
        <v>57322</v>
      </c>
      <c r="F217" s="1">
        <v>139724</v>
      </c>
      <c r="G217" s="1">
        <v>8571</v>
      </c>
      <c r="H217" s="1"/>
      <c r="I217" s="1">
        <v>29</v>
      </c>
      <c r="J217" s="1">
        <v>15</v>
      </c>
      <c r="K217" s="1">
        <v>17</v>
      </c>
      <c r="L217" s="204" t="s">
        <v>215</v>
      </c>
      <c r="M217" s="204" t="s">
        <v>1170</v>
      </c>
      <c r="N217" s="204" t="s">
        <v>1171</v>
      </c>
      <c r="O217" s="204"/>
      <c r="P217" s="204" t="s">
        <v>666</v>
      </c>
      <c r="Q217" s="204"/>
      <c r="R217" s="204"/>
      <c r="S217" s="204"/>
      <c r="T217" s="1">
        <f>4+2</f>
        <v>6</v>
      </c>
      <c r="U217" s="2"/>
      <c r="V217" s="1"/>
      <c r="W217" s="1"/>
      <c r="X217" s="204" t="s">
        <v>1172</v>
      </c>
      <c r="Y217" s="1">
        <f>1+1+1+2</f>
        <v>5</v>
      </c>
      <c r="Z217" s="2"/>
      <c r="AA217" s="3">
        <f>+Y217+1</f>
        <v>6</v>
      </c>
      <c r="AB217" s="2"/>
      <c r="AC217" s="3">
        <f>+Y217*2</f>
        <v>10</v>
      </c>
      <c r="AD217" s="2"/>
      <c r="AE217" s="115"/>
      <c r="AF217" s="115"/>
      <c r="AG217" s="115">
        <f>232.08+3.9/2+70.55+9.37/2-AH217</f>
        <v>173.39500000000001</v>
      </c>
      <c r="AH217" s="115">
        <f>+(133.92+3.9/2)</f>
        <v>135.86999999999998</v>
      </c>
      <c r="AI217" s="116"/>
      <c r="AJ217" s="117"/>
      <c r="AK217" s="118">
        <v>350.15</v>
      </c>
      <c r="AL217" s="118">
        <f>+(133.92+3.9+98.16)/AK217</f>
        <v>0.6739397401113808</v>
      </c>
      <c r="AM217" s="118">
        <f>+(AG217+AH217)/AK217</f>
        <v>0.88323575610452665</v>
      </c>
      <c r="AN217" s="157"/>
      <c r="AO217" s="168">
        <f>+(AH217*17546)+((10*17546+13161*6+6*8775)/22*AG217)</f>
        <v>4804222.43</v>
      </c>
      <c r="AP217" s="169">
        <v>70891.78</v>
      </c>
      <c r="AQ217" s="193" t="s">
        <v>36</v>
      </c>
      <c r="AR217" s="5" t="s">
        <v>1173</v>
      </c>
      <c r="AS217" s="211">
        <v>44547</v>
      </c>
      <c r="AT217" s="211"/>
      <c r="AU217" s="5" t="s">
        <v>1174</v>
      </c>
      <c r="AV217" s="8"/>
      <c r="AW217" s="8"/>
      <c r="AX217" s="8"/>
      <c r="AY217" s="8"/>
      <c r="AZ217" s="8"/>
      <c r="BA217" s="8"/>
      <c r="BB217" s="8"/>
      <c r="BC217" s="8"/>
      <c r="BD217" s="8"/>
      <c r="BE217" s="8"/>
      <c r="BF217" s="8"/>
      <c r="BG217" s="9"/>
      <c r="BH217" s="9"/>
      <c r="BI217" s="9"/>
      <c r="BJ217" s="9"/>
      <c r="BK217" s="9"/>
      <c r="BL217" s="9"/>
      <c r="BM217" s="9"/>
      <c r="BN217" s="9"/>
      <c r="BO217" s="9"/>
      <c r="BP217" s="9"/>
      <c r="BQ217" s="9"/>
      <c r="BR217" s="9"/>
      <c r="BS217" s="9"/>
      <c r="BT217" s="9"/>
      <c r="BU217" s="9"/>
      <c r="BV217" s="9"/>
      <c r="IP217" s="9"/>
      <c r="IQ217" s="9"/>
      <c r="IR217" s="9"/>
      <c r="IS217" s="9"/>
      <c r="IT217" s="9"/>
      <c r="IU217" s="9"/>
      <c r="IV217" s="9"/>
    </row>
    <row r="218" spans="1:256 16384:16384" s="10" customFormat="1" ht="63.75">
      <c r="A218" s="274"/>
      <c r="B218" s="90">
        <v>215</v>
      </c>
      <c r="C218" s="193">
        <v>533984</v>
      </c>
      <c r="D218" s="227">
        <v>44446</v>
      </c>
      <c r="E218" s="1">
        <v>13600</v>
      </c>
      <c r="F218" s="1">
        <v>104389</v>
      </c>
      <c r="G218" s="1">
        <v>1130</v>
      </c>
      <c r="H218" s="1"/>
      <c r="I218" s="1"/>
      <c r="J218" s="1">
        <v>33</v>
      </c>
      <c r="K218" s="1">
        <v>22</v>
      </c>
      <c r="L218" s="204" t="s">
        <v>31</v>
      </c>
      <c r="M218" s="204" t="s">
        <v>1175</v>
      </c>
      <c r="N218" s="204" t="s">
        <v>218</v>
      </c>
      <c r="O218" s="204"/>
      <c r="P218" s="204" t="s">
        <v>218</v>
      </c>
      <c r="Q218" s="204" t="s">
        <v>218</v>
      </c>
      <c r="R218" s="204" t="s">
        <v>218</v>
      </c>
      <c r="S218" s="204" t="s">
        <v>219</v>
      </c>
      <c r="T218" s="1"/>
      <c r="U218" s="2">
        <f>4+1</f>
        <v>5</v>
      </c>
      <c r="V218" s="1"/>
      <c r="W218" s="1"/>
      <c r="X218" s="204" t="s">
        <v>220</v>
      </c>
      <c r="Y218" s="1"/>
      <c r="Z218" s="2">
        <f>2+2+1+1</f>
        <v>6</v>
      </c>
      <c r="AA218" s="3"/>
      <c r="AB218" s="2">
        <f>+Z218+1+1+1+1</f>
        <v>10</v>
      </c>
      <c r="AC218" s="3"/>
      <c r="AD218" s="2">
        <f>+Z218*2</f>
        <v>12</v>
      </c>
      <c r="AE218" s="115"/>
      <c r="AF218" s="115"/>
      <c r="AG218" s="115"/>
      <c r="AH218" s="115"/>
      <c r="AI218" s="116">
        <f>317.29+97.85/2-AJ218</f>
        <v>317.52500000000003</v>
      </c>
      <c r="AJ218" s="117">
        <v>48.69</v>
      </c>
      <c r="AK218" s="118">
        <v>207.84</v>
      </c>
      <c r="AL218" s="118">
        <f>+(70.53+4.89+48.69)/AK218</f>
        <v>0.59714203233256347</v>
      </c>
      <c r="AM218" s="118">
        <f>+(AI218+AJ218)/AK218</f>
        <v>1.7620044264819092</v>
      </c>
      <c r="AN218" s="157"/>
      <c r="AO218" s="168">
        <f>18000+48.69*14546+((3*21938+6*17546+14*13161+8775)/24*AI218)</f>
        <v>5543614.9681250006</v>
      </c>
      <c r="AP218" s="169">
        <v>22069.49</v>
      </c>
      <c r="AQ218" s="193" t="s">
        <v>45</v>
      </c>
      <c r="AR218" s="5" t="s">
        <v>1176</v>
      </c>
      <c r="AS218" s="211">
        <v>44557</v>
      </c>
      <c r="AT218" s="211"/>
      <c r="AU218" s="5" t="s">
        <v>1177</v>
      </c>
      <c r="AV218" s="8"/>
      <c r="AW218" s="8"/>
      <c r="AX218" s="8"/>
      <c r="AY218" s="8"/>
      <c r="AZ218" s="8"/>
      <c r="BA218" s="8"/>
      <c r="BB218" s="8"/>
      <c r="BC218" s="8"/>
      <c r="BD218" s="8"/>
      <c r="BE218" s="8"/>
      <c r="BF218" s="8"/>
      <c r="BG218" s="9"/>
      <c r="BH218" s="9"/>
      <c r="BI218" s="9"/>
      <c r="BJ218" s="9"/>
      <c r="BK218" s="9"/>
      <c r="BL218" s="9"/>
      <c r="BM218" s="9"/>
      <c r="BN218" s="9"/>
      <c r="BO218" s="9"/>
      <c r="BP218" s="9"/>
      <c r="BQ218" s="9"/>
      <c r="BR218" s="9"/>
      <c r="BS218" s="9"/>
      <c r="BT218" s="9"/>
      <c r="BU218" s="9"/>
      <c r="BV218" s="9"/>
      <c r="IP218" s="9"/>
      <c r="IQ218" s="9"/>
      <c r="IR218" s="9"/>
      <c r="IS218" s="9"/>
      <c r="IT218" s="9"/>
      <c r="IU218" s="9"/>
      <c r="IV218" s="9"/>
    </row>
    <row r="219" spans="1:256 16384:16384" s="10" customFormat="1" ht="38.25">
      <c r="A219" s="274"/>
      <c r="B219" s="77">
        <v>214</v>
      </c>
      <c r="C219" s="291">
        <v>537009</v>
      </c>
      <c r="D219" s="227">
        <v>44510</v>
      </c>
      <c r="E219" s="1">
        <v>38645</v>
      </c>
      <c r="F219" s="1">
        <v>137927</v>
      </c>
      <c r="G219" s="1">
        <v>31524</v>
      </c>
      <c r="H219" s="1">
        <v>3</v>
      </c>
      <c r="I219" s="1"/>
      <c r="J219" s="1"/>
      <c r="K219" s="1">
        <v>1</v>
      </c>
      <c r="L219" s="204" t="s">
        <v>293</v>
      </c>
      <c r="M219" s="204" t="s">
        <v>475</v>
      </c>
      <c r="N219" s="204"/>
      <c r="O219" s="204" t="s">
        <v>1178</v>
      </c>
      <c r="P219" s="204" t="s">
        <v>493</v>
      </c>
      <c r="Q219" s="204" t="s">
        <v>493</v>
      </c>
      <c r="R219" s="204" t="s">
        <v>493</v>
      </c>
      <c r="S219" s="204" t="s">
        <v>52</v>
      </c>
      <c r="T219" s="1"/>
      <c r="U219" s="2">
        <v>1</v>
      </c>
      <c r="V219" s="1"/>
      <c r="W219" s="1"/>
      <c r="X219" s="204" t="s">
        <v>1179</v>
      </c>
      <c r="Y219" s="1"/>
      <c r="Z219" s="2"/>
      <c r="AA219" s="3"/>
      <c r="AB219" s="2"/>
      <c r="AC219" s="3"/>
      <c r="AD219" s="2"/>
      <c r="AE219" s="115"/>
      <c r="AF219" s="115"/>
      <c r="AG219" s="115"/>
      <c r="AH219" s="115"/>
      <c r="AI219" s="116"/>
      <c r="AJ219" s="117">
        <f>7.6+36.38/2</f>
        <v>25.79</v>
      </c>
      <c r="AK219" s="118">
        <v>971044.02</v>
      </c>
      <c r="AL219" s="118"/>
      <c r="AM219" s="118"/>
      <c r="AN219" s="157"/>
      <c r="AO219" s="168">
        <f>+AJ219*17546</f>
        <v>452511.33999999997</v>
      </c>
      <c r="AP219" s="169">
        <v>2223.5</v>
      </c>
      <c r="AQ219" s="193" t="s">
        <v>107</v>
      </c>
      <c r="AR219" s="5" t="s">
        <v>1180</v>
      </c>
      <c r="AS219" s="211">
        <v>44557</v>
      </c>
      <c r="AT219" s="211"/>
      <c r="AU219" s="48">
        <v>44512</v>
      </c>
      <c r="AV219" s="8"/>
      <c r="AW219" s="8"/>
      <c r="AX219" s="8"/>
      <c r="AY219" s="8"/>
      <c r="AZ219" s="8"/>
      <c r="BA219" s="8"/>
      <c r="BB219" s="8"/>
      <c r="BC219" s="8"/>
      <c r="BD219" s="8"/>
      <c r="BE219" s="8"/>
      <c r="BF219" s="8"/>
      <c r="BG219" s="9"/>
      <c r="BH219" s="9"/>
      <c r="BI219" s="9"/>
      <c r="BJ219" s="9"/>
      <c r="BK219" s="9"/>
      <c r="BL219" s="9"/>
      <c r="BM219" s="9"/>
      <c r="BN219" s="9"/>
      <c r="BO219" s="9"/>
      <c r="BP219" s="9"/>
      <c r="BQ219" s="9"/>
      <c r="BR219" s="9"/>
      <c r="BS219" s="9"/>
      <c r="BT219" s="9"/>
      <c r="BU219" s="9"/>
      <c r="BV219" s="9"/>
      <c r="IP219" s="9"/>
      <c r="IQ219" s="9"/>
      <c r="IR219" s="9"/>
      <c r="IS219" s="9"/>
      <c r="IT219" s="9"/>
      <c r="IU219" s="9"/>
      <c r="IV219" s="9"/>
    </row>
    <row r="220" spans="1:256 16384:16384" s="65" customFormat="1" ht="63.75">
      <c r="A220" s="278"/>
      <c r="B220" s="100">
        <v>218</v>
      </c>
      <c r="C220" s="251" t="s">
        <v>1181</v>
      </c>
      <c r="D220" s="248">
        <v>44498</v>
      </c>
      <c r="E220" s="107">
        <v>-40202</v>
      </c>
      <c r="F220" s="107">
        <v>138752</v>
      </c>
      <c r="G220" s="107">
        <v>31670</v>
      </c>
      <c r="H220" s="107">
        <v>268</v>
      </c>
      <c r="I220" s="107"/>
      <c r="J220" s="107">
        <v>1</v>
      </c>
      <c r="K220" s="107">
        <v>9</v>
      </c>
      <c r="L220" s="255" t="s">
        <v>440</v>
      </c>
      <c r="M220" s="255" t="s">
        <v>754</v>
      </c>
      <c r="N220" s="254" t="s">
        <v>1182</v>
      </c>
      <c r="O220" s="255"/>
      <c r="P220" s="255" t="s">
        <v>1183</v>
      </c>
      <c r="Q220" s="255"/>
      <c r="R220" s="255"/>
      <c r="S220" s="255"/>
      <c r="T220" s="107">
        <v>2</v>
      </c>
      <c r="U220" s="2"/>
      <c r="V220" s="104"/>
      <c r="W220" s="104"/>
      <c r="X220" s="201" t="s">
        <v>44</v>
      </c>
      <c r="Y220" s="104">
        <f>1+1</f>
        <v>2</v>
      </c>
      <c r="Z220" s="63"/>
      <c r="AA220" s="64">
        <f>+Y220+1+1</f>
        <v>4</v>
      </c>
      <c r="AB220" s="63"/>
      <c r="AC220" s="64">
        <f>+Y220*2</f>
        <v>4</v>
      </c>
      <c r="AD220" s="63"/>
      <c r="AE220" s="150"/>
      <c r="AF220" s="150"/>
      <c r="AG220" s="150">
        <f>63.36+25.32/2</f>
        <v>76.02</v>
      </c>
      <c r="AH220" s="150"/>
      <c r="AI220" s="151"/>
      <c r="AJ220" s="151"/>
      <c r="AK220" s="152">
        <v>679.72</v>
      </c>
      <c r="AL220" s="152">
        <f>+(63.36+25.32)/AK220</f>
        <v>0.13046548578826575</v>
      </c>
      <c r="AM220" s="152">
        <f>+AG220/AK220</f>
        <v>0.11184016948155122</v>
      </c>
      <c r="AN220" s="104"/>
      <c r="AO220" s="188">
        <f>+(2*21938+17546*5+10*13161+8775*3)/20*AG220</f>
        <v>1100545.3409999998</v>
      </c>
      <c r="AP220" s="188">
        <v>18455.8</v>
      </c>
      <c r="AQ220" s="201" t="s">
        <v>36</v>
      </c>
      <c r="AR220" s="62" t="s">
        <v>1184</v>
      </c>
      <c r="AS220" s="223">
        <v>44557</v>
      </c>
      <c r="AT220" s="223"/>
      <c r="AU220" s="50">
        <v>44540</v>
      </c>
    </row>
    <row r="221" spans="1:256 16384:16384" s="10" customFormat="1" ht="102">
      <c r="A221" s="274"/>
      <c r="B221" s="77">
        <v>225</v>
      </c>
      <c r="C221" s="291">
        <v>538070</v>
      </c>
      <c r="D221" s="227">
        <v>44537</v>
      </c>
      <c r="E221" s="1">
        <v>23986</v>
      </c>
      <c r="F221" s="1">
        <v>117374</v>
      </c>
      <c r="G221" s="1">
        <v>970</v>
      </c>
      <c r="H221" s="1"/>
      <c r="I221" s="1"/>
      <c r="J221" s="1">
        <v>23</v>
      </c>
      <c r="K221" s="1">
        <v>3</v>
      </c>
      <c r="L221" s="204" t="s">
        <v>215</v>
      </c>
      <c r="M221" s="204" t="s">
        <v>1185</v>
      </c>
      <c r="N221" s="204" t="s">
        <v>1186</v>
      </c>
      <c r="O221" s="204"/>
      <c r="P221" s="204" t="s">
        <v>241</v>
      </c>
      <c r="Q221" s="204"/>
      <c r="R221" s="204"/>
      <c r="S221" s="204"/>
      <c r="T221" s="1">
        <f>1+1+1</f>
        <v>3</v>
      </c>
      <c r="U221" s="2"/>
      <c r="V221" s="1">
        <v>1</v>
      </c>
      <c r="W221" s="1"/>
      <c r="X221" s="204" t="s">
        <v>220</v>
      </c>
      <c r="Y221" s="1">
        <f>2+2+1</f>
        <v>5</v>
      </c>
      <c r="Z221" s="2"/>
      <c r="AA221" s="3">
        <f>+Y221+1+1+1</f>
        <v>8</v>
      </c>
      <c r="AB221" s="2"/>
      <c r="AC221" s="3">
        <f>+Y221*2</f>
        <v>10</v>
      </c>
      <c r="AD221" s="2"/>
      <c r="AE221" s="115">
        <v>44.1</v>
      </c>
      <c r="AF221" s="115"/>
      <c r="AG221" s="115">
        <f>52.1+1.32/2+89.9-AH221</f>
        <v>119.91</v>
      </c>
      <c r="AH221" s="115">
        <f>7*6.5/2</f>
        <v>22.75</v>
      </c>
      <c r="AI221" s="116"/>
      <c r="AJ221" s="117"/>
      <c r="AK221" s="118">
        <v>167.75</v>
      </c>
      <c r="AL221" s="118">
        <f>+(44.1+52.1+1.32)/AK221</f>
        <v>0.58134128166915044</v>
      </c>
      <c r="AM221" s="118">
        <f>+(AE221+AG221+AH221)/AK221</f>
        <v>1.1133233979135617</v>
      </c>
      <c r="AN221" s="157">
        <f>+(2+12+20)/(2+4+5)</f>
        <v>3.0909090909090908</v>
      </c>
      <c r="AO221" s="168">
        <f>+((5*21938+17546*5*10*13161+8775*2)/22*AG221)+AH221*17546</f>
        <v>62932832820.199997</v>
      </c>
      <c r="AP221" s="169">
        <v>34369.71</v>
      </c>
      <c r="AQ221" s="193" t="s">
        <v>36</v>
      </c>
      <c r="AR221" s="5" t="s">
        <v>1187</v>
      </c>
      <c r="AS221" s="211">
        <v>44560</v>
      </c>
      <c r="AT221" s="211"/>
      <c r="AU221" s="48">
        <v>44540</v>
      </c>
      <c r="AV221" s="8"/>
      <c r="AW221" s="8"/>
      <c r="AX221" s="8"/>
      <c r="AY221" s="8"/>
      <c r="AZ221" s="8"/>
      <c r="BA221" s="8"/>
      <c r="BB221" s="8"/>
      <c r="BC221" s="8"/>
      <c r="BD221" s="8"/>
      <c r="BE221" s="8"/>
      <c r="BF221" s="8"/>
      <c r="BG221" s="9"/>
      <c r="BH221" s="9"/>
      <c r="BI221" s="9"/>
      <c r="BJ221" s="9"/>
      <c r="BK221" s="9"/>
      <c r="BL221" s="9"/>
      <c r="BM221" s="9"/>
      <c r="BN221" s="9"/>
      <c r="BO221" s="9"/>
      <c r="BP221" s="9"/>
      <c r="BQ221" s="9"/>
      <c r="BR221" s="9"/>
      <c r="BS221" s="9"/>
      <c r="BT221" s="9"/>
      <c r="BU221" s="9"/>
      <c r="BV221" s="9"/>
      <c r="IP221" s="9"/>
      <c r="IQ221" s="9"/>
      <c r="IR221" s="9"/>
      <c r="IS221" s="9"/>
      <c r="IT221" s="9"/>
      <c r="IU221" s="9"/>
      <c r="IV221" s="9"/>
    </row>
    <row r="222" spans="1:256 16384:16384" s="10" customFormat="1" ht="114.75">
      <c r="A222" s="274"/>
      <c r="B222" s="101">
        <v>221</v>
      </c>
      <c r="C222" s="291">
        <v>538133</v>
      </c>
      <c r="D222" s="227">
        <v>44539</v>
      </c>
      <c r="E222" s="1">
        <v>46451</v>
      </c>
      <c r="F222" s="1">
        <v>149433</v>
      </c>
      <c r="G222" s="1">
        <v>32579</v>
      </c>
      <c r="H222" s="1">
        <v>331</v>
      </c>
      <c r="I222" s="1"/>
      <c r="J222" s="1">
        <v>3</v>
      </c>
      <c r="K222" s="1">
        <v>3</v>
      </c>
      <c r="L222" s="204" t="s">
        <v>1188</v>
      </c>
      <c r="M222" s="204" t="s">
        <v>151</v>
      </c>
      <c r="N222" s="204" t="s">
        <v>1189</v>
      </c>
      <c r="O222" s="204"/>
      <c r="P222" s="204" t="s">
        <v>707</v>
      </c>
      <c r="Q222" s="204"/>
      <c r="R222" s="204"/>
      <c r="S222" s="204"/>
      <c r="T222" s="1">
        <f>1+1</f>
        <v>2</v>
      </c>
      <c r="U222" s="2"/>
      <c r="V222" s="1"/>
      <c r="W222" s="1"/>
      <c r="X222" s="204" t="s">
        <v>770</v>
      </c>
      <c r="Y222" s="1">
        <f>2+1</f>
        <v>3</v>
      </c>
      <c r="Z222" s="2"/>
      <c r="AA222" s="3">
        <f>+Y222+1+1+1</f>
        <v>6</v>
      </c>
      <c r="AB222" s="2"/>
      <c r="AC222" s="3">
        <f>+Y222*2</f>
        <v>6</v>
      </c>
      <c r="AD222" s="2"/>
      <c r="AE222" s="115">
        <f>116.55+27.68</f>
        <v>144.22999999999999</v>
      </c>
      <c r="AF222" s="115"/>
      <c r="AG222" s="115">
        <f>12.11+36.1+82.17/2</f>
        <v>89.295000000000002</v>
      </c>
      <c r="AH222" s="115">
        <f>32.33/2+75.8</f>
        <v>91.965000000000003</v>
      </c>
      <c r="AI222" s="116"/>
      <c r="AJ222" s="117"/>
      <c r="AK222" s="118">
        <v>993.22</v>
      </c>
      <c r="AL222" s="118"/>
      <c r="AM222" s="118">
        <f>+(AE222+AG222+AH222)/AK222</f>
        <v>0.32771188659108758</v>
      </c>
      <c r="AN222" s="157"/>
      <c r="AO222" s="168">
        <f>+AH222*17546+((11*21938+175467+7*13161+2*8775))</f>
        <v>2140079.89</v>
      </c>
      <c r="AP222" s="169">
        <v>28146.959999999999</v>
      </c>
      <c r="AQ222" s="193" t="s">
        <v>107</v>
      </c>
      <c r="AR222" s="5" t="s">
        <v>1190</v>
      </c>
      <c r="AS222" s="211">
        <v>44559</v>
      </c>
      <c r="AT222" s="211"/>
      <c r="AU222" s="5" t="s">
        <v>1191</v>
      </c>
      <c r="AV222" s="8"/>
      <c r="AW222" s="8"/>
      <c r="AX222" s="8"/>
      <c r="AY222" s="8"/>
      <c r="AZ222" s="8"/>
      <c r="BA222" s="8"/>
      <c r="BB222" s="8"/>
      <c r="BC222" s="8"/>
      <c r="BD222" s="8"/>
      <c r="BE222" s="8"/>
      <c r="BF222" s="8"/>
      <c r="BG222" s="9"/>
      <c r="BH222" s="9"/>
      <c r="BI222" s="9"/>
      <c r="BJ222" s="9"/>
      <c r="BK222" s="9"/>
      <c r="BL222" s="9"/>
      <c r="BM222" s="9"/>
      <c r="BN222" s="9"/>
      <c r="BO222" s="9"/>
      <c r="BP222" s="9"/>
      <c r="BQ222" s="9"/>
      <c r="BR222" s="9"/>
      <c r="BS222" s="9"/>
      <c r="BT222" s="9"/>
      <c r="BU222" s="9"/>
      <c r="BV222" s="9"/>
      <c r="IP222" s="9"/>
      <c r="IQ222" s="9"/>
      <c r="IR222" s="9"/>
      <c r="IS222" s="9"/>
      <c r="IT222" s="9"/>
      <c r="IU222" s="9"/>
      <c r="IV222" s="9"/>
    </row>
    <row r="223" spans="1:256 16384:16384" s="10" customFormat="1" ht="76.5">
      <c r="A223" s="274"/>
      <c r="B223" s="90">
        <v>219</v>
      </c>
      <c r="C223" s="193">
        <v>525192</v>
      </c>
      <c r="D223" s="227">
        <v>44138</v>
      </c>
      <c r="E223" s="1">
        <v>35755</v>
      </c>
      <c r="F223" s="1">
        <v>135334</v>
      </c>
      <c r="G223" s="1">
        <v>7510</v>
      </c>
      <c r="H223" s="1"/>
      <c r="I223" s="1"/>
      <c r="J223" s="1">
        <v>515</v>
      </c>
      <c r="K223" s="1">
        <v>11</v>
      </c>
      <c r="L223" s="204" t="s">
        <v>31</v>
      </c>
      <c r="M223" s="204" t="s">
        <v>1192</v>
      </c>
      <c r="N223" s="204" t="s">
        <v>1193</v>
      </c>
      <c r="O223" s="204"/>
      <c r="P223" s="204" t="s">
        <v>828</v>
      </c>
      <c r="Q223" s="204" t="s">
        <v>828</v>
      </c>
      <c r="R223" s="204" t="s">
        <v>828</v>
      </c>
      <c r="S223" s="204" t="s">
        <v>1194</v>
      </c>
      <c r="T223" s="1"/>
      <c r="U223" s="2">
        <v>1</v>
      </c>
      <c r="V223" s="1"/>
      <c r="W223" s="1"/>
      <c r="X223" s="204" t="s">
        <v>67</v>
      </c>
      <c r="Y223" s="1"/>
      <c r="Z223" s="2">
        <v>2</v>
      </c>
      <c r="AA223" s="3"/>
      <c r="AB223" s="2">
        <f>+Z223+1</f>
        <v>3</v>
      </c>
      <c r="AC223" s="3"/>
      <c r="AD223" s="2">
        <f>+Z223*2</f>
        <v>4</v>
      </c>
      <c r="AE223" s="115"/>
      <c r="AF223" s="115"/>
      <c r="AG223" s="115"/>
      <c r="AH223" s="115"/>
      <c r="AI223" s="116">
        <f>60.72+36.97/2</f>
        <v>79.204999999999998</v>
      </c>
      <c r="AJ223" s="117"/>
      <c r="AK223" s="118">
        <v>186.3</v>
      </c>
      <c r="AL223" s="118">
        <f>+(60.72+36.97)/AK223</f>
        <v>0.52436929683306488</v>
      </c>
      <c r="AM223" s="118">
        <f>+AI223/AK223</f>
        <v>0.42514761137949542</v>
      </c>
      <c r="AN223" s="157"/>
      <c r="AO223" s="168">
        <f>+(21938*5+7*17546+7*13161+2*8775)/21*AI223</f>
        <v>1290622.845</v>
      </c>
      <c r="AP223" s="169">
        <v>19923.669999999998</v>
      </c>
      <c r="AQ223" s="193" t="s">
        <v>45</v>
      </c>
      <c r="AR223" s="5" t="s">
        <v>1195</v>
      </c>
      <c r="AS223" s="211">
        <v>44558</v>
      </c>
      <c r="AT223" s="211"/>
      <c r="AU223" s="5" t="s">
        <v>1196</v>
      </c>
      <c r="AV223" s="8"/>
      <c r="AW223" s="8"/>
      <c r="AX223" s="8"/>
      <c r="AY223" s="8"/>
      <c r="AZ223" s="8"/>
      <c r="BA223" s="8"/>
      <c r="BB223" s="8"/>
      <c r="BC223" s="8"/>
      <c r="BD223" s="8"/>
      <c r="BE223" s="8"/>
      <c r="BF223" s="8"/>
      <c r="BG223" s="9"/>
      <c r="BH223" s="9"/>
      <c r="BI223" s="9"/>
      <c r="BJ223" s="9"/>
      <c r="BK223" s="9"/>
      <c r="BL223" s="9"/>
      <c r="BM223" s="9"/>
      <c r="BN223" s="9"/>
      <c r="BO223" s="9"/>
      <c r="BP223" s="9"/>
      <c r="BQ223" s="9"/>
      <c r="BR223" s="9"/>
      <c r="BS223" s="9"/>
      <c r="BT223" s="9"/>
      <c r="BU223" s="9"/>
      <c r="BV223" s="9"/>
      <c r="IP223" s="9"/>
      <c r="IQ223" s="9"/>
      <c r="IR223" s="9"/>
      <c r="IS223" s="9"/>
      <c r="IT223" s="9"/>
      <c r="IU223" s="9"/>
      <c r="IV223" s="9"/>
    </row>
    <row r="224" spans="1:256 16384:16384" s="10" customFormat="1" ht="63.75">
      <c r="A224" s="274"/>
      <c r="B224" s="82">
        <v>204</v>
      </c>
      <c r="C224" s="201" t="s">
        <v>1197</v>
      </c>
      <c r="D224" s="235" t="s">
        <v>1198</v>
      </c>
      <c r="E224" s="1">
        <v>17455</v>
      </c>
      <c r="F224" s="1">
        <v>1006</v>
      </c>
      <c r="G224" s="1">
        <v>914</v>
      </c>
      <c r="H224" s="1"/>
      <c r="I224" s="1"/>
      <c r="J224" s="1">
        <v>145</v>
      </c>
      <c r="K224" s="1">
        <v>4</v>
      </c>
      <c r="L224" s="204" t="s">
        <v>81</v>
      </c>
      <c r="M224" s="204" t="s">
        <v>1199</v>
      </c>
      <c r="N224" s="204" t="s">
        <v>1200</v>
      </c>
      <c r="O224" s="204"/>
      <c r="P224" s="204" t="s">
        <v>1201</v>
      </c>
      <c r="Q224" s="204"/>
      <c r="R224" s="204"/>
      <c r="S224" s="204"/>
      <c r="T224" s="1">
        <v>1</v>
      </c>
      <c r="U224" s="2"/>
      <c r="V224" s="1"/>
      <c r="W224" s="1"/>
      <c r="X224" s="204" t="s">
        <v>1202</v>
      </c>
      <c r="Y224" s="1"/>
      <c r="Z224" s="2"/>
      <c r="AA224" s="3"/>
      <c r="AB224" s="2"/>
      <c r="AC224" s="3"/>
      <c r="AD224" s="2"/>
      <c r="AE224" s="115"/>
      <c r="AF224" s="115">
        <v>122.8</v>
      </c>
      <c r="AG224" s="115"/>
      <c r="AH224" s="115">
        <v>81.87</v>
      </c>
      <c r="AI224" s="116"/>
      <c r="AJ224" s="117"/>
      <c r="AK224" s="118">
        <v>326.39</v>
      </c>
      <c r="AL224" s="149">
        <f>+(AF224+AH224)/AK224</f>
        <v>0.62707190784031386</v>
      </c>
      <c r="AM224" s="149">
        <f>+(AF224+AH224)/AK224</f>
        <v>0.62707190784031386</v>
      </c>
      <c r="AN224" s="157"/>
      <c r="AO224" s="168">
        <f>+AF224*17546+(64300)</f>
        <v>2218948.7999999998</v>
      </c>
      <c r="AP224" s="169">
        <v>25388.32</v>
      </c>
      <c r="AQ224" s="193" t="s">
        <v>36</v>
      </c>
      <c r="AR224" s="5" t="s">
        <v>1203</v>
      </c>
      <c r="AS224" s="211">
        <v>44546</v>
      </c>
      <c r="AT224" s="211"/>
      <c r="AU224" s="5" t="s">
        <v>1204</v>
      </c>
      <c r="AV224" s="8"/>
      <c r="AW224" s="8"/>
      <c r="AX224" s="8"/>
      <c r="AY224" s="8"/>
      <c r="AZ224" s="8"/>
      <c r="BA224" s="8"/>
      <c r="BB224" s="8"/>
      <c r="BC224" s="8"/>
      <c r="BD224" s="8"/>
      <c r="BE224" s="8"/>
      <c r="BF224" s="8"/>
      <c r="BG224" s="9"/>
      <c r="BH224" s="9"/>
      <c r="BI224" s="9"/>
      <c r="BJ224" s="9"/>
      <c r="BK224" s="9"/>
      <c r="BL224" s="9"/>
      <c r="BM224" s="9"/>
      <c r="BN224" s="9"/>
      <c r="BO224" s="9"/>
      <c r="BP224" s="9"/>
      <c r="BQ224" s="9"/>
      <c r="BR224" s="9"/>
      <c r="BS224" s="9"/>
      <c r="BT224" s="9"/>
      <c r="BU224" s="9"/>
      <c r="BV224" s="9"/>
      <c r="IP224" s="9"/>
      <c r="IQ224" s="9"/>
      <c r="IR224" s="9"/>
      <c r="IS224" s="9"/>
      <c r="IT224" s="9"/>
      <c r="IU224" s="9"/>
      <c r="IV224" s="9"/>
    </row>
    <row r="225" spans="1:256" s="65" customFormat="1" ht="51">
      <c r="A225" s="279"/>
      <c r="B225" s="82">
        <v>210</v>
      </c>
      <c r="C225" s="201" t="s">
        <v>1205</v>
      </c>
      <c r="D225" s="248" t="s">
        <v>1206</v>
      </c>
      <c r="E225" s="107">
        <v>45754</v>
      </c>
      <c r="F225" s="107">
        <v>148971</v>
      </c>
      <c r="G225" s="107">
        <v>20833</v>
      </c>
      <c r="H225" s="107"/>
      <c r="I225" s="107"/>
      <c r="J225" s="107">
        <v>435</v>
      </c>
      <c r="K225" s="107">
        <v>19</v>
      </c>
      <c r="L225" s="255" t="s">
        <v>39</v>
      </c>
      <c r="M225" s="255" t="s">
        <v>1207</v>
      </c>
      <c r="N225" s="254" t="s">
        <v>1208</v>
      </c>
      <c r="O225" s="255"/>
      <c r="P225" s="255" t="s">
        <v>289</v>
      </c>
      <c r="Q225" s="255" t="s">
        <v>289</v>
      </c>
      <c r="R225" s="255" t="s">
        <v>289</v>
      </c>
      <c r="S225" s="255" t="s">
        <v>977</v>
      </c>
      <c r="T225" s="107"/>
      <c r="U225" s="2">
        <v>1</v>
      </c>
      <c r="V225" s="104"/>
      <c r="W225" s="104"/>
      <c r="X225" s="201" t="s">
        <v>67</v>
      </c>
      <c r="Y225" s="104"/>
      <c r="Z225" s="63">
        <v>2</v>
      </c>
      <c r="AA225" s="64"/>
      <c r="AB225" s="63">
        <f>+Z225+1</f>
        <v>3</v>
      </c>
      <c r="AC225" s="64"/>
      <c r="AD225" s="63">
        <f>+Z225*2</f>
        <v>4</v>
      </c>
      <c r="AE225" s="150"/>
      <c r="AF225" s="150"/>
      <c r="AG225" s="150"/>
      <c r="AH225" s="150"/>
      <c r="AI225" s="151">
        <f>63.5+5.29/2</f>
        <v>66.144999999999996</v>
      </c>
      <c r="AJ225" s="151"/>
      <c r="AK225" s="152">
        <v>300.77</v>
      </c>
      <c r="AL225" s="152">
        <f>+(63.5+5.29)/AK225</f>
        <v>0.2287129700435549</v>
      </c>
      <c r="AM225" s="152">
        <f>+AI225/AK225</f>
        <v>0.21991887488778802</v>
      </c>
      <c r="AN225" s="104"/>
      <c r="AO225" s="188">
        <f>+(2*21938+17546*3+13161*11+3*8775)/19*AI225</f>
        <v>931634.91842105263</v>
      </c>
      <c r="AP225" s="188">
        <v>4989.2299999999996</v>
      </c>
      <c r="AQ225" s="201" t="s">
        <v>36</v>
      </c>
      <c r="AR225" s="62" t="s">
        <v>1209</v>
      </c>
      <c r="AS225" s="223">
        <v>44553</v>
      </c>
      <c r="AT225" s="223"/>
      <c r="AU225" s="28" t="s">
        <v>1210</v>
      </c>
    </row>
    <row r="226" spans="1:256" s="65" customFormat="1" ht="63.75">
      <c r="A226" s="280"/>
      <c r="B226" s="82">
        <v>217</v>
      </c>
      <c r="C226" s="201">
        <v>538287</v>
      </c>
      <c r="D226" s="248">
        <v>44544</v>
      </c>
      <c r="E226" s="107">
        <v>55711</v>
      </c>
      <c r="F226" s="107">
        <v>139499</v>
      </c>
      <c r="G226" s="107">
        <v>20533</v>
      </c>
      <c r="H226" s="107">
        <v>36</v>
      </c>
      <c r="I226" s="107"/>
      <c r="J226" s="107">
        <v>356</v>
      </c>
      <c r="K226" s="107">
        <v>10</v>
      </c>
      <c r="L226" s="255" t="s">
        <v>39</v>
      </c>
      <c r="M226" s="255" t="s">
        <v>1211</v>
      </c>
      <c r="N226" s="254" t="s">
        <v>1212</v>
      </c>
      <c r="O226" s="255"/>
      <c r="P226" s="255" t="s">
        <v>1213</v>
      </c>
      <c r="Q226" s="255" t="s">
        <v>1213</v>
      </c>
      <c r="R226" s="255" t="s">
        <v>1213</v>
      </c>
      <c r="S226" s="255" t="s">
        <v>461</v>
      </c>
      <c r="T226" s="107"/>
      <c r="U226" s="2">
        <v>2</v>
      </c>
      <c r="V226" s="104"/>
      <c r="W226" s="104"/>
      <c r="X226" s="201" t="s">
        <v>44</v>
      </c>
      <c r="Y226" s="104"/>
      <c r="Z226" s="63">
        <f>2+2</f>
        <v>4</v>
      </c>
      <c r="AA226" s="64"/>
      <c r="AB226" s="63">
        <f>+Z226+1+1</f>
        <v>6</v>
      </c>
      <c r="AC226" s="64"/>
      <c r="AD226" s="63">
        <f>+Z226*2</f>
        <v>8</v>
      </c>
      <c r="AE226" s="150"/>
      <c r="AF226" s="150"/>
      <c r="AG226" s="150"/>
      <c r="AH226" s="150"/>
      <c r="AI226" s="151">
        <v>138.34</v>
      </c>
      <c r="AJ226" s="151"/>
      <c r="AK226" s="152">
        <v>414.97</v>
      </c>
      <c r="AL226" s="152">
        <f>69.17/AK226</f>
        <v>0.16668674843964623</v>
      </c>
      <c r="AM226" s="152">
        <f>+AI226/AK226</f>
        <v>0.33337349687929246</v>
      </c>
      <c r="AN226" s="104"/>
      <c r="AO226" s="188">
        <f>+(10*17546+9*13161+4*8775)/23*AI226</f>
        <v>1978917.6113043479</v>
      </c>
      <c r="AP226" s="188">
        <v>30876.959999999999</v>
      </c>
      <c r="AQ226" s="201" t="s">
        <v>36</v>
      </c>
      <c r="AR226" s="62" t="s">
        <v>1214</v>
      </c>
      <c r="AS226" s="223">
        <v>44557</v>
      </c>
      <c r="AT226" s="223"/>
      <c r="AU226" s="66" t="s">
        <v>1215</v>
      </c>
    </row>
    <row r="227" spans="1:256" s="10" customFormat="1" ht="38.25">
      <c r="A227" s="274"/>
      <c r="B227" s="82">
        <v>223</v>
      </c>
      <c r="C227" s="201">
        <v>538148</v>
      </c>
      <c r="D227" s="235">
        <v>44539</v>
      </c>
      <c r="E227" s="1">
        <v>60299</v>
      </c>
      <c r="F227" s="1">
        <v>167861</v>
      </c>
      <c r="G227" s="1">
        <v>33847</v>
      </c>
      <c r="H227" s="1">
        <v>331</v>
      </c>
      <c r="I227" s="1"/>
      <c r="J227" s="1"/>
      <c r="K227" s="1">
        <v>29</v>
      </c>
      <c r="L227" s="204" t="s">
        <v>1216</v>
      </c>
      <c r="M227" s="204" t="s">
        <v>151</v>
      </c>
      <c r="N227" s="204" t="s">
        <v>1217</v>
      </c>
      <c r="O227" s="204"/>
      <c r="P227" s="204" t="s">
        <v>1218</v>
      </c>
      <c r="Q227" s="204" t="s">
        <v>1218</v>
      </c>
      <c r="R227" s="204" t="s">
        <v>1218</v>
      </c>
      <c r="S227" s="204" t="s">
        <v>98</v>
      </c>
      <c r="T227" s="1"/>
      <c r="U227" s="2">
        <v>1</v>
      </c>
      <c r="V227" s="1"/>
      <c r="W227" s="1"/>
      <c r="X227" s="204" t="s">
        <v>67</v>
      </c>
      <c r="Y227" s="1"/>
      <c r="Z227" s="2">
        <v>2</v>
      </c>
      <c r="AA227" s="3"/>
      <c r="AB227" s="2">
        <f>+Z227+1</f>
        <v>3</v>
      </c>
      <c r="AC227" s="3"/>
      <c r="AD227" s="2">
        <f>+Z227*2</f>
        <v>4</v>
      </c>
      <c r="AE227" s="115"/>
      <c r="AF227" s="115"/>
      <c r="AG227" s="115"/>
      <c r="AH227" s="115"/>
      <c r="AI227" s="116">
        <f>53.78+19.55/2</f>
        <v>63.555</v>
      </c>
      <c r="AJ227" s="117"/>
      <c r="AK227" s="118">
        <v>892.2</v>
      </c>
      <c r="AL227" s="118">
        <f>+(53.78+19.65)/AK227</f>
        <v>8.2302174400358669E-2</v>
      </c>
      <c r="AM227" s="118">
        <f>+AI227/AK227</f>
        <v>7.1234028244788167E-2</v>
      </c>
      <c r="AN227" s="157"/>
      <c r="AO227" s="168">
        <f>380000+((12*17546+6*13161+8775*2)/20*AI227)</f>
        <v>1355785.3369999998</v>
      </c>
      <c r="AP227" s="169">
        <v>23908.59</v>
      </c>
      <c r="AQ227" s="193" t="s">
        <v>36</v>
      </c>
      <c r="AR227" s="5" t="s">
        <v>1219</v>
      </c>
      <c r="AS227" s="211">
        <v>44560</v>
      </c>
      <c r="AT227" s="211"/>
      <c r="AU227" s="5" t="s">
        <v>1220</v>
      </c>
      <c r="AV227" s="8"/>
      <c r="AW227" s="8"/>
      <c r="AX227" s="8"/>
      <c r="AY227" s="8"/>
      <c r="AZ227" s="8"/>
      <c r="BA227" s="8"/>
      <c r="BB227" s="8"/>
      <c r="BC227" s="8"/>
      <c r="BD227" s="8"/>
      <c r="BE227" s="8"/>
      <c r="BF227" s="8"/>
      <c r="BG227" s="9"/>
      <c r="BH227" s="9"/>
      <c r="BI227" s="9"/>
      <c r="BJ227" s="9"/>
      <c r="BK227" s="9"/>
      <c r="BL227" s="9"/>
      <c r="BM227" s="9"/>
      <c r="BN227" s="9"/>
      <c r="BO227" s="9"/>
      <c r="BP227" s="9"/>
      <c r="BQ227" s="9"/>
      <c r="BR227" s="9"/>
      <c r="BS227" s="9"/>
      <c r="BT227" s="9"/>
      <c r="BU227" s="9"/>
      <c r="BV227" s="9"/>
      <c r="IP227" s="9"/>
      <c r="IQ227" s="9"/>
      <c r="IR227" s="9"/>
      <c r="IS227" s="9"/>
      <c r="IT227" s="9"/>
      <c r="IU227" s="9"/>
      <c r="IV227" s="9"/>
    </row>
    <row r="228" spans="1:256" s="10" customFormat="1" ht="76.5">
      <c r="A228" s="274"/>
      <c r="B228" s="82">
        <v>222</v>
      </c>
      <c r="C228" s="201">
        <v>534636</v>
      </c>
      <c r="D228" s="235">
        <v>44467</v>
      </c>
      <c r="E228" s="32">
        <v>45787</v>
      </c>
      <c r="F228" s="32">
        <v>148995</v>
      </c>
      <c r="G228" s="32">
        <v>20835</v>
      </c>
      <c r="H228" s="32">
        <v>34</v>
      </c>
      <c r="I228" s="32"/>
      <c r="J228" s="32">
        <v>352</v>
      </c>
      <c r="K228" s="32">
        <v>12</v>
      </c>
      <c r="L228" s="207" t="s">
        <v>39</v>
      </c>
      <c r="M228" s="207" t="s">
        <v>1221</v>
      </c>
      <c r="N228" s="207" t="s">
        <v>1222</v>
      </c>
      <c r="O228" s="207"/>
      <c r="P228" s="207" t="s">
        <v>1223</v>
      </c>
      <c r="Q228" s="207"/>
      <c r="R228" s="207"/>
      <c r="S228" s="207"/>
      <c r="T228" s="32">
        <v>1</v>
      </c>
      <c r="U228" s="33"/>
      <c r="V228" s="32"/>
      <c r="W228" s="32"/>
      <c r="X228" s="207" t="s">
        <v>67</v>
      </c>
      <c r="Y228" s="32">
        <v>3</v>
      </c>
      <c r="Z228" s="33"/>
      <c r="AA228" s="34">
        <f>+Y228+1+1</f>
        <v>5</v>
      </c>
      <c r="AB228" s="33"/>
      <c r="AC228" s="34">
        <f>+Y228*2</f>
        <v>6</v>
      </c>
      <c r="AD228" s="33"/>
      <c r="AE228" s="129"/>
      <c r="AF228" s="129"/>
      <c r="AG228" s="129">
        <f>96.66+35.71/2+59.47</f>
        <v>173.98500000000001</v>
      </c>
      <c r="AH228" s="129"/>
      <c r="AI228" s="130"/>
      <c r="AJ228" s="131"/>
      <c r="AK228" s="132">
        <v>930</v>
      </c>
      <c r="AL228" s="132">
        <f>+(96.66+35.71+59.47)/AK228</f>
        <v>0.20627956989247312</v>
      </c>
      <c r="AM228" s="132">
        <f>+AG228/AK228</f>
        <v>0.18708064516129033</v>
      </c>
      <c r="AN228" s="162">
        <f>+(2+9+24+5+12)/(1+3+6+1+2)</f>
        <v>4</v>
      </c>
      <c r="AO228" s="177">
        <f>+(9*21938+17546*3+13161*6+3*8775)/21*AG228</f>
        <v>2944248.7350000003</v>
      </c>
      <c r="AP228" s="178">
        <v>17223.189999999999</v>
      </c>
      <c r="AQ228" s="197" t="s">
        <v>107</v>
      </c>
      <c r="AR228" s="35" t="s">
        <v>1224</v>
      </c>
      <c r="AS228" s="218">
        <v>44560</v>
      </c>
      <c r="AT228" s="218"/>
      <c r="AU228" s="67" t="s">
        <v>1225</v>
      </c>
      <c r="AV228" s="8"/>
      <c r="AW228" s="8"/>
      <c r="AX228" s="8"/>
      <c r="AY228" s="8"/>
      <c r="AZ228" s="8"/>
      <c r="BA228" s="8"/>
      <c r="BB228" s="8"/>
      <c r="BC228" s="8"/>
      <c r="BD228" s="8"/>
      <c r="BE228" s="8"/>
      <c r="BF228" s="8"/>
      <c r="BG228" s="9"/>
      <c r="BH228" s="9"/>
      <c r="BI228" s="9"/>
      <c r="BJ228" s="9"/>
      <c r="BK228" s="9"/>
      <c r="BL228" s="9"/>
      <c r="BM228" s="9"/>
      <c r="BN228" s="9"/>
      <c r="BO228" s="9"/>
      <c r="BP228" s="9"/>
      <c r="BQ228" s="9"/>
      <c r="BR228" s="9"/>
      <c r="BS228" s="9"/>
      <c r="BT228" s="9"/>
      <c r="BU228" s="9"/>
      <c r="BV228" s="9"/>
      <c r="IP228" s="9"/>
      <c r="IQ228" s="9"/>
      <c r="IR228" s="9"/>
      <c r="IS228" s="9"/>
      <c r="IT228" s="9"/>
      <c r="IU228" s="9"/>
      <c r="IV228" s="9"/>
    </row>
    <row r="229" spans="1:256" s="10" customFormat="1" ht="63.75">
      <c r="A229" s="274"/>
      <c r="B229" s="86">
        <v>224</v>
      </c>
      <c r="C229" s="196">
        <v>537692</v>
      </c>
      <c r="D229" s="235">
        <v>44526</v>
      </c>
      <c r="E229" s="32">
        <v>36510</v>
      </c>
      <c r="F229" s="32">
        <v>1374</v>
      </c>
      <c r="G229" s="32">
        <v>4680</v>
      </c>
      <c r="H229" s="32"/>
      <c r="I229" s="32"/>
      <c r="J229" s="32">
        <v>108</v>
      </c>
      <c r="K229" s="32">
        <v>7</v>
      </c>
      <c r="L229" s="207" t="s">
        <v>48</v>
      </c>
      <c r="M229" s="207" t="s">
        <v>1226</v>
      </c>
      <c r="N229" s="207" t="s">
        <v>1227</v>
      </c>
      <c r="O229" s="207"/>
      <c r="P229" s="207" t="s">
        <v>332</v>
      </c>
      <c r="Q229" s="207"/>
      <c r="R229" s="207"/>
      <c r="S229" s="207"/>
      <c r="T229" s="32">
        <v>3</v>
      </c>
      <c r="U229" s="33"/>
      <c r="V229" s="32"/>
      <c r="W229" s="32"/>
      <c r="X229" s="207" t="s">
        <v>44</v>
      </c>
      <c r="Y229" s="32">
        <f>2+2+2</f>
        <v>6</v>
      </c>
      <c r="Z229" s="33"/>
      <c r="AA229" s="34">
        <f>+Y229+1+1+1</f>
        <v>9</v>
      </c>
      <c r="AB229" s="33"/>
      <c r="AC229" s="34">
        <f>+Y229*2</f>
        <v>12</v>
      </c>
      <c r="AD229" s="33"/>
      <c r="AE229" s="129">
        <f>185.32+32.33/2</f>
        <v>201.48499999999999</v>
      </c>
      <c r="AF229" s="129"/>
      <c r="AG229" s="129">
        <f>9.06+40.4/2</f>
        <v>29.259999999999998</v>
      </c>
      <c r="AH229" s="129"/>
      <c r="AI229" s="130"/>
      <c r="AJ229" s="131"/>
      <c r="AK229" s="132">
        <v>654</v>
      </c>
      <c r="AL229" s="132">
        <f>+(96.75+5.75+9.5+5.75+40.4+9.06+5.06+45.5+3.92)/AK229</f>
        <v>0.33897553516819573</v>
      </c>
      <c r="AM229" s="132">
        <f>+(AE229+AG229)/AK229</f>
        <v>0.35282110091743113</v>
      </c>
      <c r="AN229" s="162"/>
      <c r="AO229" s="178">
        <f>+(485000)</f>
        <v>485000</v>
      </c>
      <c r="AP229" s="178">
        <v>39020.18</v>
      </c>
      <c r="AQ229" s="197" t="s">
        <v>36</v>
      </c>
      <c r="AR229" s="35" t="s">
        <v>1228</v>
      </c>
      <c r="AS229" s="218">
        <v>44560</v>
      </c>
      <c r="AT229" s="218"/>
      <c r="AU229" s="68">
        <v>44526</v>
      </c>
      <c r="AV229" s="8"/>
      <c r="AW229" s="8"/>
      <c r="AX229" s="8"/>
      <c r="AY229" s="8"/>
      <c r="AZ229" s="8"/>
      <c r="BA229" s="8"/>
      <c r="BB229" s="8"/>
      <c r="BC229" s="8"/>
      <c r="BD229" s="8"/>
      <c r="BE229" s="8"/>
      <c r="BF229" s="8"/>
      <c r="BG229" s="9"/>
      <c r="BH229" s="9"/>
      <c r="BI229" s="9"/>
      <c r="BJ229" s="9"/>
      <c r="BK229" s="9"/>
      <c r="BL229" s="9"/>
      <c r="BM229" s="9"/>
      <c r="BN229" s="9"/>
      <c r="BO229" s="9"/>
      <c r="BP229" s="9"/>
      <c r="BQ229" s="9"/>
      <c r="BR229" s="9"/>
      <c r="BS229" s="9"/>
      <c r="BT229" s="9"/>
      <c r="BU229" s="9"/>
      <c r="BV229" s="9"/>
      <c r="IP229" s="9"/>
      <c r="IQ229" s="9"/>
      <c r="IR229" s="9"/>
      <c r="IS229" s="9"/>
      <c r="IT229" s="9"/>
      <c r="IU229" s="9"/>
      <c r="IV229" s="9"/>
    </row>
    <row r="230" spans="1:256" s="65" customFormat="1" ht="12.75">
      <c r="A230" s="281"/>
      <c r="B230" s="102"/>
      <c r="C230" s="252"/>
      <c r="D230" s="224"/>
      <c r="E230" s="108"/>
      <c r="F230" s="108"/>
      <c r="G230" s="108"/>
      <c r="H230" s="108"/>
      <c r="I230" s="108"/>
      <c r="J230" s="108"/>
      <c r="K230" s="108"/>
      <c r="L230" s="202"/>
      <c r="M230" s="202"/>
      <c r="N230" s="256"/>
      <c r="O230" s="202"/>
      <c r="P230" s="202"/>
      <c r="Q230" s="202"/>
      <c r="R230" s="202"/>
      <c r="S230" s="209"/>
      <c r="T230" s="111"/>
      <c r="U230" s="111"/>
      <c r="V230" s="111"/>
      <c r="W230" s="111"/>
      <c r="X230" s="209"/>
      <c r="Y230" s="111"/>
      <c r="Z230" s="111"/>
      <c r="AA230" s="111"/>
      <c r="AB230" s="111"/>
      <c r="AC230" s="111"/>
      <c r="AD230" s="111"/>
      <c r="AE230" s="153"/>
      <c r="AF230" s="153"/>
      <c r="AG230" s="153"/>
      <c r="AH230" s="153"/>
      <c r="AI230" s="153"/>
      <c r="AJ230" s="153"/>
      <c r="AK230" s="153"/>
      <c r="AL230" s="153"/>
      <c r="AM230" s="153"/>
      <c r="AN230" s="111"/>
      <c r="AO230" s="189"/>
      <c r="AP230" s="189"/>
      <c r="AQ230" s="202"/>
      <c r="AS230" s="224"/>
      <c r="AT230" s="224"/>
      <c r="AU230" s="69"/>
    </row>
    <row r="231" spans="1:256" s="65" customFormat="1" ht="12.75">
      <c r="A231" s="281"/>
      <c r="B231" s="102"/>
      <c r="C231" s="252"/>
      <c r="D231" s="224"/>
      <c r="E231" s="108"/>
      <c r="F231" s="108"/>
      <c r="G231" s="108"/>
      <c r="H231" s="108"/>
      <c r="I231" s="108"/>
      <c r="J231" s="108"/>
      <c r="K231" s="108"/>
      <c r="L231" s="202"/>
      <c r="M231" s="202"/>
      <c r="N231" s="256"/>
      <c r="O231" s="202"/>
      <c r="P231" s="202"/>
      <c r="Q231" s="202"/>
      <c r="R231" s="202"/>
      <c r="S231" s="202"/>
      <c r="T231" s="108"/>
      <c r="U231" s="108"/>
      <c r="V231" s="108"/>
      <c r="W231" s="108"/>
      <c r="X231" s="202"/>
      <c r="Y231" s="108"/>
      <c r="Z231" s="108"/>
      <c r="AA231" s="108"/>
      <c r="AB231" s="108"/>
      <c r="AC231" s="108"/>
      <c r="AD231" s="108"/>
      <c r="AE231" s="154"/>
      <c r="AF231" s="154"/>
      <c r="AG231" s="154"/>
      <c r="AH231" s="154"/>
      <c r="AI231" s="154"/>
      <c r="AJ231" s="154"/>
      <c r="AK231" s="154"/>
      <c r="AL231" s="154"/>
      <c r="AM231" s="154"/>
      <c r="AN231" s="108"/>
      <c r="AO231" s="190"/>
      <c r="AP231" s="189"/>
      <c r="AQ231" s="202"/>
      <c r="AS231" s="224"/>
      <c r="AT231" s="224"/>
      <c r="AU231" s="69"/>
    </row>
    <row r="232" spans="1:256" s="65" customFormat="1" ht="12.75">
      <c r="A232" s="281"/>
      <c r="B232" s="102"/>
      <c r="C232" s="252"/>
      <c r="D232" s="224"/>
      <c r="E232" s="108"/>
      <c r="F232" s="108"/>
      <c r="G232" s="108"/>
      <c r="H232" s="108"/>
      <c r="I232" s="108"/>
      <c r="J232" s="108"/>
      <c r="K232" s="108"/>
      <c r="L232" s="202"/>
      <c r="M232" s="202"/>
      <c r="N232" s="256"/>
      <c r="O232" s="202"/>
      <c r="P232" s="202"/>
      <c r="Q232" s="202"/>
      <c r="R232" s="202"/>
      <c r="S232" s="202"/>
      <c r="T232" s="108"/>
      <c r="U232" s="108"/>
      <c r="V232" s="108"/>
      <c r="W232" s="108"/>
      <c r="X232" s="202"/>
      <c r="Y232" s="108"/>
      <c r="Z232" s="108"/>
      <c r="AA232" s="108"/>
      <c r="AB232" s="108"/>
      <c r="AC232" s="108"/>
      <c r="AD232" s="108"/>
      <c r="AE232" s="154"/>
      <c r="AF232" s="154"/>
      <c r="AG232" s="154"/>
      <c r="AH232" s="154"/>
      <c r="AI232" s="154"/>
      <c r="AJ232" s="154"/>
      <c r="AK232" s="154"/>
      <c r="AL232" s="154"/>
      <c r="AM232" s="154"/>
      <c r="AN232" s="108"/>
      <c r="AO232" s="190"/>
      <c r="AP232" s="189"/>
      <c r="AQ232" s="202"/>
      <c r="AS232" s="224"/>
      <c r="AT232" s="224"/>
      <c r="AU232" s="69"/>
    </row>
    <row r="233" spans="1:256" s="65" customFormat="1" ht="12.75">
      <c r="A233" s="281"/>
      <c r="B233" s="102"/>
      <c r="C233" s="252"/>
      <c r="D233" s="224"/>
      <c r="E233" s="108"/>
      <c r="F233" s="108"/>
      <c r="G233" s="108"/>
      <c r="H233" s="108"/>
      <c r="I233" s="108"/>
      <c r="J233" s="108"/>
      <c r="K233" s="108"/>
      <c r="L233" s="202"/>
      <c r="M233" s="202"/>
      <c r="N233" s="256"/>
      <c r="O233" s="202"/>
      <c r="P233" s="202"/>
      <c r="Q233" s="202"/>
      <c r="R233" s="202"/>
      <c r="S233" s="202"/>
      <c r="T233" s="108"/>
      <c r="U233" s="108"/>
      <c r="V233" s="108"/>
      <c r="W233" s="108"/>
      <c r="X233" s="202"/>
      <c r="Y233" s="108"/>
      <c r="Z233" s="108"/>
      <c r="AA233" s="108"/>
      <c r="AB233" s="108"/>
      <c r="AC233" s="108"/>
      <c r="AD233" s="108"/>
      <c r="AE233" s="154"/>
      <c r="AF233" s="154"/>
      <c r="AG233" s="154"/>
      <c r="AH233" s="154"/>
      <c r="AI233" s="154"/>
      <c r="AJ233" s="154"/>
      <c r="AK233" s="154"/>
      <c r="AL233" s="154"/>
      <c r="AM233" s="154"/>
      <c r="AN233" s="108"/>
      <c r="AO233" s="190"/>
      <c r="AP233" s="189"/>
      <c r="AQ233" s="202"/>
      <c r="AS233" s="224"/>
      <c r="AT233" s="224"/>
      <c r="AU233" s="69"/>
    </row>
    <row r="234" spans="1:256" s="65" customFormat="1" ht="12.75">
      <c r="A234" s="281"/>
      <c r="B234" s="102"/>
      <c r="C234" s="252"/>
      <c r="D234" s="224"/>
      <c r="E234" s="108"/>
      <c r="F234" s="108"/>
      <c r="G234" s="108"/>
      <c r="H234" s="108"/>
      <c r="I234" s="108"/>
      <c r="J234" s="108"/>
      <c r="K234" s="108"/>
      <c r="L234" s="202"/>
      <c r="M234" s="202"/>
      <c r="N234" s="256"/>
      <c r="O234" s="202"/>
      <c r="P234" s="202"/>
      <c r="Q234" s="202"/>
      <c r="R234" s="202"/>
      <c r="S234" s="202"/>
      <c r="T234" s="108"/>
      <c r="U234" s="108"/>
      <c r="V234" s="108"/>
      <c r="W234" s="108"/>
      <c r="X234" s="202"/>
      <c r="Y234" s="108"/>
      <c r="Z234" s="108"/>
      <c r="AA234" s="108"/>
      <c r="AB234" s="108"/>
      <c r="AC234" s="108"/>
      <c r="AD234" s="108"/>
      <c r="AE234" s="154"/>
      <c r="AF234" s="154"/>
      <c r="AG234" s="154"/>
      <c r="AH234" s="154"/>
      <c r="AI234" s="154"/>
      <c r="AJ234" s="154"/>
      <c r="AK234" s="154"/>
      <c r="AL234" s="154"/>
      <c r="AM234" s="154"/>
      <c r="AN234" s="108"/>
      <c r="AO234" s="190"/>
      <c r="AP234" s="189"/>
      <c r="AQ234" s="202"/>
      <c r="AS234" s="224"/>
      <c r="AT234" s="224"/>
      <c r="AU234" s="69"/>
    </row>
    <row r="235" spans="1:256" s="65" customFormat="1" ht="12.75">
      <c r="A235" s="281"/>
      <c r="B235" s="102"/>
      <c r="C235" s="252"/>
      <c r="D235" s="224"/>
      <c r="E235" s="108"/>
      <c r="F235" s="108"/>
      <c r="G235" s="108"/>
      <c r="H235" s="108"/>
      <c r="I235" s="108"/>
      <c r="J235" s="108"/>
      <c r="K235" s="108"/>
      <c r="L235" s="202"/>
      <c r="M235" s="202"/>
      <c r="N235" s="256"/>
      <c r="O235" s="202"/>
      <c r="P235" s="202"/>
      <c r="Q235" s="202"/>
      <c r="R235" s="202"/>
      <c r="S235" s="202"/>
      <c r="T235" s="108"/>
      <c r="U235" s="108"/>
      <c r="V235" s="108"/>
      <c r="W235" s="108"/>
      <c r="X235" s="202"/>
      <c r="Y235" s="108"/>
      <c r="Z235" s="108"/>
      <c r="AA235" s="108"/>
      <c r="AB235" s="108"/>
      <c r="AC235" s="108"/>
      <c r="AD235" s="108"/>
      <c r="AE235" s="154"/>
      <c r="AF235" s="154"/>
      <c r="AG235" s="154"/>
      <c r="AH235" s="154"/>
      <c r="AI235" s="154"/>
      <c r="AJ235" s="154"/>
      <c r="AK235" s="154"/>
      <c r="AL235" s="154"/>
      <c r="AM235" s="154"/>
      <c r="AN235" s="108"/>
      <c r="AO235" s="190"/>
      <c r="AP235" s="189"/>
      <c r="AQ235" s="202"/>
      <c r="AS235" s="224"/>
      <c r="AT235" s="224"/>
      <c r="AU235" s="69"/>
    </row>
    <row r="236" spans="1:256" s="65" customFormat="1" ht="12.75">
      <c r="A236" s="281"/>
      <c r="B236" s="102"/>
      <c r="C236" s="252"/>
      <c r="D236" s="224"/>
      <c r="E236" s="108"/>
      <c r="F236" s="108"/>
      <c r="G236" s="108"/>
      <c r="H236" s="108"/>
      <c r="I236" s="108"/>
      <c r="J236" s="108"/>
      <c r="K236" s="108"/>
      <c r="L236" s="202"/>
      <c r="M236" s="202"/>
      <c r="N236" s="256"/>
      <c r="O236" s="202"/>
      <c r="P236" s="202"/>
      <c r="Q236" s="202"/>
      <c r="R236" s="202"/>
      <c r="S236" s="202"/>
      <c r="T236" s="108"/>
      <c r="U236" s="108"/>
      <c r="V236" s="108"/>
      <c r="W236" s="108"/>
      <c r="X236" s="202"/>
      <c r="Y236" s="108"/>
      <c r="Z236" s="108"/>
      <c r="AA236" s="108"/>
      <c r="AB236" s="108"/>
      <c r="AC236" s="108"/>
      <c r="AD236" s="108"/>
      <c r="AE236" s="154"/>
      <c r="AF236" s="154"/>
      <c r="AG236" s="154"/>
      <c r="AH236" s="154"/>
      <c r="AI236" s="154"/>
      <c r="AJ236" s="154"/>
      <c r="AK236" s="154"/>
      <c r="AL236" s="154"/>
      <c r="AM236" s="154"/>
      <c r="AN236" s="108"/>
      <c r="AO236" s="190"/>
      <c r="AP236" s="189"/>
      <c r="AQ236" s="202"/>
      <c r="AS236" s="224"/>
      <c r="AT236" s="224"/>
      <c r="AU236" s="69"/>
    </row>
    <row r="237" spans="1:256" s="65" customFormat="1" ht="12.75">
      <c r="A237" s="281"/>
      <c r="B237" s="102"/>
      <c r="C237" s="252"/>
      <c r="D237" s="224"/>
      <c r="E237" s="108"/>
      <c r="F237" s="108"/>
      <c r="G237" s="108"/>
      <c r="H237" s="108"/>
      <c r="I237" s="108"/>
      <c r="J237" s="108"/>
      <c r="K237" s="108"/>
      <c r="L237" s="202"/>
      <c r="M237" s="202"/>
      <c r="N237" s="256"/>
      <c r="O237" s="202"/>
      <c r="P237" s="202"/>
      <c r="Q237" s="202"/>
      <c r="R237" s="202"/>
      <c r="S237" s="202"/>
      <c r="T237" s="108"/>
      <c r="U237" s="108"/>
      <c r="V237" s="108"/>
      <c r="W237" s="108"/>
      <c r="X237" s="202"/>
      <c r="Y237" s="108"/>
      <c r="Z237" s="108"/>
      <c r="AA237" s="108"/>
      <c r="AB237" s="108"/>
      <c r="AC237" s="108"/>
      <c r="AD237" s="108"/>
      <c r="AE237" s="154"/>
      <c r="AF237" s="154"/>
      <c r="AG237" s="154"/>
      <c r="AH237" s="154"/>
      <c r="AI237" s="154"/>
      <c r="AJ237" s="154"/>
      <c r="AK237" s="154"/>
      <c r="AL237" s="154"/>
      <c r="AM237" s="154"/>
      <c r="AN237" s="108"/>
      <c r="AO237" s="190"/>
      <c r="AP237" s="189"/>
      <c r="AQ237" s="202"/>
      <c r="AS237" s="224"/>
      <c r="AT237" s="224"/>
      <c r="AU237" s="69"/>
    </row>
    <row r="238" spans="1:256" s="65" customFormat="1" ht="12.75">
      <c r="A238" s="281"/>
      <c r="B238" s="102"/>
      <c r="C238" s="252"/>
      <c r="D238" s="224"/>
      <c r="E238" s="108"/>
      <c r="F238" s="108"/>
      <c r="G238" s="108"/>
      <c r="H238" s="108"/>
      <c r="I238" s="108"/>
      <c r="J238" s="108"/>
      <c r="K238" s="108"/>
      <c r="L238" s="202"/>
      <c r="M238" s="202"/>
      <c r="N238" s="256"/>
      <c r="O238" s="202"/>
      <c r="P238" s="202"/>
      <c r="Q238" s="202"/>
      <c r="R238" s="202"/>
      <c r="S238" s="202"/>
      <c r="T238" s="108"/>
      <c r="U238" s="108"/>
      <c r="V238" s="108"/>
      <c r="W238" s="108"/>
      <c r="X238" s="202"/>
      <c r="Y238" s="108"/>
      <c r="Z238" s="108"/>
      <c r="AA238" s="108"/>
      <c r="AB238" s="108"/>
      <c r="AC238" s="108"/>
      <c r="AD238" s="108"/>
      <c r="AE238" s="154"/>
      <c r="AF238" s="154"/>
      <c r="AG238" s="154"/>
      <c r="AH238" s="154"/>
      <c r="AI238" s="154"/>
      <c r="AJ238" s="154"/>
      <c r="AK238" s="154"/>
      <c r="AL238" s="154"/>
      <c r="AM238" s="154"/>
      <c r="AN238" s="108"/>
      <c r="AO238" s="190"/>
      <c r="AP238" s="189"/>
      <c r="AQ238" s="202"/>
      <c r="AS238" s="224"/>
      <c r="AT238" s="224"/>
      <c r="AU238" s="69"/>
    </row>
    <row r="239" spans="1:256" s="65" customFormat="1" ht="12.75">
      <c r="A239" s="281"/>
      <c r="B239" s="102"/>
      <c r="C239" s="252"/>
      <c r="D239" s="224"/>
      <c r="E239" s="108"/>
      <c r="F239" s="108"/>
      <c r="G239" s="108"/>
      <c r="H239" s="108"/>
      <c r="I239" s="108"/>
      <c r="J239" s="108"/>
      <c r="K239" s="108"/>
      <c r="L239" s="202"/>
      <c r="M239" s="202"/>
      <c r="N239" s="256"/>
      <c r="O239" s="202"/>
      <c r="P239" s="202"/>
      <c r="Q239" s="202"/>
      <c r="R239" s="202"/>
      <c r="S239" s="202"/>
      <c r="T239" s="108"/>
      <c r="U239" s="108"/>
      <c r="V239" s="108"/>
      <c r="W239" s="108"/>
      <c r="X239" s="202"/>
      <c r="Y239" s="108"/>
      <c r="Z239" s="108"/>
      <c r="AA239" s="108"/>
      <c r="AB239" s="108"/>
      <c r="AC239" s="108"/>
      <c r="AD239" s="108"/>
      <c r="AE239" s="154"/>
      <c r="AF239" s="154"/>
      <c r="AG239" s="154"/>
      <c r="AH239" s="154"/>
      <c r="AI239" s="154"/>
      <c r="AJ239" s="154"/>
      <c r="AK239" s="154"/>
      <c r="AL239" s="154"/>
      <c r="AM239" s="154"/>
      <c r="AN239" s="108"/>
      <c r="AO239" s="190"/>
      <c r="AP239" s="189"/>
      <c r="AQ239" s="202"/>
      <c r="AS239" s="224"/>
      <c r="AT239" s="224"/>
      <c r="AU239" s="69"/>
    </row>
    <row r="240" spans="1:256" s="65" customFormat="1" ht="12.75">
      <c r="A240" s="281"/>
      <c r="B240" s="102"/>
      <c r="C240" s="252"/>
      <c r="D240" s="224"/>
      <c r="E240" s="108"/>
      <c r="F240" s="108"/>
      <c r="G240" s="108"/>
      <c r="H240" s="108"/>
      <c r="I240" s="108"/>
      <c r="J240" s="108"/>
      <c r="K240" s="108"/>
      <c r="L240" s="202"/>
      <c r="M240" s="202"/>
      <c r="N240" s="256"/>
      <c r="O240" s="202"/>
      <c r="P240" s="202"/>
      <c r="Q240" s="202"/>
      <c r="R240" s="202"/>
      <c r="S240" s="202"/>
      <c r="T240" s="108"/>
      <c r="U240" s="108"/>
      <c r="V240" s="108"/>
      <c r="W240" s="108"/>
      <c r="X240" s="202"/>
      <c r="Y240" s="108"/>
      <c r="Z240" s="108"/>
      <c r="AA240" s="108"/>
      <c r="AB240" s="108"/>
      <c r="AC240" s="108"/>
      <c r="AD240" s="108"/>
      <c r="AE240" s="154"/>
      <c r="AF240" s="154"/>
      <c r="AG240" s="154"/>
      <c r="AH240" s="154"/>
      <c r="AI240" s="154"/>
      <c r="AJ240" s="154"/>
      <c r="AK240" s="154"/>
      <c r="AL240" s="154"/>
      <c r="AM240" s="154"/>
      <c r="AN240" s="108"/>
      <c r="AO240" s="190"/>
      <c r="AP240" s="189"/>
      <c r="AQ240" s="202"/>
      <c r="AS240" s="224"/>
      <c r="AT240" s="224"/>
      <c r="AU240" s="69"/>
    </row>
    <row r="241" spans="1:47" s="65" customFormat="1" ht="12.75">
      <c r="A241" s="281"/>
      <c r="B241" s="102"/>
      <c r="C241" s="252"/>
      <c r="D241" s="224"/>
      <c r="E241" s="108"/>
      <c r="F241" s="108"/>
      <c r="G241" s="108"/>
      <c r="H241" s="108"/>
      <c r="I241" s="108"/>
      <c r="J241" s="108"/>
      <c r="K241" s="108"/>
      <c r="L241" s="202"/>
      <c r="M241" s="202"/>
      <c r="N241" s="256"/>
      <c r="O241" s="202"/>
      <c r="P241" s="202"/>
      <c r="Q241" s="202"/>
      <c r="R241" s="202"/>
      <c r="S241" s="202"/>
      <c r="T241" s="108"/>
      <c r="U241" s="108"/>
      <c r="V241" s="108"/>
      <c r="W241" s="108"/>
      <c r="X241" s="202"/>
      <c r="Y241" s="108"/>
      <c r="Z241" s="108"/>
      <c r="AA241" s="108"/>
      <c r="AB241" s="108"/>
      <c r="AC241" s="108"/>
      <c r="AD241" s="108"/>
      <c r="AE241" s="154"/>
      <c r="AF241" s="154"/>
      <c r="AG241" s="154"/>
      <c r="AH241" s="154"/>
      <c r="AI241" s="154"/>
      <c r="AJ241" s="154"/>
      <c r="AK241" s="154"/>
      <c r="AL241" s="154"/>
      <c r="AM241" s="154"/>
      <c r="AN241" s="108"/>
      <c r="AO241" s="190"/>
      <c r="AP241" s="189"/>
      <c r="AQ241" s="202"/>
      <c r="AS241" s="224"/>
      <c r="AT241" s="224"/>
      <c r="AU241" s="69"/>
    </row>
    <row r="242" spans="1:47" s="65" customFormat="1" ht="12.75">
      <c r="A242" s="281"/>
      <c r="B242" s="102"/>
      <c r="C242" s="252"/>
      <c r="D242" s="224"/>
      <c r="E242" s="108"/>
      <c r="F242" s="108"/>
      <c r="G242" s="108"/>
      <c r="H242" s="108"/>
      <c r="I242" s="108"/>
      <c r="J242" s="108"/>
      <c r="K242" s="108"/>
      <c r="L242" s="202"/>
      <c r="M242" s="202"/>
      <c r="N242" s="256"/>
      <c r="O242" s="202"/>
      <c r="P242" s="202"/>
      <c r="Q242" s="202"/>
      <c r="R242" s="202"/>
      <c r="S242" s="202"/>
      <c r="T242" s="108"/>
      <c r="U242" s="108"/>
      <c r="V242" s="108"/>
      <c r="W242" s="108"/>
      <c r="X242" s="202"/>
      <c r="Y242" s="108"/>
      <c r="Z242" s="108"/>
      <c r="AA242" s="108"/>
      <c r="AB242" s="108"/>
      <c r="AC242" s="108"/>
      <c r="AD242" s="108"/>
      <c r="AE242" s="154"/>
      <c r="AF242" s="154"/>
      <c r="AG242" s="154"/>
      <c r="AH242" s="154"/>
      <c r="AI242" s="154"/>
      <c r="AJ242" s="154"/>
      <c r="AK242" s="154"/>
      <c r="AL242" s="154"/>
      <c r="AM242" s="154"/>
      <c r="AN242" s="108"/>
      <c r="AO242" s="190"/>
      <c r="AP242" s="189"/>
      <c r="AQ242" s="202"/>
      <c r="AS242" s="224"/>
      <c r="AT242" s="224"/>
      <c r="AU242" s="69"/>
    </row>
    <row r="243" spans="1:47" s="65" customFormat="1" ht="12.75">
      <c r="A243" s="281"/>
      <c r="B243" s="102"/>
      <c r="C243" s="252"/>
      <c r="D243" s="224"/>
      <c r="E243" s="108"/>
      <c r="F243" s="108"/>
      <c r="G243" s="108"/>
      <c r="H243" s="108"/>
      <c r="I243" s="108"/>
      <c r="J243" s="108"/>
      <c r="K243" s="108"/>
      <c r="L243" s="202"/>
      <c r="M243" s="202"/>
      <c r="N243" s="256"/>
      <c r="O243" s="202"/>
      <c r="P243" s="202"/>
      <c r="Q243" s="202"/>
      <c r="R243" s="202"/>
      <c r="S243" s="202"/>
      <c r="T243" s="108"/>
      <c r="U243" s="108"/>
      <c r="V243" s="108"/>
      <c r="W243" s="108"/>
      <c r="X243" s="202"/>
      <c r="Y243" s="108"/>
      <c r="Z243" s="108"/>
      <c r="AA243" s="108"/>
      <c r="AB243" s="108"/>
      <c r="AC243" s="108"/>
      <c r="AD243" s="108"/>
      <c r="AE243" s="154"/>
      <c r="AF243" s="154"/>
      <c r="AG243" s="154"/>
      <c r="AH243" s="154"/>
      <c r="AI243" s="154"/>
      <c r="AJ243" s="154"/>
      <c r="AK243" s="154"/>
      <c r="AL243" s="154"/>
      <c r="AM243" s="154"/>
      <c r="AN243" s="108"/>
      <c r="AO243" s="190"/>
      <c r="AP243" s="189"/>
      <c r="AQ243" s="202"/>
      <c r="AS243" s="224"/>
      <c r="AT243" s="224"/>
      <c r="AU243" s="69"/>
    </row>
    <row r="244" spans="1:47" s="65" customFormat="1" ht="12.75">
      <c r="A244" s="281"/>
      <c r="B244" s="102"/>
      <c r="C244" s="252"/>
      <c r="D244" s="224"/>
      <c r="E244" s="108"/>
      <c r="F244" s="108"/>
      <c r="G244" s="108"/>
      <c r="H244" s="108"/>
      <c r="I244" s="108"/>
      <c r="J244" s="108"/>
      <c r="K244" s="108"/>
      <c r="L244" s="202"/>
      <c r="M244" s="202"/>
      <c r="N244" s="256"/>
      <c r="O244" s="202"/>
      <c r="P244" s="202"/>
      <c r="Q244" s="202"/>
      <c r="R244" s="202"/>
      <c r="S244" s="202"/>
      <c r="T244" s="108"/>
      <c r="U244" s="108"/>
      <c r="V244" s="108"/>
      <c r="W244" s="108"/>
      <c r="X244" s="202"/>
      <c r="Y244" s="108"/>
      <c r="Z244" s="108"/>
      <c r="AA244" s="108"/>
      <c r="AB244" s="108"/>
      <c r="AC244" s="108"/>
      <c r="AD244" s="108"/>
      <c r="AE244" s="154"/>
      <c r="AF244" s="154"/>
      <c r="AG244" s="154"/>
      <c r="AH244" s="154"/>
      <c r="AI244" s="154"/>
      <c r="AJ244" s="154"/>
      <c r="AK244" s="154"/>
      <c r="AL244" s="154"/>
      <c r="AM244" s="154"/>
      <c r="AN244" s="108"/>
      <c r="AO244" s="190"/>
      <c r="AP244" s="189"/>
      <c r="AQ244" s="202"/>
      <c r="AS244" s="224"/>
      <c r="AT244" s="224"/>
      <c r="AU244" s="69"/>
    </row>
    <row r="245" spans="1:47" s="65" customFormat="1" ht="12.75">
      <c r="A245" s="282"/>
      <c r="B245" s="102"/>
      <c r="C245" s="252"/>
      <c r="D245" s="224"/>
      <c r="E245" s="108"/>
      <c r="F245" s="108"/>
      <c r="G245" s="108"/>
      <c r="H245" s="108"/>
      <c r="I245" s="108"/>
      <c r="J245" s="108"/>
      <c r="K245" s="108"/>
      <c r="L245" s="202"/>
      <c r="M245" s="202"/>
      <c r="N245" s="256"/>
      <c r="O245" s="202"/>
      <c r="P245" s="202"/>
      <c r="Q245" s="202"/>
      <c r="R245" s="202"/>
      <c r="S245" s="202"/>
      <c r="T245" s="108"/>
      <c r="U245" s="108"/>
      <c r="V245" s="108"/>
      <c r="W245" s="108"/>
      <c r="X245" s="202"/>
      <c r="Y245" s="108"/>
      <c r="Z245" s="108"/>
      <c r="AA245" s="108"/>
      <c r="AB245" s="108"/>
      <c r="AC245" s="108"/>
      <c r="AD245" s="108"/>
      <c r="AE245" s="154"/>
      <c r="AF245" s="154"/>
      <c r="AG245" s="154"/>
      <c r="AH245" s="154"/>
      <c r="AI245" s="154"/>
      <c r="AJ245" s="154"/>
      <c r="AK245" s="154"/>
      <c r="AL245" s="154"/>
      <c r="AM245" s="154"/>
      <c r="AN245" s="108"/>
      <c r="AO245" s="190"/>
      <c r="AP245" s="189"/>
      <c r="AQ245" s="202"/>
      <c r="AS245" s="224"/>
      <c r="AT245" s="224"/>
      <c r="AU245" s="69"/>
    </row>
    <row r="246" spans="1:47" s="65" customFormat="1" ht="12.75">
      <c r="A246" s="282"/>
      <c r="B246" s="102"/>
      <c r="C246" s="252"/>
      <c r="D246" s="224"/>
      <c r="E246" s="108"/>
      <c r="F246" s="108"/>
      <c r="G246" s="108"/>
      <c r="H246" s="108"/>
      <c r="I246" s="108"/>
      <c r="J246" s="108"/>
      <c r="K246" s="108"/>
      <c r="L246" s="202"/>
      <c r="M246" s="202"/>
      <c r="N246" s="256"/>
      <c r="O246" s="202"/>
      <c r="P246" s="202"/>
      <c r="Q246" s="202"/>
      <c r="R246" s="202"/>
      <c r="S246" s="202"/>
      <c r="T246" s="108"/>
      <c r="U246" s="108"/>
      <c r="V246" s="108"/>
      <c r="W246" s="108"/>
      <c r="X246" s="202"/>
      <c r="Y246" s="108"/>
      <c r="Z246" s="108"/>
      <c r="AA246" s="108"/>
      <c r="AB246" s="108"/>
      <c r="AC246" s="108"/>
      <c r="AD246" s="108"/>
      <c r="AE246" s="154"/>
      <c r="AF246" s="154"/>
      <c r="AG246" s="154"/>
      <c r="AH246" s="154"/>
      <c r="AI246" s="154"/>
      <c r="AJ246" s="154"/>
      <c r="AK246" s="154"/>
      <c r="AL246" s="154"/>
      <c r="AM246" s="154"/>
      <c r="AN246" s="108"/>
      <c r="AO246" s="190"/>
      <c r="AP246" s="189"/>
      <c r="AQ246" s="202"/>
      <c r="AS246" s="224"/>
      <c r="AT246" s="224"/>
      <c r="AU246" s="69"/>
    </row>
  </sheetData>
  <pageMargins left="0.78749999999999998" right="0.78749999999999998" top="1.1513888888888899" bottom="1.1513888888888899" header="0.78749999999999998" footer="0.78749999999999998"/>
  <pageSetup paperSize="9" firstPageNumber="0" orientation="portrait" horizontalDpi="300" verticalDpi="300" r:id="rId1"/>
  <headerFooter>
    <oddHeader>&amp;C&amp;"Times New Roman1,Normal"&amp;12&amp;A</oddHeader>
    <oddFooter>&amp;C&amp;"Times New Roman1,Normal"&amp;12Página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dc:creator>
  <cp:lastModifiedBy>Pamela</cp:lastModifiedBy>
  <dcterms:created xsi:type="dcterms:W3CDTF">2025-10-05T23:41:41Z</dcterms:created>
  <dcterms:modified xsi:type="dcterms:W3CDTF">2025-10-06T02:44:18Z</dcterms:modified>
</cp:coreProperties>
</file>